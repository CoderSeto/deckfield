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kuk\Documents\Games\"/>
    </mc:Choice>
  </mc:AlternateContent>
  <xr:revisionPtr revIDLastSave="0" documentId="13_ncr:1_{3523EAC4-FC2A-4B7F-83AC-539C0284D9F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2" sheetId="2" r:id="rId1"/>
    <sheet name="Bracket" sheetId="9" r:id="rId2"/>
    <sheet name="Sheet5" sheetId="5" r:id="rId3"/>
    <sheet name="Phoenix Expansion Pass" sheetId="6" r:id="rId4"/>
    <sheet name="Season Four" sheetId="8" r:id="rId5"/>
    <sheet name="Sheet4" sheetId="10" r:id="rId6"/>
    <sheet name="Sheet1" sheetId="22" r:id="rId7"/>
    <sheet name="Season 3" sheetId="17" r:id="rId8"/>
    <sheet name="Sheet7" sheetId="14" r:id="rId9"/>
    <sheet name="Archive" sheetId="18" r:id="rId10"/>
    <sheet name="Season 2" sheetId="16" r:id="rId11"/>
    <sheet name="S2 Archive" sheetId="15" r:id="rId12"/>
    <sheet name="Season 1" sheetId="19" r:id="rId13"/>
    <sheet name="S1 Archive" sheetId="12" r:id="rId14"/>
    <sheet name="XS1" sheetId="13" r:id="rId15"/>
    <sheet name="XS2" sheetId="20" r:id="rId16"/>
    <sheet name="XS3" sheetId="21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3" i="22" l="1"/>
  <c r="F95" i="22" l="1"/>
  <c r="F110" i="22"/>
  <c r="F45" i="22"/>
  <c r="F29" i="22"/>
  <c r="F13" i="22"/>
  <c r="F9" i="22"/>
  <c r="F72" i="22"/>
  <c r="F90" i="22"/>
  <c r="F49" i="22"/>
  <c r="F89" i="22"/>
  <c r="F109" i="22"/>
  <c r="F48" i="22"/>
  <c r="F23" i="22"/>
  <c r="F108" i="22"/>
  <c r="F71" i="22"/>
  <c r="F56" i="22"/>
  <c r="F43" i="22"/>
  <c r="F88" i="22"/>
  <c r="F87" i="22"/>
  <c r="F82" i="22"/>
  <c r="F98" i="22"/>
  <c r="F86" i="22"/>
  <c r="F6" i="22"/>
  <c r="F22" i="22"/>
  <c r="F5" i="22"/>
  <c r="F47" i="22"/>
  <c r="F105" i="22"/>
  <c r="F104" i="22"/>
  <c r="F68" i="22"/>
  <c r="F100" i="22"/>
  <c r="F103" i="22"/>
  <c r="F44" i="22"/>
  <c r="F112" i="22"/>
  <c r="F70" i="22"/>
  <c r="F37" i="22"/>
  <c r="F55" i="22"/>
  <c r="F99" i="22"/>
  <c r="F67" i="22"/>
  <c r="F28" i="22"/>
  <c r="F2" i="22"/>
  <c r="F79" i="22"/>
  <c r="F62" i="22"/>
  <c r="F94" i="22"/>
  <c r="F93" i="22"/>
  <c r="F78" i="22"/>
  <c r="F32" i="22"/>
  <c r="F61" i="22"/>
  <c r="F60" i="22"/>
  <c r="F39" i="22"/>
  <c r="F66" i="22"/>
  <c r="F31" i="22"/>
  <c r="F36" i="22"/>
  <c r="F35" i="22"/>
  <c r="F17" i="22"/>
  <c r="F59" i="22"/>
  <c r="F16" i="22"/>
  <c r="F85" i="22"/>
  <c r="F34" i="22"/>
  <c r="F84" i="22"/>
  <c r="F81" i="22"/>
  <c r="F27" i="22"/>
  <c r="F74" i="22"/>
  <c r="F51" i="22"/>
  <c r="F50" i="22"/>
  <c r="F107" i="22"/>
  <c r="F42" i="22"/>
  <c r="F21" i="22"/>
  <c r="F15" i="22"/>
  <c r="F92" i="22"/>
  <c r="F3" i="22"/>
  <c r="F102" i="22"/>
  <c r="F26" i="22"/>
  <c r="F65" i="22"/>
  <c r="F77" i="22"/>
  <c r="F30" i="22"/>
  <c r="F80" i="22"/>
  <c r="F54" i="22"/>
  <c r="F64" i="22"/>
  <c r="F75" i="22"/>
  <c r="F20" i="22"/>
  <c r="F25" i="22"/>
  <c r="F38" i="22"/>
  <c r="F46" i="22"/>
  <c r="F58" i="22"/>
  <c r="F91" i="22"/>
  <c r="F69" i="22"/>
  <c r="F4" i="22"/>
  <c r="F106" i="22"/>
  <c r="F53" i="22"/>
  <c r="F97" i="22"/>
  <c r="F19" i="22"/>
  <c r="F41" i="22"/>
  <c r="F57" i="22"/>
  <c r="F10" i="22"/>
  <c r="F24" i="22"/>
  <c r="F111" i="22"/>
  <c r="F96" i="22"/>
  <c r="F76" i="22"/>
  <c r="F12" i="22"/>
  <c r="F8" i="22"/>
  <c r="F11" i="22"/>
  <c r="F63" i="22"/>
  <c r="F40" i="22"/>
  <c r="F18" i="22"/>
  <c r="F83" i="22"/>
  <c r="F33" i="22"/>
  <c r="F101" i="22"/>
  <c r="F14" i="22"/>
  <c r="F52" i="22"/>
  <c r="F73" i="22"/>
  <c r="F7" i="22"/>
  <c r="L57" i="14" l="1"/>
  <c r="K57" i="14"/>
  <c r="L56" i="14"/>
  <c r="K56" i="14"/>
  <c r="L55" i="14"/>
  <c r="K55" i="14"/>
  <c r="L54" i="14"/>
  <c r="K54" i="14"/>
  <c r="L53" i="14"/>
  <c r="K53" i="14"/>
  <c r="L52" i="14"/>
  <c r="K52" i="14"/>
  <c r="L51" i="14"/>
  <c r="K51" i="14"/>
  <c r="L50" i="14"/>
  <c r="K50" i="14"/>
  <c r="L49" i="14"/>
  <c r="K49" i="14"/>
  <c r="L48" i="14"/>
  <c r="K48" i="14"/>
  <c r="L47" i="14"/>
  <c r="K47" i="14"/>
  <c r="L46" i="14"/>
  <c r="K46" i="14"/>
  <c r="L45" i="14"/>
  <c r="K45" i="14"/>
  <c r="L44" i="14"/>
  <c r="K44" i="14"/>
  <c r="L43" i="14"/>
  <c r="K43" i="14"/>
  <c r="L42" i="14"/>
  <c r="K42" i="14"/>
  <c r="L41" i="14"/>
  <c r="K41" i="14"/>
  <c r="L40" i="14"/>
  <c r="K40" i="14"/>
  <c r="L39" i="14"/>
  <c r="K39" i="14"/>
  <c r="L38" i="14"/>
  <c r="K38" i="14"/>
  <c r="L37" i="14"/>
  <c r="K37" i="14"/>
  <c r="L36" i="14"/>
  <c r="K36" i="14"/>
  <c r="L35" i="14"/>
  <c r="K35" i="14"/>
  <c r="L34" i="14"/>
  <c r="K34" i="14"/>
  <c r="L33" i="14"/>
  <c r="K33" i="14"/>
  <c r="L32" i="14"/>
  <c r="K32" i="14"/>
  <c r="L31" i="14"/>
  <c r="K31" i="14"/>
  <c r="L30" i="14"/>
  <c r="K30" i="14"/>
  <c r="L29" i="14"/>
  <c r="K29" i="14"/>
  <c r="L28" i="14"/>
  <c r="K28" i="14"/>
  <c r="L27" i="14"/>
  <c r="K27" i="14"/>
  <c r="L26" i="14"/>
  <c r="K26" i="14"/>
  <c r="L25" i="14"/>
  <c r="K25" i="14"/>
  <c r="L24" i="14"/>
  <c r="K24" i="14"/>
  <c r="L23" i="14"/>
  <c r="K23" i="14"/>
  <c r="L22" i="14"/>
  <c r="K22" i="14"/>
  <c r="L21" i="14"/>
  <c r="K21" i="14"/>
  <c r="L20" i="14"/>
  <c r="K20" i="14"/>
  <c r="L19" i="14"/>
  <c r="K19" i="14"/>
  <c r="L18" i="14"/>
  <c r="K18" i="14"/>
  <c r="Q1333" i="18" l="1"/>
  <c r="Q1332" i="18"/>
  <c r="Q1331" i="18"/>
  <c r="Q1330" i="18"/>
  <c r="Q1329" i="18"/>
  <c r="Q1328" i="18"/>
  <c r="Q1327" i="18"/>
  <c r="Q1326" i="18"/>
  <c r="Q1324" i="18"/>
  <c r="Q1325" i="18"/>
  <c r="Q1323" i="18"/>
  <c r="Q1322" i="18"/>
  <c r="Q1321" i="18"/>
  <c r="Q1320" i="18"/>
  <c r="Q1319" i="18"/>
  <c r="Q1318" i="18"/>
  <c r="Q1317" i="18"/>
  <c r="Q1314" i="18"/>
  <c r="Q1313" i="18"/>
  <c r="Q1316" i="18"/>
  <c r="Q1315" i="18"/>
  <c r="Q1312" i="18"/>
  <c r="Q1311" i="18"/>
  <c r="Q1310" i="18"/>
  <c r="Q1309" i="18"/>
  <c r="Q1308" i="18"/>
  <c r="Q1307" i="18"/>
  <c r="Q1306" i="18"/>
  <c r="Q1305" i="18"/>
  <c r="Q1304" i="18"/>
  <c r="Q1303" i="18"/>
  <c r="Q1302" i="18"/>
  <c r="Q1301" i="18"/>
  <c r="Q1300" i="18"/>
  <c r="Q1299" i="18"/>
  <c r="Q1298" i="18"/>
  <c r="Q1297" i="18"/>
  <c r="Q1296" i="18"/>
  <c r="Q1295" i="18"/>
  <c r="Q1294" i="18"/>
  <c r="Q1293" i="18"/>
  <c r="Q1292" i="18"/>
  <c r="Q1291" i="18"/>
  <c r="Q1290" i="18"/>
  <c r="Q1289" i="18"/>
  <c r="Q1288" i="18"/>
  <c r="Q1287" i="18"/>
  <c r="Q1286" i="18"/>
  <c r="Q1285" i="18"/>
  <c r="Q1284" i="18"/>
  <c r="Q1283" i="18"/>
  <c r="Q1282" i="18"/>
  <c r="Q1281" i="18"/>
  <c r="Q1280" i="18"/>
  <c r="Q1279" i="18"/>
  <c r="Q1278" i="18"/>
  <c r="Q1277" i="18"/>
  <c r="Q1276" i="18"/>
  <c r="Q1275" i="18"/>
  <c r="Q1274" i="18"/>
  <c r="Q1273" i="18"/>
  <c r="Q1272" i="18"/>
  <c r="Q1271" i="18"/>
  <c r="Q1270" i="18"/>
  <c r="Q1269" i="18"/>
  <c r="Q1268" i="18"/>
  <c r="Q1267" i="18"/>
  <c r="Q1266" i="18"/>
  <c r="Q1265" i="18"/>
  <c r="Q1264" i="18"/>
  <c r="Q1263" i="18"/>
  <c r="Q1262" i="18"/>
  <c r="Q1259" i="18"/>
  <c r="Q1258" i="18"/>
  <c r="Q1261" i="18"/>
  <c r="Q1260" i="18"/>
  <c r="Q1257" i="18"/>
  <c r="Q1256" i="18"/>
  <c r="Q1255" i="18"/>
  <c r="Q1254" i="18"/>
  <c r="Q1253" i="18"/>
  <c r="Q1252" i="18"/>
  <c r="Q1251" i="18"/>
  <c r="Q1250" i="18"/>
  <c r="Q1249" i="18"/>
  <c r="Q1248" i="18"/>
  <c r="Q1247" i="18"/>
  <c r="Q1246" i="18"/>
  <c r="Q1245" i="18"/>
  <c r="Q1244" i="18"/>
  <c r="Q1239" i="18"/>
  <c r="Q1238" i="18"/>
  <c r="Q1237" i="18"/>
  <c r="Q1236" i="18"/>
  <c r="Q1243" i="18"/>
  <c r="Q1242" i="18"/>
  <c r="Q1241" i="18"/>
  <c r="Q1240" i="18"/>
  <c r="Q1235" i="18"/>
  <c r="Q1234" i="18"/>
  <c r="Q1233" i="18"/>
  <c r="Q1232" i="18"/>
  <c r="Q1231" i="18"/>
  <c r="Q1230" i="18"/>
  <c r="Q1229" i="18"/>
  <c r="Q1228" i="18"/>
  <c r="Q1227" i="18"/>
  <c r="Q1226" i="18"/>
  <c r="Q1225" i="18"/>
  <c r="Q1224" i="18"/>
  <c r="Q1223" i="18"/>
  <c r="Q1222" i="18"/>
  <c r="Q1221" i="18"/>
  <c r="Q1220" i="18"/>
  <c r="Q1219" i="18"/>
  <c r="Q1218" i="18"/>
  <c r="Q1217" i="18"/>
  <c r="Q1216" i="18"/>
  <c r="Q1215" i="18"/>
  <c r="Q1214" i="18"/>
  <c r="Q1213" i="18"/>
  <c r="Q1212" i="18"/>
  <c r="Q1211" i="18"/>
  <c r="Q1210" i="18"/>
  <c r="Q1209" i="18"/>
  <c r="Q1208" i="18"/>
  <c r="Q1207" i="18"/>
  <c r="Q1206" i="18"/>
  <c r="Q1205" i="18"/>
  <c r="Q1204" i="18"/>
  <c r="Q1203" i="18"/>
  <c r="Q1202" i="18"/>
  <c r="Q1201" i="18"/>
  <c r="Q1200" i="18"/>
  <c r="Q1199" i="18"/>
  <c r="Q1198" i="18"/>
  <c r="Q1197" i="18"/>
  <c r="Q1196" i="18"/>
  <c r="Q1195" i="18"/>
  <c r="Q1194" i="18"/>
  <c r="Q1193" i="18"/>
  <c r="Q1192" i="18"/>
  <c r="Q1191" i="18"/>
  <c r="Q1190" i="18"/>
  <c r="Q1189" i="18"/>
  <c r="Q1188" i="18"/>
  <c r="Q1187" i="18"/>
  <c r="Q1186" i="18"/>
  <c r="Q1185" i="18"/>
  <c r="Q1184" i="18"/>
  <c r="Q1183" i="18"/>
  <c r="Q1182" i="18"/>
  <c r="Q1181" i="18"/>
  <c r="Q1180" i="18"/>
  <c r="Q1179" i="18"/>
  <c r="Q1178" i="18"/>
  <c r="Q1177" i="18"/>
  <c r="Q1176" i="18"/>
  <c r="Q1175" i="18"/>
  <c r="Q1174" i="18"/>
  <c r="Q1173" i="18"/>
  <c r="Q1172" i="18"/>
  <c r="Q1171" i="18"/>
  <c r="Q1170" i="18"/>
  <c r="Q1169" i="18"/>
  <c r="Q1168" i="18"/>
  <c r="Q1167" i="18"/>
  <c r="Q1166" i="18"/>
  <c r="Q1165" i="18"/>
  <c r="Q1164" i="18"/>
  <c r="Q1163" i="18"/>
  <c r="Q1162" i="18"/>
  <c r="Q1161" i="18"/>
  <c r="Q1160" i="18"/>
  <c r="Q1159" i="18"/>
  <c r="Q1158" i="18"/>
  <c r="Q1157" i="18"/>
  <c r="Q1156" i="18"/>
  <c r="Q1155" i="18"/>
  <c r="Q1154" i="18"/>
  <c r="Q1153" i="18"/>
  <c r="Q1152" i="18"/>
  <c r="Q1151" i="18"/>
  <c r="Q1150" i="18"/>
  <c r="Q1149" i="18"/>
  <c r="Q1148" i="18"/>
  <c r="Q1147" i="18"/>
  <c r="Q1146" i="18"/>
  <c r="Q1145" i="18"/>
  <c r="Q1144" i="18"/>
  <c r="Q1143" i="18"/>
  <c r="Q1142" i="18"/>
  <c r="Q1141" i="18"/>
  <c r="Q1140" i="18"/>
  <c r="Q1139" i="18"/>
  <c r="Q1138" i="18"/>
  <c r="Q1137" i="18"/>
  <c r="Q1136" i="18"/>
  <c r="Q1135" i="18"/>
  <c r="Q1134" i="18"/>
  <c r="Q1133" i="18"/>
  <c r="Q1132" i="18"/>
  <c r="Q1131" i="18"/>
  <c r="Q1130" i="18"/>
  <c r="Q1129" i="18"/>
  <c r="Q1128" i="18"/>
  <c r="Q1127" i="18"/>
  <c r="Q1126" i="18"/>
  <c r="Q1125" i="18"/>
  <c r="Q1124" i="18"/>
  <c r="Q1123" i="18"/>
  <c r="Q1122" i="18"/>
  <c r="Q1121" i="18"/>
  <c r="Q1120" i="18"/>
  <c r="Q1119" i="18"/>
  <c r="Q1118" i="18"/>
  <c r="Q1117" i="18"/>
  <c r="Q1116" i="18"/>
  <c r="Q1115" i="18"/>
  <c r="Q1114" i="18"/>
  <c r="Q1113" i="18"/>
  <c r="Q1112" i="18"/>
  <c r="Q1111" i="18"/>
  <c r="Q1110" i="18"/>
  <c r="Q1109" i="18"/>
  <c r="Q1108" i="18"/>
  <c r="Q1107" i="18"/>
  <c r="Q1106" i="18"/>
  <c r="Q1105" i="18"/>
  <c r="Q1104" i="18"/>
  <c r="Q1103" i="18"/>
  <c r="Q1102" i="18"/>
  <c r="Q1101" i="18"/>
  <c r="Q1100" i="18"/>
  <c r="Q1099" i="18"/>
  <c r="Q1098" i="18"/>
  <c r="Q1097" i="18"/>
  <c r="Q1096" i="18"/>
  <c r="Q1095" i="18"/>
  <c r="Q1094" i="18"/>
  <c r="Q1093" i="18"/>
  <c r="Q1092" i="18"/>
  <c r="Q1091" i="18"/>
  <c r="Q1090" i="18"/>
  <c r="Q1089" i="18"/>
  <c r="Q1088" i="18"/>
  <c r="Q1087" i="18"/>
  <c r="Q1086" i="18"/>
  <c r="Q1085" i="18"/>
  <c r="Q1084" i="18"/>
  <c r="Q1083" i="18"/>
  <c r="Q1082" i="18"/>
  <c r="Q1081" i="18"/>
  <c r="Q1080" i="18"/>
  <c r="Q1079" i="18"/>
  <c r="Q1078" i="18"/>
  <c r="Q1077" i="18"/>
  <c r="Q1076" i="18"/>
  <c r="Q1075" i="18"/>
  <c r="Q1074" i="18"/>
  <c r="Q1073" i="18"/>
  <c r="Q1072" i="18"/>
  <c r="Q1071" i="18"/>
  <c r="Q1070" i="18"/>
  <c r="Q1069" i="18"/>
  <c r="Q1068" i="18"/>
  <c r="Q1067" i="18"/>
  <c r="Q1066" i="18"/>
  <c r="Q1061" i="18"/>
  <c r="Q1060" i="18"/>
  <c r="Q1059" i="18"/>
  <c r="Q1058" i="18"/>
  <c r="Q1057" i="18"/>
  <c r="Q1056" i="18"/>
  <c r="Q1055" i="18"/>
  <c r="Q1054" i="18"/>
  <c r="Q1065" i="18"/>
  <c r="Q1064" i="18"/>
  <c r="Q1063" i="18"/>
  <c r="Q1062" i="18"/>
  <c r="Q1053" i="18"/>
  <c r="Q1052" i="18"/>
  <c r="Q1051" i="18"/>
  <c r="Q1050" i="18"/>
  <c r="Q1049" i="18"/>
  <c r="Q1048" i="18"/>
  <c r="Q1047" i="18"/>
  <c r="Q1046" i="18"/>
  <c r="Q1045" i="18"/>
  <c r="Q1044" i="18"/>
  <c r="Q1043" i="18"/>
  <c r="Q1042" i="18"/>
  <c r="Q1041" i="18"/>
  <c r="Q1040" i="18"/>
  <c r="Q1039" i="18"/>
  <c r="Q1038" i="18"/>
  <c r="Q1037" i="18"/>
  <c r="Q1036" i="18"/>
  <c r="Q1035" i="18"/>
  <c r="Q1034" i="18"/>
  <c r="Q1033" i="18"/>
  <c r="Q1032" i="18"/>
  <c r="Q1031" i="18"/>
  <c r="Q1030" i="18"/>
  <c r="Q1029" i="18"/>
  <c r="Q1028" i="18"/>
  <c r="Q1027" i="18"/>
  <c r="Q1026" i="18"/>
  <c r="Q1025" i="18"/>
  <c r="Q1024" i="18"/>
  <c r="Q1023" i="18"/>
  <c r="Q1022" i="18"/>
  <c r="Q1021" i="18"/>
  <c r="Q1020" i="18"/>
  <c r="Q1019" i="18"/>
  <c r="Q1018" i="18"/>
  <c r="Q1017" i="18"/>
  <c r="Q1016" i="18"/>
  <c r="Q1015" i="18"/>
  <c r="Q1014" i="18"/>
  <c r="Q1013" i="18"/>
  <c r="Q1012" i="18"/>
  <c r="Q1011" i="18"/>
  <c r="Q1010" i="18"/>
  <c r="Q1009" i="18"/>
  <c r="Q1008" i="18"/>
  <c r="Q1007" i="18"/>
  <c r="Q1006" i="18"/>
  <c r="Q1005" i="18"/>
  <c r="Q1004" i="18"/>
  <c r="Q1003" i="18"/>
  <c r="Q1002" i="18"/>
  <c r="Q1001" i="18"/>
  <c r="Q1000" i="18"/>
  <c r="Q999" i="18"/>
  <c r="Q998" i="18"/>
  <c r="Q997" i="18"/>
  <c r="Q996" i="18"/>
  <c r="Q995" i="18"/>
  <c r="Q994" i="18"/>
  <c r="Q993" i="18"/>
  <c r="Q992" i="18"/>
  <c r="Q991" i="18"/>
  <c r="Q990" i="18"/>
  <c r="Q989" i="18"/>
  <c r="Q988" i="18"/>
  <c r="Q987" i="18"/>
  <c r="Q986" i="18"/>
  <c r="Q985" i="18"/>
  <c r="Q984" i="18"/>
  <c r="Q983" i="18"/>
  <c r="Q982" i="18"/>
  <c r="Q981" i="18"/>
  <c r="Q980" i="18"/>
  <c r="Q979" i="18"/>
  <c r="Q978" i="18"/>
  <c r="Q977" i="18"/>
  <c r="Q976" i="18"/>
  <c r="Q975" i="18"/>
  <c r="Q974" i="18"/>
  <c r="Q973" i="18"/>
  <c r="Q972" i="18"/>
  <c r="Q971" i="18"/>
  <c r="Q970" i="18"/>
  <c r="Q969" i="18"/>
  <c r="Q968" i="18"/>
  <c r="Q967" i="18"/>
  <c r="Q966" i="18"/>
  <c r="Q965" i="18"/>
  <c r="Q964" i="18"/>
  <c r="Q963" i="18"/>
  <c r="Q962" i="18"/>
  <c r="Q961" i="18"/>
  <c r="Q960" i="18"/>
  <c r="Q959" i="18"/>
  <c r="Q958" i="18"/>
  <c r="Q957" i="18"/>
  <c r="Q956" i="18"/>
  <c r="Q955" i="18"/>
  <c r="Q954" i="18"/>
  <c r="Q953" i="18"/>
  <c r="Q952" i="18"/>
  <c r="Q951" i="18"/>
  <c r="Q950" i="18"/>
  <c r="Q949" i="18"/>
  <c r="Q948" i="18"/>
  <c r="Q947" i="18"/>
  <c r="Q946" i="18"/>
  <c r="Q945" i="18"/>
  <c r="Q944" i="18"/>
  <c r="Q943" i="18"/>
  <c r="Q942" i="18"/>
  <c r="Q941" i="18"/>
  <c r="Q940" i="18"/>
  <c r="Q939" i="18"/>
  <c r="Q938" i="18"/>
  <c r="Q937" i="18"/>
  <c r="Q936" i="18"/>
  <c r="Q935" i="18"/>
  <c r="Q934" i="18"/>
  <c r="Q933" i="18"/>
  <c r="Q932" i="18"/>
  <c r="Q931" i="18"/>
  <c r="Q930" i="18"/>
  <c r="Q929" i="18"/>
  <c r="Q928" i="18"/>
  <c r="Q927" i="18"/>
  <c r="Q926" i="18"/>
  <c r="Q925" i="18"/>
  <c r="Q924" i="18"/>
  <c r="Q923" i="18"/>
  <c r="Q922" i="18"/>
  <c r="Q921" i="18"/>
  <c r="Q920" i="18"/>
  <c r="Q919" i="18"/>
  <c r="Q918" i="18"/>
  <c r="Q917" i="18"/>
  <c r="Q916" i="18"/>
  <c r="Q915" i="18"/>
  <c r="Q914" i="18"/>
  <c r="Q913" i="18"/>
  <c r="Q912" i="18"/>
  <c r="Q911" i="18"/>
  <c r="Q910" i="18"/>
  <c r="Q909" i="18"/>
  <c r="Q908" i="18"/>
  <c r="Q907" i="18"/>
  <c r="Q906" i="18"/>
  <c r="Q905" i="18"/>
  <c r="Q904" i="18"/>
  <c r="Q903" i="18"/>
  <c r="Q902" i="18"/>
  <c r="Q901" i="18"/>
  <c r="Q900" i="18"/>
  <c r="Q899" i="18"/>
  <c r="Q898" i="18"/>
  <c r="Q897" i="18"/>
  <c r="Q896" i="18"/>
  <c r="Q895" i="18"/>
  <c r="Q894" i="18"/>
  <c r="Q893" i="18"/>
  <c r="Q892" i="18"/>
  <c r="Q891" i="18"/>
  <c r="Q890" i="18"/>
  <c r="Q889" i="18"/>
  <c r="Q888" i="18"/>
  <c r="Q887" i="18"/>
  <c r="Q886" i="18"/>
  <c r="Q885" i="18"/>
  <c r="Q884" i="18"/>
  <c r="Q883" i="18"/>
  <c r="Q882" i="18"/>
  <c r="Q881" i="18"/>
  <c r="Q880" i="18"/>
  <c r="Q879" i="18"/>
  <c r="Q878" i="18"/>
  <c r="Q877" i="18"/>
  <c r="Q876" i="18"/>
  <c r="Q875" i="18"/>
  <c r="Q874" i="18"/>
  <c r="Q873" i="18"/>
  <c r="Q872" i="18"/>
  <c r="Q871" i="18"/>
  <c r="Q870" i="18"/>
  <c r="Q869" i="18"/>
  <c r="Q868" i="18"/>
  <c r="Q867" i="18"/>
  <c r="Q866" i="18"/>
  <c r="Q865" i="18"/>
  <c r="Q864" i="18"/>
  <c r="Q863" i="18"/>
  <c r="Q862" i="18"/>
  <c r="Q861" i="18"/>
  <c r="Q860" i="18"/>
  <c r="Q859" i="18"/>
  <c r="Q858" i="18"/>
  <c r="Q857" i="18"/>
  <c r="Q856" i="18"/>
  <c r="Q855" i="18"/>
  <c r="Q854" i="18"/>
  <c r="Q853" i="18"/>
  <c r="Q852" i="18"/>
  <c r="Q851" i="18"/>
  <c r="Q850" i="18"/>
  <c r="Q849" i="18"/>
  <c r="Q848" i="18"/>
  <c r="Q847" i="18"/>
  <c r="Q846" i="18"/>
  <c r="Q845" i="18"/>
  <c r="Q844" i="18"/>
  <c r="Q843" i="18"/>
  <c r="Q842" i="18"/>
  <c r="Q841" i="18"/>
  <c r="Q840" i="18"/>
  <c r="Q839" i="18"/>
  <c r="Q838" i="18"/>
  <c r="Q837" i="18"/>
  <c r="Q836" i="18"/>
  <c r="Q835" i="18"/>
  <c r="Q834" i="18"/>
  <c r="Q833" i="18"/>
  <c r="Q832" i="18"/>
  <c r="Q831" i="18"/>
  <c r="Q830" i="18"/>
  <c r="Q829" i="18"/>
  <c r="Q828" i="18"/>
  <c r="Q827" i="18"/>
  <c r="Q826" i="18"/>
  <c r="Q825" i="18"/>
  <c r="Q824" i="18"/>
  <c r="Q823" i="18"/>
  <c r="Q822" i="18"/>
  <c r="Q821" i="18"/>
  <c r="Q820" i="18"/>
  <c r="Q819" i="18"/>
  <c r="Q818" i="18"/>
  <c r="Q817" i="18"/>
  <c r="Q816" i="18"/>
  <c r="Q815" i="18"/>
  <c r="Q814" i="18"/>
  <c r="Q813" i="18"/>
  <c r="Q812" i="18"/>
  <c r="Q811" i="18"/>
  <c r="Q810" i="18"/>
  <c r="Q809" i="18"/>
  <c r="Q808" i="18"/>
  <c r="Q807" i="18"/>
  <c r="Q806" i="18"/>
  <c r="Q805" i="18"/>
  <c r="Q804" i="18"/>
  <c r="Q803" i="18"/>
  <c r="Q802" i="18"/>
  <c r="Q801" i="18"/>
  <c r="Q800" i="18"/>
  <c r="Q799" i="18"/>
  <c r="Q798" i="18"/>
  <c r="Q797" i="18"/>
  <c r="Q796" i="18"/>
  <c r="Q795" i="18"/>
  <c r="Q794" i="18"/>
  <c r="Q793" i="18"/>
  <c r="Q792" i="18"/>
  <c r="Q791" i="18"/>
  <c r="Q790" i="18"/>
  <c r="Q789" i="18"/>
  <c r="Q788" i="18"/>
  <c r="Q787" i="18"/>
  <c r="Q786" i="18"/>
  <c r="Q785" i="18"/>
  <c r="Q784" i="18"/>
  <c r="Q783" i="18"/>
  <c r="Q782" i="18"/>
  <c r="Q781" i="18"/>
  <c r="Q780" i="18"/>
  <c r="Q779" i="18"/>
  <c r="Q778" i="18"/>
  <c r="Q777" i="18"/>
  <c r="Q776" i="18"/>
  <c r="Q775" i="18"/>
  <c r="Q774" i="18"/>
  <c r="Q773" i="18"/>
  <c r="Q772" i="18"/>
  <c r="Q771" i="18"/>
  <c r="Q770" i="18"/>
  <c r="Q769" i="18"/>
  <c r="Q768" i="18"/>
  <c r="Q767" i="18"/>
  <c r="Q766" i="18"/>
  <c r="Q765" i="18"/>
  <c r="Q764" i="18"/>
  <c r="Q763" i="18"/>
  <c r="Q762" i="18"/>
  <c r="Q761" i="18"/>
  <c r="Q760" i="18"/>
  <c r="Q759" i="18"/>
  <c r="Q758" i="18"/>
  <c r="Q757" i="18"/>
  <c r="Q756" i="18"/>
  <c r="Q755" i="18"/>
  <c r="Q754" i="18"/>
  <c r="Q753" i="18"/>
  <c r="Q752" i="18"/>
  <c r="Q751" i="18"/>
  <c r="Q750" i="18"/>
  <c r="Q749" i="18"/>
  <c r="Q748" i="18"/>
  <c r="Q747" i="18"/>
  <c r="Q746" i="18"/>
  <c r="Q745" i="18"/>
  <c r="Q744" i="18"/>
  <c r="Q743" i="18"/>
  <c r="Q742" i="18"/>
  <c r="Q741" i="18"/>
  <c r="Q740" i="18"/>
  <c r="Q739" i="18"/>
  <c r="Q738" i="18"/>
  <c r="Q737" i="18"/>
  <c r="Q736" i="18"/>
  <c r="Q735" i="18"/>
  <c r="Q734" i="18"/>
  <c r="Q733" i="18"/>
  <c r="Q732" i="18"/>
  <c r="Q731" i="18"/>
  <c r="Q730" i="18"/>
  <c r="Q729" i="18"/>
  <c r="Q728" i="18"/>
  <c r="Q727" i="18"/>
  <c r="Q726" i="18"/>
  <c r="Q725" i="18"/>
  <c r="Q724" i="18"/>
  <c r="Q723" i="18"/>
  <c r="Q722" i="18"/>
  <c r="Q721" i="18"/>
  <c r="Q720" i="18"/>
  <c r="Q719" i="18"/>
  <c r="Q718" i="18"/>
  <c r="Q717" i="18"/>
  <c r="Q716" i="18"/>
  <c r="Q715" i="18"/>
  <c r="Q714" i="18"/>
  <c r="Q713" i="18"/>
  <c r="Q712" i="18"/>
  <c r="Q711" i="18"/>
  <c r="Q710" i="18"/>
  <c r="Q709" i="18"/>
  <c r="Q708" i="18"/>
  <c r="Q707" i="18"/>
  <c r="Q706" i="18"/>
  <c r="Q705" i="18"/>
  <c r="Q704" i="18"/>
  <c r="Q703" i="18"/>
  <c r="Q702" i="18"/>
  <c r="Q701" i="18"/>
  <c r="Q700" i="18"/>
  <c r="Q699" i="18"/>
  <c r="Q698" i="18"/>
  <c r="Q697" i="18"/>
  <c r="Q696" i="18"/>
  <c r="Q695" i="18"/>
  <c r="Q694" i="18"/>
  <c r="Q693" i="18"/>
  <c r="Q692" i="18"/>
  <c r="Q691" i="18"/>
  <c r="Q690" i="18"/>
  <c r="Q689" i="18"/>
  <c r="Q688" i="18"/>
  <c r="Q687" i="18"/>
  <c r="Q686" i="18"/>
  <c r="Q685" i="18"/>
  <c r="Q684" i="18"/>
  <c r="Q683" i="18"/>
  <c r="Q682" i="18"/>
  <c r="Q681" i="18"/>
  <c r="Q680" i="18"/>
  <c r="Q679" i="18"/>
  <c r="Q678" i="18"/>
  <c r="Q677" i="18"/>
  <c r="Q676" i="18"/>
  <c r="Q675" i="18"/>
  <c r="Q674" i="18"/>
  <c r="Q673" i="18"/>
  <c r="Q672" i="18"/>
  <c r="Q671" i="18"/>
  <c r="Q670" i="18"/>
  <c r="Q669" i="18"/>
  <c r="Q668" i="18"/>
  <c r="Q667" i="18"/>
  <c r="Q666" i="18"/>
  <c r="Q665" i="18"/>
  <c r="Q664" i="18"/>
  <c r="Q663" i="18"/>
  <c r="Q662" i="18"/>
  <c r="Q661" i="18"/>
  <c r="Q660" i="18"/>
  <c r="Q659" i="18"/>
  <c r="Q658" i="18"/>
  <c r="Q657" i="18"/>
  <c r="Q656" i="18"/>
  <c r="Q655" i="18"/>
  <c r="Q654" i="18"/>
  <c r="Q653" i="18"/>
  <c r="Q652" i="18"/>
  <c r="Q651" i="18"/>
  <c r="Q650" i="18"/>
  <c r="Q649" i="18"/>
  <c r="Q648" i="18"/>
  <c r="Q647" i="18"/>
  <c r="Q646" i="18"/>
  <c r="Q645" i="18"/>
  <c r="Q644" i="18"/>
  <c r="Q643" i="18"/>
  <c r="Q642" i="18"/>
  <c r="Q641" i="18"/>
  <c r="Q640" i="18"/>
  <c r="Q639" i="18"/>
  <c r="Q638" i="18"/>
  <c r="Q637" i="18"/>
  <c r="Q636" i="18"/>
  <c r="Q635" i="18"/>
  <c r="Q634" i="18"/>
  <c r="Q633" i="18"/>
  <c r="Q632" i="18"/>
  <c r="Q631" i="18"/>
  <c r="Q630" i="18"/>
  <c r="Q629" i="18"/>
  <c r="Q628" i="18"/>
  <c r="Q627" i="18"/>
  <c r="Q626" i="18"/>
  <c r="Q625" i="18"/>
  <c r="Q624" i="18"/>
  <c r="Q623" i="18"/>
  <c r="Q622" i="18"/>
  <c r="Q621" i="18"/>
  <c r="Q620" i="18"/>
  <c r="Q619" i="18"/>
  <c r="Q618" i="18"/>
  <c r="Q617" i="18"/>
  <c r="Q616" i="18"/>
  <c r="Q615" i="18"/>
  <c r="Q614" i="18"/>
  <c r="Q613" i="18"/>
  <c r="Q612" i="18"/>
  <c r="Q611" i="18"/>
  <c r="Q610" i="18"/>
  <c r="Q609" i="18"/>
  <c r="Q608" i="18"/>
  <c r="Q607" i="18"/>
  <c r="Q606" i="18"/>
  <c r="Q605" i="18"/>
  <c r="Q604" i="18"/>
  <c r="Q603" i="18"/>
  <c r="Q602" i="18"/>
  <c r="Q601" i="18"/>
  <c r="Q600" i="18"/>
  <c r="Q599" i="18"/>
  <c r="Q598" i="18"/>
  <c r="Q597" i="18"/>
  <c r="Q596" i="18"/>
  <c r="Q595" i="18"/>
  <c r="Q594" i="18"/>
  <c r="Q593" i="18"/>
  <c r="Q592" i="18"/>
  <c r="Q591" i="18"/>
  <c r="Q590" i="18"/>
  <c r="Q589" i="18"/>
  <c r="Q588" i="18"/>
  <c r="Q587" i="18"/>
  <c r="Q586" i="18"/>
  <c r="Q585" i="18"/>
  <c r="Q584" i="18"/>
  <c r="Q583" i="18"/>
  <c r="Q582" i="18"/>
  <c r="Q581" i="18"/>
  <c r="Q580" i="18"/>
  <c r="Q579" i="18"/>
  <c r="Q578" i="18"/>
  <c r="Q577" i="18"/>
  <c r="Q576" i="18"/>
  <c r="Q575" i="18"/>
  <c r="Q574" i="18"/>
  <c r="Q573" i="18"/>
  <c r="Q572" i="18"/>
  <c r="Q571" i="18"/>
  <c r="Q570" i="18"/>
  <c r="Q569" i="18"/>
  <c r="Q568" i="18"/>
  <c r="Q567" i="18"/>
  <c r="Q566" i="18"/>
  <c r="Q565" i="18"/>
  <c r="Q564" i="18"/>
  <c r="Q563" i="18"/>
  <c r="Q562" i="18"/>
  <c r="Q561" i="18"/>
  <c r="Q560" i="18"/>
  <c r="Q559" i="18"/>
  <c r="Q558" i="18"/>
  <c r="Q557" i="18"/>
  <c r="Q556" i="18"/>
  <c r="Q555" i="18"/>
  <c r="Q554" i="18"/>
  <c r="Q553" i="18"/>
  <c r="Q552" i="18"/>
  <c r="Q551" i="18"/>
  <c r="Q550" i="18"/>
  <c r="Q549" i="18"/>
  <c r="Q548" i="18"/>
  <c r="Q547" i="18"/>
  <c r="Q546" i="18"/>
  <c r="Q545" i="18"/>
  <c r="Q544" i="18"/>
  <c r="Q543" i="18"/>
  <c r="Q542" i="18"/>
  <c r="Q541" i="18"/>
  <c r="Q540" i="18"/>
  <c r="Q539" i="18"/>
  <c r="Q538" i="18"/>
  <c r="Q537" i="18"/>
  <c r="Q536" i="18"/>
  <c r="Q535" i="18"/>
  <c r="Q534" i="18"/>
  <c r="Q533" i="18"/>
  <c r="Q532" i="18"/>
  <c r="Q531" i="18"/>
  <c r="Q530" i="18"/>
  <c r="Q529" i="18"/>
  <c r="Q528" i="18"/>
  <c r="Q527" i="18"/>
  <c r="Q526" i="18"/>
  <c r="Q525" i="18"/>
  <c r="Q524" i="18"/>
  <c r="Q523" i="18"/>
  <c r="Q522" i="18"/>
  <c r="Q521" i="18"/>
  <c r="Q520" i="18"/>
  <c r="Q519" i="18"/>
  <c r="Q518" i="18"/>
  <c r="Q517" i="18"/>
  <c r="Q516" i="18"/>
  <c r="Q515" i="18"/>
  <c r="Q514" i="18"/>
  <c r="Q513" i="18"/>
  <c r="Q512" i="18"/>
  <c r="Q511" i="18"/>
  <c r="Q510" i="18"/>
  <c r="Q509" i="18"/>
  <c r="Q508" i="18"/>
  <c r="Q507" i="18"/>
  <c r="Q506" i="18"/>
  <c r="Q505" i="18"/>
  <c r="Q504" i="18"/>
  <c r="Q503" i="18"/>
  <c r="Q502" i="18"/>
  <c r="Q501" i="18"/>
  <c r="Q500" i="18"/>
  <c r="Q499" i="18"/>
  <c r="Q498" i="18"/>
  <c r="Q497" i="18"/>
  <c r="Q496" i="18"/>
  <c r="Q495" i="18"/>
  <c r="Q494" i="18"/>
  <c r="Q493" i="18"/>
  <c r="Q492" i="18"/>
  <c r="Q491" i="18"/>
  <c r="Q490" i="18"/>
  <c r="Q489" i="18"/>
  <c r="Q488" i="18"/>
  <c r="Q487" i="18"/>
  <c r="Q486" i="18"/>
  <c r="Q485" i="18"/>
  <c r="Q484" i="18"/>
  <c r="Q483" i="18"/>
  <c r="Q482" i="18"/>
  <c r="Q481" i="18"/>
  <c r="Q480" i="18"/>
  <c r="Q479" i="18"/>
  <c r="Q478" i="18"/>
  <c r="Q477" i="18"/>
  <c r="Q476" i="18"/>
  <c r="Q475" i="18"/>
  <c r="Q474" i="18"/>
  <c r="Q473" i="18"/>
  <c r="Q472" i="18"/>
  <c r="Q471" i="18"/>
  <c r="Q470" i="18"/>
  <c r="Q469" i="18"/>
  <c r="Q468" i="18"/>
  <c r="Q467" i="18"/>
  <c r="Q466" i="18"/>
  <c r="Q465" i="18"/>
  <c r="Q464" i="18"/>
  <c r="Q463" i="18"/>
  <c r="Q462" i="18"/>
  <c r="Q461" i="18"/>
  <c r="Q460" i="18"/>
  <c r="Q459" i="18"/>
  <c r="Q458" i="18"/>
  <c r="Q457" i="18"/>
  <c r="Q456" i="18"/>
  <c r="Q455" i="18"/>
  <c r="Q454" i="18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400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22" i="18"/>
  <c r="Q321" i="18"/>
  <c r="Q320" i="18"/>
  <c r="Q319" i="18"/>
  <c r="Q318" i="18"/>
  <c r="Q317" i="18"/>
  <c r="Q316" i="18"/>
  <c r="Q315" i="18"/>
  <c r="Q314" i="18"/>
  <c r="Q313" i="18"/>
  <c r="Q312" i="18"/>
  <c r="Q311" i="18"/>
  <c r="Q310" i="18"/>
  <c r="Q309" i="18"/>
  <c r="Q308" i="18"/>
  <c r="Q307" i="18"/>
  <c r="Q306" i="18"/>
  <c r="Q305" i="18"/>
  <c r="Q304" i="18"/>
  <c r="Q303" i="18"/>
  <c r="Q302" i="18"/>
  <c r="Q301" i="18"/>
  <c r="Q300" i="18"/>
  <c r="Q299" i="18"/>
  <c r="Q298" i="18"/>
  <c r="Q297" i="18"/>
  <c r="Q296" i="18"/>
  <c r="Q295" i="18"/>
  <c r="Q294" i="18"/>
  <c r="Q293" i="18"/>
  <c r="Q292" i="18"/>
  <c r="Q291" i="18"/>
  <c r="Q290" i="18"/>
  <c r="Q289" i="18"/>
  <c r="Q288" i="18"/>
  <c r="Q287" i="18"/>
  <c r="Q286" i="18"/>
  <c r="Q285" i="18"/>
  <c r="Q284" i="18"/>
  <c r="Q283" i="18"/>
  <c r="Q282" i="18"/>
  <c r="Q281" i="18"/>
  <c r="Q280" i="18"/>
  <c r="Q279" i="18"/>
  <c r="Q278" i="18"/>
  <c r="Q277" i="18"/>
  <c r="Q276" i="18"/>
  <c r="Q275" i="18"/>
  <c r="Q274" i="18"/>
  <c r="Q273" i="18"/>
  <c r="Q272" i="18"/>
  <c r="Q271" i="18"/>
  <c r="Q270" i="18"/>
  <c r="Q269" i="18"/>
  <c r="Q268" i="18"/>
  <c r="Q267" i="18"/>
  <c r="Q266" i="18"/>
  <c r="Q265" i="18"/>
  <c r="Q264" i="18"/>
  <c r="Q263" i="18"/>
  <c r="Q262" i="18"/>
  <c r="Q261" i="18"/>
  <c r="Q260" i="18"/>
  <c r="Q259" i="18"/>
  <c r="Q258" i="18"/>
  <c r="Q257" i="18"/>
  <c r="Q256" i="18"/>
  <c r="Q255" i="18"/>
  <c r="Q254" i="18"/>
  <c r="Q253" i="18"/>
  <c r="Q252" i="18"/>
  <c r="Q251" i="18"/>
  <c r="Q250" i="18"/>
  <c r="Q249" i="18"/>
  <c r="Q248" i="18"/>
  <c r="Q247" i="18"/>
  <c r="Q246" i="18"/>
  <c r="Q245" i="18"/>
  <c r="Q244" i="18"/>
  <c r="Q243" i="18"/>
  <c r="Q242" i="18"/>
  <c r="Q241" i="18"/>
  <c r="Q240" i="18"/>
  <c r="Q239" i="18"/>
  <c r="Q238" i="18"/>
  <c r="Q237" i="18"/>
  <c r="Q236" i="18"/>
  <c r="Q235" i="18"/>
  <c r="Q234" i="18"/>
  <c r="Q233" i="18"/>
  <c r="Q232" i="18"/>
  <c r="Q231" i="18"/>
  <c r="Q230" i="18"/>
  <c r="Q229" i="18"/>
  <c r="Q228" i="18"/>
  <c r="Q227" i="18"/>
  <c r="Q226" i="18"/>
  <c r="Q225" i="18"/>
  <c r="Q224" i="18"/>
  <c r="Q223" i="18"/>
  <c r="Q222" i="18"/>
  <c r="Q221" i="18"/>
  <c r="Q220" i="18"/>
  <c r="Q219" i="18"/>
  <c r="Q218" i="18"/>
  <c r="Q217" i="18"/>
  <c r="Q216" i="18"/>
  <c r="Q215" i="18"/>
  <c r="Q214" i="18"/>
  <c r="Q213" i="18"/>
  <c r="Q212" i="18"/>
  <c r="Q211" i="18"/>
  <c r="Q210" i="18"/>
  <c r="Q209" i="18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Q194" i="18"/>
  <c r="Q193" i="18"/>
  <c r="Q192" i="18"/>
  <c r="Q191" i="18"/>
  <c r="Q190" i="18"/>
  <c r="Q189" i="18"/>
  <c r="Q188" i="18"/>
  <c r="Q187" i="18"/>
  <c r="Q186" i="18"/>
  <c r="Q185" i="18"/>
  <c r="Q184" i="18"/>
  <c r="Q183" i="18"/>
  <c r="Q182" i="18"/>
  <c r="Q181" i="18"/>
  <c r="Q180" i="18"/>
  <c r="Q179" i="18"/>
  <c r="Q178" i="18"/>
  <c r="Q177" i="18"/>
  <c r="Q176" i="18"/>
  <c r="Q175" i="18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9" i="18"/>
  <c r="Q118" i="18"/>
  <c r="Q117" i="18"/>
  <c r="Q116" i="18"/>
  <c r="Q115" i="18"/>
  <c r="Q114" i="18"/>
  <c r="Q113" i="18"/>
  <c r="Q112" i="18"/>
  <c r="Q111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3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6" i="18"/>
  <c r="Q5" i="18"/>
  <c r="Q4" i="18"/>
  <c r="Q3" i="18"/>
  <c r="Q2" i="18"/>
  <c r="C173" i="14" l="1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H57" i="14"/>
  <c r="I57" i="14" s="1"/>
  <c r="H56" i="14"/>
  <c r="I56" i="14" s="1"/>
  <c r="H55" i="14"/>
  <c r="I55" i="14" s="1"/>
  <c r="H54" i="14"/>
  <c r="I54" i="14" s="1"/>
  <c r="H53" i="14"/>
  <c r="I53" i="14" s="1"/>
  <c r="H52" i="14"/>
  <c r="I52" i="14" s="1"/>
  <c r="H51" i="14"/>
  <c r="I51" i="14" s="1"/>
  <c r="H50" i="14"/>
  <c r="I50" i="14" s="1"/>
  <c r="H49" i="14"/>
  <c r="I49" i="14" s="1"/>
  <c r="H48" i="14"/>
  <c r="I48" i="14" s="1"/>
  <c r="H47" i="14"/>
  <c r="I47" i="14" s="1"/>
  <c r="H46" i="14"/>
  <c r="I46" i="14" s="1"/>
  <c r="H45" i="14"/>
  <c r="I45" i="14" s="1"/>
  <c r="H44" i="14"/>
  <c r="I44" i="14" s="1"/>
  <c r="H43" i="14"/>
  <c r="I43" i="14" s="1"/>
  <c r="H42" i="14"/>
  <c r="I42" i="14" s="1"/>
  <c r="H41" i="14"/>
  <c r="I41" i="14" s="1"/>
  <c r="H40" i="14"/>
  <c r="I40" i="14" s="1"/>
  <c r="H39" i="14"/>
  <c r="I39" i="14" s="1"/>
  <c r="H38" i="14"/>
  <c r="I38" i="14" s="1"/>
  <c r="H37" i="14"/>
  <c r="I37" i="14" s="1"/>
  <c r="H36" i="14"/>
  <c r="I36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H14" i="14"/>
  <c r="I14" i="14" s="1"/>
  <c r="H13" i="14"/>
  <c r="I13" i="14" s="1"/>
  <c r="H12" i="14"/>
  <c r="I12" i="14" s="1"/>
  <c r="H11" i="14"/>
  <c r="I11" i="14" s="1"/>
  <c r="H10" i="14"/>
  <c r="I10" i="14" s="1"/>
  <c r="H9" i="14"/>
  <c r="I9" i="14" s="1"/>
  <c r="H8" i="14"/>
  <c r="I8" i="14" s="1"/>
  <c r="H7" i="14"/>
  <c r="I7" i="14" s="1"/>
  <c r="H6" i="14"/>
  <c r="I6" i="14" s="1"/>
  <c r="H5" i="14"/>
  <c r="I5" i="14" s="1"/>
  <c r="H4" i="14"/>
  <c r="I4" i="14" s="1"/>
  <c r="H3" i="14"/>
  <c r="I3" i="14" s="1"/>
  <c r="H2" i="14"/>
  <c r="I2" i="14" s="1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Q1" i="15"/>
  <c r="L1" i="15"/>
  <c r="L521" i="12"/>
  <c r="M521" i="12" s="1"/>
  <c r="L520" i="12"/>
  <c r="M520" i="12" s="1"/>
  <c r="L519" i="12"/>
  <c r="M519" i="12" s="1"/>
  <c r="L518" i="12"/>
  <c r="M518" i="12" s="1"/>
  <c r="L517" i="12"/>
  <c r="M517" i="12" s="1"/>
  <c r="L516" i="12"/>
  <c r="M516" i="12" s="1"/>
  <c r="L515" i="12"/>
  <c r="M515" i="12" s="1"/>
  <c r="L514" i="12"/>
  <c r="M514" i="12" s="1"/>
  <c r="L513" i="12"/>
  <c r="M513" i="12" s="1"/>
  <c r="L512" i="12"/>
  <c r="M512" i="12" s="1"/>
  <c r="L511" i="12"/>
  <c r="M511" i="12" s="1"/>
  <c r="L510" i="12"/>
  <c r="M510" i="12" s="1"/>
  <c r="L509" i="12"/>
  <c r="M509" i="12" s="1"/>
  <c r="L508" i="12"/>
  <c r="M508" i="12" s="1"/>
  <c r="L507" i="12"/>
  <c r="M507" i="12" s="1"/>
  <c r="L506" i="12"/>
  <c r="M506" i="12" s="1"/>
  <c r="L505" i="12"/>
  <c r="M505" i="12" s="1"/>
  <c r="L504" i="12"/>
  <c r="M504" i="12" s="1"/>
  <c r="L503" i="12"/>
  <c r="M503" i="12" s="1"/>
  <c r="L502" i="12"/>
  <c r="M502" i="12" s="1"/>
  <c r="L501" i="12"/>
  <c r="M501" i="12" s="1"/>
  <c r="L500" i="12"/>
  <c r="M500" i="12" s="1"/>
  <c r="L499" i="12"/>
  <c r="M499" i="12" s="1"/>
  <c r="L498" i="12"/>
  <c r="M498" i="12" s="1"/>
  <c r="L497" i="12"/>
  <c r="M497" i="12" s="1"/>
  <c r="L496" i="12"/>
  <c r="M496" i="12" s="1"/>
  <c r="L495" i="12"/>
  <c r="M495" i="12" s="1"/>
  <c r="L494" i="12"/>
  <c r="M494" i="12" s="1"/>
  <c r="L493" i="12"/>
  <c r="M493" i="12" s="1"/>
  <c r="L492" i="12"/>
  <c r="M492" i="12" s="1"/>
  <c r="L491" i="12"/>
  <c r="M491" i="12" s="1"/>
  <c r="L490" i="12"/>
  <c r="M490" i="12" s="1"/>
  <c r="L489" i="12"/>
  <c r="M489" i="12" s="1"/>
  <c r="L488" i="12"/>
  <c r="M488" i="12" s="1"/>
  <c r="L487" i="12"/>
  <c r="M487" i="12" s="1"/>
  <c r="L486" i="12"/>
  <c r="M486" i="12" s="1"/>
  <c r="L485" i="12"/>
  <c r="M485" i="12" s="1"/>
  <c r="L484" i="12"/>
  <c r="M484" i="12" s="1"/>
  <c r="L483" i="12"/>
  <c r="M483" i="12" s="1"/>
  <c r="L482" i="12"/>
  <c r="M482" i="12" s="1"/>
  <c r="L481" i="12"/>
  <c r="M481" i="12" s="1"/>
  <c r="L480" i="12"/>
  <c r="M480" i="12" s="1"/>
  <c r="L479" i="12"/>
  <c r="M479" i="12" s="1"/>
  <c r="L478" i="12"/>
  <c r="M478" i="12" s="1"/>
  <c r="L477" i="12"/>
  <c r="M477" i="12" s="1"/>
  <c r="L476" i="12"/>
  <c r="M476" i="12" s="1"/>
  <c r="L475" i="12"/>
  <c r="M475" i="12" s="1"/>
  <c r="L474" i="12"/>
  <c r="M474" i="12" s="1"/>
  <c r="L473" i="12"/>
  <c r="M473" i="12" s="1"/>
  <c r="L472" i="12"/>
  <c r="M472" i="12" s="1"/>
  <c r="L471" i="12"/>
  <c r="M471" i="12" s="1"/>
  <c r="L470" i="12"/>
  <c r="M470" i="12" s="1"/>
  <c r="L469" i="12"/>
  <c r="M469" i="12" s="1"/>
  <c r="L468" i="12"/>
  <c r="M468" i="12" s="1"/>
  <c r="L467" i="12"/>
  <c r="M467" i="12" s="1"/>
  <c r="L466" i="12"/>
  <c r="M466" i="12" s="1"/>
  <c r="L465" i="12"/>
  <c r="M465" i="12" s="1"/>
  <c r="L464" i="12"/>
  <c r="M464" i="12" s="1"/>
  <c r="L463" i="12"/>
  <c r="M463" i="12" s="1"/>
  <c r="L462" i="12"/>
  <c r="M462" i="12" s="1"/>
  <c r="L461" i="12"/>
  <c r="M461" i="12" s="1"/>
  <c r="L460" i="12"/>
  <c r="M460" i="12" s="1"/>
  <c r="L459" i="12"/>
  <c r="M459" i="12" s="1"/>
  <c r="L458" i="12"/>
  <c r="M458" i="12" s="1"/>
  <c r="L457" i="12"/>
  <c r="M457" i="12" s="1"/>
  <c r="L456" i="12"/>
  <c r="M456" i="12" s="1"/>
  <c r="L455" i="12"/>
  <c r="M455" i="12" s="1"/>
  <c r="L454" i="12"/>
  <c r="M454" i="12" s="1"/>
  <c r="L453" i="12"/>
  <c r="M453" i="12" s="1"/>
  <c r="L452" i="12"/>
  <c r="M452" i="12" s="1"/>
  <c r="L451" i="12"/>
  <c r="M451" i="12" s="1"/>
  <c r="L450" i="12"/>
  <c r="M450" i="12" s="1"/>
  <c r="L449" i="12"/>
  <c r="M449" i="12" s="1"/>
  <c r="L448" i="12"/>
  <c r="M448" i="12" s="1"/>
  <c r="L447" i="12"/>
  <c r="M447" i="12" s="1"/>
  <c r="L446" i="12"/>
  <c r="M446" i="12" s="1"/>
  <c r="L445" i="12"/>
  <c r="M445" i="12" s="1"/>
  <c r="L444" i="12"/>
  <c r="M444" i="12" s="1"/>
  <c r="L443" i="12"/>
  <c r="M443" i="12" s="1"/>
  <c r="L442" i="12"/>
  <c r="M442" i="12" s="1"/>
  <c r="L441" i="12"/>
  <c r="M441" i="12" s="1"/>
  <c r="L440" i="12"/>
  <c r="M440" i="12" s="1"/>
  <c r="L439" i="12"/>
  <c r="M439" i="12" s="1"/>
  <c r="L438" i="12"/>
  <c r="M438" i="12" s="1"/>
  <c r="L437" i="12"/>
  <c r="M437" i="12" s="1"/>
  <c r="L436" i="12"/>
  <c r="M436" i="12" s="1"/>
  <c r="L435" i="12"/>
  <c r="M435" i="12" s="1"/>
  <c r="L434" i="12"/>
  <c r="M434" i="12" s="1"/>
  <c r="L433" i="12"/>
  <c r="M433" i="12" s="1"/>
  <c r="L432" i="12"/>
  <c r="M432" i="12" s="1"/>
  <c r="L431" i="12"/>
  <c r="M431" i="12" s="1"/>
  <c r="L430" i="12"/>
  <c r="M430" i="12" s="1"/>
  <c r="L429" i="12"/>
  <c r="M429" i="12" s="1"/>
  <c r="L428" i="12"/>
  <c r="M428" i="12" s="1"/>
  <c r="L427" i="12"/>
  <c r="M427" i="12" s="1"/>
  <c r="L426" i="12"/>
  <c r="M426" i="12" s="1"/>
  <c r="L425" i="12"/>
  <c r="M425" i="12" s="1"/>
  <c r="L424" i="12"/>
  <c r="M424" i="12" s="1"/>
  <c r="L423" i="12"/>
  <c r="M423" i="12" s="1"/>
  <c r="L422" i="12"/>
  <c r="M422" i="12" s="1"/>
  <c r="L421" i="12"/>
  <c r="M421" i="12" s="1"/>
  <c r="L420" i="12"/>
  <c r="M420" i="12" s="1"/>
  <c r="L419" i="12"/>
  <c r="M419" i="12" s="1"/>
  <c r="L418" i="12"/>
  <c r="M418" i="12" s="1"/>
  <c r="L417" i="12"/>
  <c r="M417" i="12" s="1"/>
  <c r="L416" i="12"/>
  <c r="M416" i="12" s="1"/>
  <c r="L415" i="12"/>
  <c r="M415" i="12" s="1"/>
  <c r="L414" i="12"/>
  <c r="M414" i="12" s="1"/>
  <c r="L413" i="12"/>
  <c r="M413" i="12" s="1"/>
  <c r="L412" i="12"/>
  <c r="M412" i="12" s="1"/>
  <c r="L411" i="12"/>
  <c r="M411" i="12" s="1"/>
  <c r="L410" i="12"/>
  <c r="M410" i="12" s="1"/>
  <c r="L409" i="12"/>
  <c r="M409" i="12" s="1"/>
  <c r="L408" i="12"/>
  <c r="M408" i="12" s="1"/>
  <c r="L407" i="12"/>
  <c r="M407" i="12" s="1"/>
  <c r="L406" i="12"/>
  <c r="M406" i="12" s="1"/>
  <c r="L405" i="12"/>
  <c r="M405" i="12" s="1"/>
  <c r="L404" i="12"/>
  <c r="M404" i="12" s="1"/>
  <c r="L403" i="12"/>
  <c r="M403" i="12" s="1"/>
  <c r="L402" i="12"/>
  <c r="M402" i="12" s="1"/>
  <c r="L401" i="12"/>
  <c r="M401" i="12" s="1"/>
  <c r="L400" i="12"/>
  <c r="M400" i="12" s="1"/>
  <c r="L399" i="12"/>
  <c r="M399" i="12" s="1"/>
  <c r="L398" i="12"/>
  <c r="M398" i="12" s="1"/>
  <c r="L397" i="12"/>
  <c r="M397" i="12" s="1"/>
  <c r="L396" i="12"/>
  <c r="M396" i="12" s="1"/>
  <c r="L395" i="12"/>
  <c r="M395" i="12" s="1"/>
  <c r="L394" i="12"/>
  <c r="M394" i="12" s="1"/>
  <c r="L393" i="12"/>
  <c r="M393" i="12" s="1"/>
  <c r="L392" i="12"/>
  <c r="M392" i="12" s="1"/>
  <c r="L391" i="12"/>
  <c r="M391" i="12" s="1"/>
  <c r="L390" i="12"/>
  <c r="M390" i="12" s="1"/>
  <c r="L389" i="12"/>
  <c r="M389" i="12" s="1"/>
  <c r="L388" i="12"/>
  <c r="M388" i="12" s="1"/>
  <c r="L387" i="12"/>
  <c r="M387" i="12" s="1"/>
  <c r="L386" i="12"/>
  <c r="M386" i="12" s="1"/>
  <c r="L385" i="12"/>
  <c r="M385" i="12" s="1"/>
  <c r="L384" i="12"/>
  <c r="M384" i="12" s="1"/>
  <c r="L383" i="12"/>
  <c r="M383" i="12" s="1"/>
  <c r="L382" i="12"/>
  <c r="M382" i="12" s="1"/>
  <c r="L381" i="12"/>
  <c r="M381" i="12" s="1"/>
  <c r="L380" i="12"/>
  <c r="M380" i="12" s="1"/>
  <c r="L379" i="12"/>
  <c r="M379" i="12" s="1"/>
  <c r="L378" i="12"/>
  <c r="M378" i="12" s="1"/>
  <c r="L377" i="12"/>
  <c r="M377" i="12" s="1"/>
  <c r="L376" i="12"/>
  <c r="M376" i="12" s="1"/>
  <c r="L375" i="12"/>
  <c r="M375" i="12" s="1"/>
  <c r="L374" i="12"/>
  <c r="M374" i="12" s="1"/>
  <c r="L373" i="12"/>
  <c r="M373" i="12" s="1"/>
  <c r="L372" i="12"/>
  <c r="M372" i="12" s="1"/>
  <c r="L371" i="12"/>
  <c r="M371" i="12" s="1"/>
  <c r="L370" i="12"/>
  <c r="M370" i="12" s="1"/>
  <c r="L369" i="12"/>
  <c r="M369" i="12" s="1"/>
  <c r="L368" i="12"/>
  <c r="M368" i="12" s="1"/>
  <c r="L367" i="12"/>
  <c r="M367" i="12" s="1"/>
  <c r="L366" i="12"/>
  <c r="M366" i="12" s="1"/>
  <c r="L365" i="12"/>
  <c r="M365" i="12" s="1"/>
  <c r="L364" i="12"/>
  <c r="M364" i="12" s="1"/>
  <c r="L363" i="12"/>
  <c r="M363" i="12" s="1"/>
  <c r="L362" i="12"/>
  <c r="M362" i="12" s="1"/>
  <c r="L361" i="12"/>
  <c r="M361" i="12" s="1"/>
  <c r="L360" i="12"/>
  <c r="M360" i="12" s="1"/>
  <c r="L359" i="12"/>
  <c r="M359" i="12" s="1"/>
  <c r="L358" i="12"/>
  <c r="M358" i="12" s="1"/>
  <c r="L357" i="12"/>
  <c r="M357" i="12" s="1"/>
  <c r="L356" i="12"/>
  <c r="M356" i="12" s="1"/>
  <c r="L355" i="12"/>
  <c r="M355" i="12" s="1"/>
  <c r="L354" i="12"/>
  <c r="M354" i="12" s="1"/>
  <c r="L353" i="12"/>
  <c r="M353" i="12" s="1"/>
  <c r="L352" i="12"/>
  <c r="M352" i="12" s="1"/>
  <c r="L351" i="12"/>
  <c r="M351" i="12" s="1"/>
  <c r="L350" i="12"/>
  <c r="M350" i="12" s="1"/>
  <c r="L349" i="12"/>
  <c r="M349" i="12" s="1"/>
  <c r="L348" i="12"/>
  <c r="M348" i="12" s="1"/>
  <c r="L347" i="12"/>
  <c r="M347" i="12" s="1"/>
  <c r="L346" i="12"/>
  <c r="M346" i="12" s="1"/>
  <c r="L345" i="12"/>
  <c r="M345" i="12" s="1"/>
  <c r="L344" i="12"/>
  <c r="M344" i="12" s="1"/>
  <c r="L343" i="12"/>
  <c r="M343" i="12" s="1"/>
  <c r="L342" i="12"/>
  <c r="M342" i="12" s="1"/>
  <c r="L341" i="12"/>
  <c r="M341" i="12" s="1"/>
  <c r="L340" i="12"/>
  <c r="M340" i="12" s="1"/>
  <c r="L339" i="12"/>
  <c r="M339" i="12" s="1"/>
  <c r="L338" i="12"/>
  <c r="M338" i="12" s="1"/>
  <c r="L337" i="12"/>
  <c r="M337" i="12" s="1"/>
  <c r="L336" i="12"/>
  <c r="M336" i="12" s="1"/>
  <c r="L335" i="12"/>
  <c r="M335" i="12" s="1"/>
  <c r="L334" i="12"/>
  <c r="M334" i="12" s="1"/>
  <c r="L333" i="12"/>
  <c r="M333" i="12" s="1"/>
  <c r="L332" i="12"/>
  <c r="M332" i="12" s="1"/>
  <c r="L331" i="12"/>
  <c r="M331" i="12" s="1"/>
  <c r="L330" i="12"/>
  <c r="M330" i="12" s="1"/>
  <c r="L329" i="12"/>
  <c r="M329" i="12" s="1"/>
  <c r="L328" i="12"/>
  <c r="M328" i="12" s="1"/>
  <c r="L327" i="12"/>
  <c r="M327" i="12" s="1"/>
  <c r="L326" i="12"/>
  <c r="M326" i="12" s="1"/>
  <c r="L325" i="12"/>
  <c r="M325" i="12" s="1"/>
  <c r="L324" i="12"/>
  <c r="M324" i="12" s="1"/>
  <c r="L323" i="12"/>
  <c r="M323" i="12" s="1"/>
  <c r="L322" i="12"/>
  <c r="M322" i="12" s="1"/>
  <c r="L321" i="12"/>
  <c r="M321" i="12" s="1"/>
  <c r="L320" i="12"/>
  <c r="M320" i="12" s="1"/>
  <c r="L319" i="12"/>
  <c r="M319" i="12" s="1"/>
  <c r="L318" i="12"/>
  <c r="M318" i="12" s="1"/>
  <c r="L317" i="12"/>
  <c r="M317" i="12" s="1"/>
  <c r="L316" i="12"/>
  <c r="M316" i="12" s="1"/>
  <c r="L315" i="12"/>
  <c r="M315" i="12" s="1"/>
  <c r="L314" i="12"/>
  <c r="M314" i="12" s="1"/>
  <c r="L313" i="12"/>
  <c r="M313" i="12" s="1"/>
  <c r="L312" i="12"/>
  <c r="M312" i="12" s="1"/>
  <c r="L311" i="12"/>
  <c r="M311" i="12" s="1"/>
  <c r="L310" i="12"/>
  <c r="M310" i="12" s="1"/>
  <c r="L309" i="12"/>
  <c r="M309" i="12" s="1"/>
  <c r="L308" i="12"/>
  <c r="M308" i="12" s="1"/>
  <c r="L307" i="12"/>
  <c r="M307" i="12" s="1"/>
  <c r="L306" i="12"/>
  <c r="M306" i="12" s="1"/>
  <c r="L305" i="12"/>
  <c r="M305" i="12" s="1"/>
  <c r="L304" i="12"/>
  <c r="M304" i="12" s="1"/>
  <c r="L303" i="12"/>
  <c r="M303" i="12" s="1"/>
  <c r="L302" i="12"/>
  <c r="M302" i="12" s="1"/>
  <c r="L301" i="12"/>
  <c r="M301" i="12" s="1"/>
  <c r="L300" i="12"/>
  <c r="M300" i="12" s="1"/>
  <c r="L299" i="12"/>
  <c r="M299" i="12" s="1"/>
  <c r="L298" i="12"/>
  <c r="M298" i="12" s="1"/>
  <c r="L297" i="12"/>
  <c r="M297" i="12" s="1"/>
  <c r="L296" i="12"/>
  <c r="M296" i="12" s="1"/>
  <c r="L295" i="12"/>
  <c r="M295" i="12" s="1"/>
  <c r="L294" i="12"/>
  <c r="M294" i="12" s="1"/>
  <c r="L293" i="12"/>
  <c r="M293" i="12" s="1"/>
  <c r="L292" i="12"/>
  <c r="M292" i="12" s="1"/>
  <c r="L291" i="12"/>
  <c r="M291" i="12" s="1"/>
  <c r="L290" i="12"/>
  <c r="M290" i="12" s="1"/>
  <c r="L289" i="12"/>
  <c r="M289" i="12" s="1"/>
  <c r="L288" i="12"/>
  <c r="M288" i="12" s="1"/>
  <c r="L287" i="12"/>
  <c r="M287" i="12" s="1"/>
  <c r="L286" i="12"/>
  <c r="M286" i="12" s="1"/>
  <c r="L285" i="12"/>
  <c r="M285" i="12" s="1"/>
  <c r="L284" i="12"/>
  <c r="M284" i="12" s="1"/>
  <c r="L283" i="12"/>
  <c r="M283" i="12" s="1"/>
  <c r="L282" i="12"/>
  <c r="M282" i="12" s="1"/>
  <c r="L281" i="12"/>
  <c r="M281" i="12" s="1"/>
  <c r="L280" i="12"/>
  <c r="M280" i="12" s="1"/>
  <c r="L279" i="12"/>
  <c r="M279" i="12" s="1"/>
  <c r="L278" i="12"/>
  <c r="M278" i="12" s="1"/>
  <c r="L277" i="12"/>
  <c r="M277" i="12" s="1"/>
  <c r="L276" i="12"/>
  <c r="M276" i="12" s="1"/>
  <c r="L275" i="12"/>
  <c r="M275" i="12" s="1"/>
  <c r="L274" i="12"/>
  <c r="M274" i="12" s="1"/>
  <c r="L273" i="12"/>
  <c r="M273" i="12" s="1"/>
  <c r="L272" i="12"/>
  <c r="M272" i="12" s="1"/>
  <c r="L271" i="12"/>
  <c r="M271" i="12" s="1"/>
  <c r="L270" i="12"/>
  <c r="M270" i="12" s="1"/>
  <c r="L269" i="12"/>
  <c r="M269" i="12" s="1"/>
  <c r="L268" i="12"/>
  <c r="M268" i="12" s="1"/>
  <c r="L267" i="12"/>
  <c r="M267" i="12" s="1"/>
  <c r="L266" i="12"/>
  <c r="M266" i="12" s="1"/>
  <c r="L265" i="12"/>
  <c r="M265" i="12" s="1"/>
  <c r="L264" i="12"/>
  <c r="M264" i="12" s="1"/>
  <c r="L263" i="12"/>
  <c r="M263" i="12" s="1"/>
  <c r="L262" i="12"/>
  <c r="M262" i="12" s="1"/>
  <c r="L261" i="12"/>
  <c r="M261" i="12" s="1"/>
  <c r="L260" i="12"/>
  <c r="M260" i="12" s="1"/>
  <c r="L259" i="12"/>
  <c r="M259" i="12" s="1"/>
  <c r="L258" i="12"/>
  <c r="M258" i="12" s="1"/>
  <c r="L257" i="12"/>
  <c r="M257" i="12" s="1"/>
  <c r="L256" i="12"/>
  <c r="M256" i="12" s="1"/>
  <c r="L255" i="12"/>
  <c r="M255" i="12" s="1"/>
  <c r="L254" i="12"/>
  <c r="M254" i="12" s="1"/>
  <c r="L253" i="12"/>
  <c r="M253" i="12" s="1"/>
  <c r="L252" i="12"/>
  <c r="M252" i="12" s="1"/>
  <c r="L251" i="12"/>
  <c r="M251" i="12" s="1"/>
  <c r="L250" i="12"/>
  <c r="M250" i="12" s="1"/>
  <c r="L249" i="12"/>
  <c r="M249" i="12" s="1"/>
  <c r="L248" i="12"/>
  <c r="M248" i="12" s="1"/>
  <c r="L247" i="12"/>
  <c r="M247" i="12" s="1"/>
  <c r="L246" i="12"/>
  <c r="M246" i="12" s="1"/>
  <c r="L245" i="12"/>
  <c r="M245" i="12" s="1"/>
  <c r="L244" i="12"/>
  <c r="M244" i="12" s="1"/>
  <c r="L243" i="12"/>
  <c r="M243" i="12" s="1"/>
  <c r="L242" i="12"/>
  <c r="M242" i="12" s="1"/>
  <c r="L241" i="12"/>
  <c r="M241" i="12" s="1"/>
  <c r="L240" i="12"/>
  <c r="M240" i="12" s="1"/>
  <c r="L239" i="12"/>
  <c r="M239" i="12" s="1"/>
  <c r="L238" i="12"/>
  <c r="M238" i="12" s="1"/>
  <c r="L237" i="12"/>
  <c r="M237" i="12" s="1"/>
  <c r="L236" i="12"/>
  <c r="M236" i="12" s="1"/>
  <c r="L235" i="12"/>
  <c r="M235" i="12" s="1"/>
  <c r="L234" i="12"/>
  <c r="M234" i="12" s="1"/>
  <c r="L233" i="12"/>
  <c r="M233" i="12" s="1"/>
  <c r="L232" i="12"/>
  <c r="M232" i="12" s="1"/>
  <c r="L231" i="12"/>
  <c r="M231" i="12" s="1"/>
  <c r="L230" i="12"/>
  <c r="M230" i="12" s="1"/>
  <c r="L229" i="12"/>
  <c r="M229" i="12" s="1"/>
  <c r="L228" i="12"/>
  <c r="M228" i="12" s="1"/>
  <c r="L227" i="12"/>
  <c r="M227" i="12" s="1"/>
  <c r="L226" i="12"/>
  <c r="M226" i="12" s="1"/>
  <c r="L225" i="12"/>
  <c r="M225" i="12" s="1"/>
  <c r="L224" i="12"/>
  <c r="M224" i="12" s="1"/>
  <c r="L223" i="12"/>
  <c r="M223" i="12" s="1"/>
  <c r="L222" i="12"/>
  <c r="M222" i="12" s="1"/>
  <c r="L221" i="12"/>
  <c r="M221" i="12" s="1"/>
  <c r="L220" i="12"/>
  <c r="M220" i="12" s="1"/>
  <c r="L219" i="12"/>
  <c r="M219" i="12" s="1"/>
  <c r="L218" i="12"/>
  <c r="M218" i="12" s="1"/>
  <c r="L217" i="12"/>
  <c r="M217" i="12" s="1"/>
  <c r="L216" i="12"/>
  <c r="M216" i="12" s="1"/>
  <c r="L215" i="12"/>
  <c r="M215" i="12" s="1"/>
  <c r="L214" i="12"/>
  <c r="M214" i="12" s="1"/>
  <c r="L213" i="12"/>
  <c r="M213" i="12" s="1"/>
  <c r="L212" i="12"/>
  <c r="M212" i="12" s="1"/>
  <c r="L211" i="12"/>
  <c r="M211" i="12" s="1"/>
  <c r="L210" i="12"/>
  <c r="M210" i="12" s="1"/>
  <c r="L209" i="12"/>
  <c r="M209" i="12" s="1"/>
  <c r="L208" i="12"/>
  <c r="M208" i="12" s="1"/>
  <c r="L207" i="12"/>
  <c r="M207" i="12" s="1"/>
  <c r="L206" i="12"/>
  <c r="M206" i="12" s="1"/>
  <c r="L205" i="12"/>
  <c r="M205" i="12" s="1"/>
  <c r="L204" i="12"/>
  <c r="M204" i="12" s="1"/>
  <c r="L203" i="12"/>
  <c r="M203" i="12" s="1"/>
  <c r="L202" i="12"/>
  <c r="M202" i="12" s="1"/>
  <c r="L201" i="12"/>
  <c r="M201" i="12" s="1"/>
  <c r="L200" i="12"/>
  <c r="M200" i="12" s="1"/>
  <c r="L199" i="12"/>
  <c r="M199" i="12" s="1"/>
  <c r="L198" i="12"/>
  <c r="M198" i="12" s="1"/>
  <c r="L197" i="12"/>
  <c r="M197" i="12" s="1"/>
  <c r="L196" i="12"/>
  <c r="M196" i="12" s="1"/>
  <c r="L195" i="12"/>
  <c r="M195" i="12" s="1"/>
  <c r="L194" i="12"/>
  <c r="M194" i="12" s="1"/>
  <c r="L193" i="12"/>
  <c r="M193" i="12" s="1"/>
  <c r="L192" i="12"/>
  <c r="M192" i="12" s="1"/>
  <c r="L191" i="12"/>
  <c r="M191" i="12" s="1"/>
  <c r="L190" i="12"/>
  <c r="M190" i="12" s="1"/>
  <c r="L189" i="12"/>
  <c r="M189" i="12" s="1"/>
  <c r="L188" i="12"/>
  <c r="M188" i="12" s="1"/>
  <c r="L187" i="12"/>
  <c r="M187" i="12" s="1"/>
  <c r="L186" i="12"/>
  <c r="M186" i="12" s="1"/>
  <c r="L185" i="12"/>
  <c r="M185" i="12" s="1"/>
  <c r="L184" i="12"/>
  <c r="M184" i="12" s="1"/>
  <c r="L183" i="12"/>
  <c r="M183" i="12" s="1"/>
  <c r="L182" i="12"/>
  <c r="M182" i="12" s="1"/>
  <c r="L181" i="12"/>
  <c r="M181" i="12" s="1"/>
  <c r="L180" i="12"/>
  <c r="M180" i="12" s="1"/>
  <c r="L179" i="12"/>
  <c r="M179" i="12" s="1"/>
  <c r="L178" i="12"/>
  <c r="M178" i="12" s="1"/>
  <c r="L177" i="12"/>
  <c r="M177" i="12" s="1"/>
  <c r="L176" i="12"/>
  <c r="M176" i="12" s="1"/>
  <c r="L175" i="12"/>
  <c r="M175" i="12" s="1"/>
  <c r="L174" i="12"/>
  <c r="M174" i="12" s="1"/>
  <c r="L173" i="12"/>
  <c r="M173" i="12" s="1"/>
  <c r="L172" i="12"/>
  <c r="M172" i="12" s="1"/>
  <c r="L171" i="12"/>
  <c r="M171" i="12" s="1"/>
  <c r="L170" i="12"/>
  <c r="M170" i="12" s="1"/>
  <c r="L169" i="12"/>
  <c r="M169" i="12" s="1"/>
  <c r="L168" i="12"/>
  <c r="M168" i="12" s="1"/>
  <c r="L167" i="12"/>
  <c r="M167" i="12" s="1"/>
  <c r="L166" i="12"/>
  <c r="M166" i="12" s="1"/>
  <c r="L165" i="12"/>
  <c r="M165" i="12" s="1"/>
  <c r="L164" i="12"/>
  <c r="M164" i="12" s="1"/>
  <c r="L163" i="12"/>
  <c r="M163" i="12" s="1"/>
  <c r="L162" i="12"/>
  <c r="M162" i="12" s="1"/>
  <c r="L161" i="12"/>
  <c r="M161" i="12" s="1"/>
  <c r="L160" i="12"/>
  <c r="M160" i="12" s="1"/>
  <c r="L159" i="12"/>
  <c r="M159" i="12" s="1"/>
  <c r="L158" i="12"/>
  <c r="M158" i="12" s="1"/>
  <c r="L157" i="12"/>
  <c r="M157" i="12" s="1"/>
  <c r="L156" i="12"/>
  <c r="M156" i="12" s="1"/>
  <c r="L155" i="12"/>
  <c r="M155" i="12" s="1"/>
  <c r="L154" i="12"/>
  <c r="M154" i="12" s="1"/>
  <c r="L153" i="12"/>
  <c r="M153" i="12" s="1"/>
  <c r="L152" i="12"/>
  <c r="M152" i="12" s="1"/>
  <c r="L151" i="12"/>
  <c r="M151" i="12" s="1"/>
  <c r="L150" i="12"/>
  <c r="M150" i="12" s="1"/>
  <c r="L149" i="12"/>
  <c r="M149" i="12" s="1"/>
  <c r="L148" i="12"/>
  <c r="M148" i="12" s="1"/>
  <c r="L147" i="12"/>
  <c r="M147" i="12" s="1"/>
  <c r="L146" i="12"/>
  <c r="M146" i="12" s="1"/>
  <c r="L145" i="12"/>
  <c r="M145" i="12" s="1"/>
  <c r="L144" i="12"/>
  <c r="M144" i="12" s="1"/>
  <c r="L143" i="12"/>
  <c r="M143" i="12" s="1"/>
  <c r="L142" i="12"/>
  <c r="M142" i="12" s="1"/>
  <c r="L141" i="12"/>
  <c r="M141" i="12" s="1"/>
  <c r="L140" i="12"/>
  <c r="M140" i="12" s="1"/>
  <c r="L139" i="12"/>
  <c r="M139" i="12" s="1"/>
  <c r="L138" i="12"/>
  <c r="M138" i="12" s="1"/>
  <c r="L137" i="12"/>
  <c r="M137" i="12" s="1"/>
  <c r="L136" i="12"/>
  <c r="M136" i="12" s="1"/>
  <c r="L135" i="12"/>
  <c r="M135" i="12" s="1"/>
  <c r="L134" i="12"/>
  <c r="M134" i="12" s="1"/>
  <c r="L133" i="12"/>
  <c r="M133" i="12" s="1"/>
  <c r="L132" i="12"/>
  <c r="M132" i="12" s="1"/>
  <c r="L131" i="12"/>
  <c r="M131" i="12" s="1"/>
  <c r="L130" i="12"/>
  <c r="M130" i="12" s="1"/>
  <c r="L129" i="12"/>
  <c r="M129" i="12" s="1"/>
  <c r="L128" i="12"/>
  <c r="M128" i="12" s="1"/>
  <c r="L127" i="12"/>
  <c r="M127" i="12" s="1"/>
  <c r="L126" i="12"/>
  <c r="M126" i="12" s="1"/>
  <c r="L125" i="12"/>
  <c r="M125" i="12" s="1"/>
  <c r="L124" i="12"/>
  <c r="M124" i="12" s="1"/>
  <c r="L123" i="12"/>
  <c r="M123" i="12" s="1"/>
  <c r="L122" i="12"/>
  <c r="M122" i="12" s="1"/>
  <c r="L121" i="12"/>
  <c r="M121" i="12" s="1"/>
  <c r="L120" i="12"/>
  <c r="M120" i="12" s="1"/>
  <c r="L119" i="12"/>
  <c r="M119" i="12" s="1"/>
  <c r="L118" i="12"/>
  <c r="M118" i="12" s="1"/>
  <c r="L117" i="12"/>
  <c r="M117" i="12" s="1"/>
  <c r="L116" i="12"/>
  <c r="M116" i="12" s="1"/>
  <c r="L115" i="12"/>
  <c r="M115" i="12" s="1"/>
  <c r="L114" i="12"/>
  <c r="M114" i="12" s="1"/>
  <c r="L113" i="12"/>
  <c r="M113" i="12" s="1"/>
  <c r="L112" i="12"/>
  <c r="M112" i="12" s="1"/>
  <c r="L111" i="12"/>
  <c r="M111" i="12" s="1"/>
  <c r="L110" i="12"/>
  <c r="M110" i="12" s="1"/>
  <c r="L109" i="12"/>
  <c r="M109" i="12" s="1"/>
  <c r="L108" i="12"/>
  <c r="M108" i="12" s="1"/>
  <c r="L107" i="12"/>
  <c r="M107" i="12" s="1"/>
  <c r="L106" i="12"/>
  <c r="M106" i="12" s="1"/>
  <c r="L105" i="12"/>
  <c r="M105" i="12" s="1"/>
  <c r="L104" i="12"/>
  <c r="M104" i="12" s="1"/>
  <c r="L103" i="12"/>
  <c r="M103" i="12" s="1"/>
  <c r="L102" i="12"/>
  <c r="M102" i="12" s="1"/>
  <c r="L101" i="12"/>
  <c r="M101" i="12" s="1"/>
  <c r="L100" i="12"/>
  <c r="M100" i="12" s="1"/>
  <c r="L99" i="12"/>
  <c r="M99" i="12" s="1"/>
  <c r="L98" i="12"/>
  <c r="M98" i="12" s="1"/>
  <c r="L97" i="12"/>
  <c r="M97" i="12" s="1"/>
  <c r="L96" i="12"/>
  <c r="M96" i="12" s="1"/>
  <c r="L95" i="12"/>
  <c r="M95" i="12" s="1"/>
  <c r="L94" i="12"/>
  <c r="M94" i="12" s="1"/>
  <c r="L93" i="12"/>
  <c r="M93" i="12" s="1"/>
  <c r="L92" i="12"/>
  <c r="M92" i="12" s="1"/>
  <c r="L91" i="12"/>
  <c r="M91" i="12" s="1"/>
  <c r="L90" i="12"/>
  <c r="M90" i="12" s="1"/>
  <c r="L89" i="12"/>
  <c r="M89" i="12" s="1"/>
  <c r="L88" i="12"/>
  <c r="M88" i="12" s="1"/>
  <c r="L87" i="12"/>
  <c r="M87" i="12" s="1"/>
  <c r="L86" i="12"/>
  <c r="M86" i="12" s="1"/>
  <c r="L85" i="12"/>
  <c r="M85" i="12" s="1"/>
  <c r="L84" i="12"/>
  <c r="M84" i="12" s="1"/>
  <c r="L83" i="12"/>
  <c r="M83" i="12" s="1"/>
  <c r="L82" i="12"/>
  <c r="M82" i="12" s="1"/>
  <c r="L81" i="12"/>
  <c r="M81" i="12" s="1"/>
  <c r="L80" i="12"/>
  <c r="M80" i="12" s="1"/>
  <c r="L79" i="12"/>
  <c r="M79" i="12" s="1"/>
  <c r="L78" i="12"/>
  <c r="M78" i="12" s="1"/>
  <c r="L77" i="12"/>
  <c r="M77" i="12" s="1"/>
  <c r="L76" i="12"/>
  <c r="M76" i="12" s="1"/>
  <c r="L75" i="12"/>
  <c r="M75" i="12" s="1"/>
  <c r="L74" i="12"/>
  <c r="M74" i="12" s="1"/>
  <c r="L73" i="12"/>
  <c r="M73" i="12" s="1"/>
  <c r="L72" i="12"/>
  <c r="M72" i="12" s="1"/>
  <c r="L71" i="12"/>
  <c r="M71" i="12" s="1"/>
  <c r="L70" i="12"/>
  <c r="M70" i="12" s="1"/>
  <c r="L69" i="12"/>
  <c r="M69" i="12" s="1"/>
  <c r="L68" i="12"/>
  <c r="M68" i="12" s="1"/>
  <c r="L67" i="12"/>
  <c r="M67" i="12" s="1"/>
  <c r="L66" i="12"/>
  <c r="M66" i="12" s="1"/>
  <c r="L65" i="12"/>
  <c r="M65" i="12" s="1"/>
  <c r="L64" i="12"/>
  <c r="M64" i="12" s="1"/>
  <c r="L63" i="12"/>
  <c r="M63" i="12" s="1"/>
  <c r="L62" i="12"/>
  <c r="M62" i="12" s="1"/>
  <c r="L61" i="12"/>
  <c r="M61" i="12" s="1"/>
  <c r="L60" i="12"/>
  <c r="M60" i="12" s="1"/>
  <c r="L59" i="12"/>
  <c r="M59" i="12" s="1"/>
  <c r="L58" i="12"/>
  <c r="M58" i="12" s="1"/>
  <c r="L57" i="12"/>
  <c r="M57" i="12" s="1"/>
  <c r="L56" i="12"/>
  <c r="M56" i="12" s="1"/>
  <c r="L55" i="12"/>
  <c r="M55" i="12" s="1"/>
  <c r="L54" i="12"/>
  <c r="M54" i="12" s="1"/>
  <c r="L53" i="12"/>
  <c r="M53" i="12" s="1"/>
  <c r="L52" i="12"/>
  <c r="M52" i="12" s="1"/>
  <c r="N51" i="12"/>
  <c r="P51" i="12" s="1"/>
  <c r="L51" i="12"/>
  <c r="M51" i="12" s="1"/>
  <c r="N50" i="12"/>
  <c r="L50" i="12"/>
  <c r="M50" i="12" s="1"/>
  <c r="P50" i="12" s="1"/>
  <c r="O49" i="12"/>
  <c r="N49" i="12"/>
  <c r="P49" i="12" s="1"/>
  <c r="L49" i="12"/>
  <c r="M49" i="12" s="1"/>
  <c r="N48" i="12"/>
  <c r="O48" i="12" s="1"/>
  <c r="L48" i="12"/>
  <c r="M48" i="12" s="1"/>
  <c r="P48" i="12" s="1"/>
  <c r="N47" i="12"/>
  <c r="P47" i="12" s="1"/>
  <c r="L47" i="12"/>
  <c r="M47" i="12" s="1"/>
  <c r="N46" i="12"/>
  <c r="L46" i="12"/>
  <c r="M46" i="12" s="1"/>
  <c r="P46" i="12" s="1"/>
  <c r="O45" i="12"/>
  <c r="N45" i="12"/>
  <c r="P45" i="12" s="1"/>
  <c r="L45" i="12"/>
  <c r="M45" i="12" s="1"/>
  <c r="N44" i="12"/>
  <c r="O44" i="12" s="1"/>
  <c r="L44" i="12"/>
  <c r="M44" i="12" s="1"/>
  <c r="P44" i="12" s="1"/>
  <c r="N43" i="12"/>
  <c r="P43" i="12" s="1"/>
  <c r="L43" i="12"/>
  <c r="M43" i="12" s="1"/>
  <c r="N42" i="12"/>
  <c r="L42" i="12"/>
  <c r="M42" i="12" s="1"/>
  <c r="P42" i="12" s="1"/>
  <c r="O41" i="12"/>
  <c r="L41" i="12"/>
  <c r="M41" i="12" s="1"/>
  <c r="P41" i="12" s="1"/>
  <c r="L40" i="12"/>
  <c r="M40" i="12" s="1"/>
  <c r="P40" i="12" s="1"/>
  <c r="L39" i="12"/>
  <c r="M39" i="12" s="1"/>
  <c r="P39" i="12" s="1"/>
  <c r="P38" i="12"/>
  <c r="O38" i="12"/>
  <c r="L38" i="12"/>
  <c r="M38" i="12" s="1"/>
  <c r="L37" i="12"/>
  <c r="M37" i="12" s="1"/>
  <c r="P37" i="12" s="1"/>
  <c r="P36" i="12"/>
  <c r="L36" i="12"/>
  <c r="M36" i="12" s="1"/>
  <c r="O36" i="12" s="1"/>
  <c r="P35" i="12"/>
  <c r="O35" i="12"/>
  <c r="L35" i="12"/>
  <c r="M35" i="12" s="1"/>
  <c r="P34" i="12"/>
  <c r="O34" i="12"/>
  <c r="L34" i="12"/>
  <c r="M34" i="12" s="1"/>
  <c r="L33" i="12"/>
  <c r="M33" i="12" s="1"/>
  <c r="P33" i="12" s="1"/>
  <c r="L32" i="12"/>
  <c r="M32" i="12" s="1"/>
  <c r="P32" i="12" s="1"/>
  <c r="P31" i="12"/>
  <c r="O31" i="12"/>
  <c r="L31" i="12"/>
  <c r="M31" i="12" s="1"/>
  <c r="P30" i="12"/>
  <c r="O30" i="12"/>
  <c r="L30" i="12"/>
  <c r="M30" i="12" s="1"/>
  <c r="L29" i="12"/>
  <c r="M29" i="12" s="1"/>
  <c r="P29" i="12" s="1"/>
  <c r="L28" i="12"/>
  <c r="M28" i="12" s="1"/>
  <c r="P28" i="12" s="1"/>
  <c r="P27" i="12"/>
  <c r="L27" i="12"/>
  <c r="M27" i="12" s="1"/>
  <c r="O27" i="12" s="1"/>
  <c r="L26" i="12"/>
  <c r="M26" i="12" s="1"/>
  <c r="O26" i="12" s="1"/>
  <c r="O25" i="12"/>
  <c r="L25" i="12"/>
  <c r="M25" i="12" s="1"/>
  <c r="P25" i="12" s="1"/>
  <c r="L24" i="12"/>
  <c r="M24" i="12" s="1"/>
  <c r="P24" i="12" s="1"/>
  <c r="P23" i="12"/>
  <c r="L23" i="12"/>
  <c r="M23" i="12" s="1"/>
  <c r="O23" i="12" s="1"/>
  <c r="P22" i="12"/>
  <c r="O22" i="12"/>
  <c r="L22" i="12"/>
  <c r="M22" i="12" s="1"/>
  <c r="L21" i="12"/>
  <c r="M21" i="12" s="1"/>
  <c r="P21" i="12" s="1"/>
  <c r="P20" i="12"/>
  <c r="L20" i="12"/>
  <c r="M20" i="12" s="1"/>
  <c r="O20" i="12" s="1"/>
  <c r="P19" i="12"/>
  <c r="O19" i="12"/>
  <c r="L19" i="12"/>
  <c r="M19" i="12" s="1"/>
  <c r="P18" i="12"/>
  <c r="O18" i="12"/>
  <c r="L18" i="12"/>
  <c r="M18" i="12" s="1"/>
  <c r="L17" i="12"/>
  <c r="M17" i="12" s="1"/>
  <c r="P17" i="12" s="1"/>
  <c r="L16" i="12"/>
  <c r="M16" i="12" s="1"/>
  <c r="P16" i="12" s="1"/>
  <c r="P15" i="12"/>
  <c r="O15" i="12"/>
  <c r="L15" i="12"/>
  <c r="M15" i="12" s="1"/>
  <c r="P14" i="12"/>
  <c r="O14" i="12"/>
  <c r="L14" i="12"/>
  <c r="M14" i="12" s="1"/>
  <c r="L13" i="12"/>
  <c r="M13" i="12" s="1"/>
  <c r="P13" i="12" s="1"/>
  <c r="L12" i="12"/>
  <c r="M12" i="12" s="1"/>
  <c r="P12" i="12" s="1"/>
  <c r="P11" i="12"/>
  <c r="L11" i="12"/>
  <c r="M11" i="12" s="1"/>
  <c r="O11" i="12" s="1"/>
  <c r="L10" i="12"/>
  <c r="M10" i="12" s="1"/>
  <c r="O10" i="12" s="1"/>
  <c r="O9" i="12"/>
  <c r="L9" i="12"/>
  <c r="M9" i="12" s="1"/>
  <c r="P9" i="12" s="1"/>
  <c r="L8" i="12"/>
  <c r="M8" i="12" s="1"/>
  <c r="P8" i="12" s="1"/>
  <c r="P7" i="12"/>
  <c r="L7" i="12"/>
  <c r="M7" i="12" s="1"/>
  <c r="O7" i="12" s="1"/>
  <c r="P6" i="12"/>
  <c r="O6" i="12"/>
  <c r="L6" i="12"/>
  <c r="M6" i="12" s="1"/>
  <c r="L5" i="12"/>
  <c r="M5" i="12" s="1"/>
  <c r="P5" i="12" s="1"/>
  <c r="P4" i="12"/>
  <c r="L4" i="12"/>
  <c r="M4" i="12" s="1"/>
  <c r="O4" i="12" s="1"/>
  <c r="L3" i="12"/>
  <c r="P2" i="12"/>
  <c r="O2" i="12"/>
  <c r="L2" i="12"/>
  <c r="M2" i="12" s="1"/>
  <c r="O1" i="12"/>
  <c r="J1" i="12"/>
  <c r="L69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M38" i="10"/>
  <c r="G38" i="10"/>
  <c r="G37" i="10"/>
  <c r="G36" i="10"/>
  <c r="M35" i="10"/>
  <c r="G35" i="10"/>
  <c r="I34" i="10"/>
  <c r="G34" i="10"/>
  <c r="G33" i="10"/>
  <c r="I31" i="10"/>
  <c r="E31" i="10"/>
  <c r="D31" i="10"/>
  <c r="C31" i="10"/>
  <c r="B31" i="10"/>
  <c r="S29" i="10"/>
  <c r="G29" i="10"/>
  <c r="S28" i="10"/>
  <c r="G28" i="10"/>
  <c r="S27" i="10"/>
  <c r="G27" i="10"/>
  <c r="S26" i="10"/>
  <c r="G26" i="10"/>
  <c r="S25" i="10"/>
  <c r="G25" i="10"/>
  <c r="S24" i="10"/>
  <c r="G24" i="10"/>
  <c r="S23" i="10"/>
  <c r="G23" i="10"/>
  <c r="S22" i="10"/>
  <c r="S21" i="10"/>
  <c r="G21" i="10"/>
  <c r="S20" i="10"/>
  <c r="G20" i="10"/>
  <c r="S19" i="10"/>
  <c r="G19" i="10"/>
  <c r="S18" i="10"/>
  <c r="G18" i="10"/>
  <c r="S17" i="10"/>
  <c r="G17" i="10"/>
  <c r="S16" i="10"/>
  <c r="G16" i="10"/>
  <c r="S15" i="10"/>
  <c r="G15" i="10"/>
  <c r="S14" i="10"/>
  <c r="G14" i="10"/>
  <c r="S13" i="10"/>
  <c r="G13" i="10"/>
  <c r="S12" i="10"/>
  <c r="G12" i="10"/>
  <c r="S11" i="10"/>
  <c r="G11" i="10"/>
  <c r="S10" i="10"/>
  <c r="G10" i="10"/>
  <c r="S9" i="10"/>
  <c r="G9" i="10"/>
  <c r="S8" i="10"/>
  <c r="G8" i="10"/>
  <c r="S7" i="10"/>
  <c r="G7" i="10"/>
  <c r="S6" i="10"/>
  <c r="G6" i="10"/>
  <c r="S5" i="10"/>
  <c r="G5" i="10"/>
  <c r="S4" i="10"/>
  <c r="G4" i="10"/>
  <c r="S3" i="10"/>
  <c r="G3" i="10"/>
  <c r="O43" i="6"/>
  <c r="N43" i="6"/>
  <c r="O42" i="6"/>
  <c r="N42" i="6"/>
  <c r="U29" i="6"/>
  <c r="U28" i="6"/>
  <c r="U27" i="6"/>
  <c r="U26" i="6"/>
  <c r="U25" i="6"/>
  <c r="U24" i="6"/>
  <c r="U23" i="6"/>
  <c r="U21" i="6"/>
  <c r="U20" i="6"/>
  <c r="M20" i="6"/>
  <c r="U19" i="6"/>
  <c r="M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113" i="5"/>
  <c r="T113" i="5"/>
  <c r="Q113" i="5"/>
  <c r="P113" i="5"/>
  <c r="O113" i="5"/>
  <c r="T112" i="5"/>
  <c r="U112" i="5" s="1"/>
  <c r="Q112" i="5"/>
  <c r="O112" i="5"/>
  <c r="P112" i="5" s="1"/>
  <c r="T111" i="5"/>
  <c r="U111" i="5" s="1"/>
  <c r="Q111" i="5"/>
  <c r="O111" i="5"/>
  <c r="P111" i="5" s="1"/>
  <c r="U110" i="5"/>
  <c r="T110" i="5"/>
  <c r="O110" i="5"/>
  <c r="Q110" i="5" s="1"/>
  <c r="T109" i="5"/>
  <c r="U109" i="5" s="1"/>
  <c r="Q109" i="5"/>
  <c r="P109" i="5"/>
  <c r="O109" i="5"/>
  <c r="T108" i="5"/>
  <c r="U108" i="5" s="1"/>
  <c r="Q108" i="5"/>
  <c r="P108" i="5"/>
  <c r="O108" i="5"/>
  <c r="T107" i="5"/>
  <c r="U107" i="5" s="1"/>
  <c r="O107" i="5"/>
  <c r="Q107" i="5" s="1"/>
  <c r="U106" i="5"/>
  <c r="T106" i="5"/>
  <c r="O106" i="5"/>
  <c r="Q106" i="5" s="1"/>
  <c r="T105" i="5"/>
  <c r="U105" i="5" s="1"/>
  <c r="O105" i="5"/>
  <c r="P105" i="5" s="1"/>
  <c r="T104" i="5"/>
  <c r="U104" i="5" s="1"/>
  <c r="Q104" i="5"/>
  <c r="P104" i="5"/>
  <c r="O104" i="5"/>
  <c r="T103" i="5"/>
  <c r="U103" i="5" s="1"/>
  <c r="O103" i="5"/>
  <c r="Q103" i="5" s="1"/>
  <c r="U102" i="5"/>
  <c r="T102" i="5"/>
  <c r="O102" i="5"/>
  <c r="Q102" i="5" s="1"/>
  <c r="U101" i="5"/>
  <c r="T101" i="5"/>
  <c r="Q101" i="5"/>
  <c r="P101" i="5"/>
  <c r="O101" i="5"/>
  <c r="T100" i="5"/>
  <c r="U100" i="5" s="1"/>
  <c r="Q100" i="5"/>
  <c r="O100" i="5"/>
  <c r="P100" i="5" s="1"/>
  <c r="T99" i="5"/>
  <c r="U99" i="5" s="1"/>
  <c r="O99" i="5"/>
  <c r="Q99" i="5" s="1"/>
  <c r="T98" i="5"/>
  <c r="U98" i="5" s="1"/>
  <c r="O98" i="5"/>
  <c r="Q98" i="5" s="1"/>
  <c r="U97" i="5"/>
  <c r="T97" i="5"/>
  <c r="Q97" i="5"/>
  <c r="P97" i="5"/>
  <c r="O97" i="5"/>
  <c r="T96" i="5"/>
  <c r="U96" i="5" s="1"/>
  <c r="Q96" i="5"/>
  <c r="O96" i="5"/>
  <c r="P96" i="5" s="1"/>
  <c r="T95" i="5"/>
  <c r="U95" i="5" s="1"/>
  <c r="Q95" i="5"/>
  <c r="O95" i="5"/>
  <c r="P95" i="5" s="1"/>
  <c r="U94" i="5"/>
  <c r="T94" i="5"/>
  <c r="O94" i="5"/>
  <c r="Q94" i="5" s="1"/>
  <c r="T93" i="5"/>
  <c r="U93" i="5" s="1"/>
  <c r="Q93" i="5"/>
  <c r="P93" i="5"/>
  <c r="O93" i="5"/>
  <c r="T92" i="5"/>
  <c r="U92" i="5" s="1"/>
  <c r="Q92" i="5"/>
  <c r="P92" i="5"/>
  <c r="O92" i="5"/>
  <c r="T91" i="5"/>
  <c r="U91" i="5" s="1"/>
  <c r="O91" i="5"/>
  <c r="Q91" i="5" s="1"/>
  <c r="U90" i="5"/>
  <c r="T90" i="5"/>
  <c r="O90" i="5"/>
  <c r="Q90" i="5" s="1"/>
  <c r="T89" i="5"/>
  <c r="U89" i="5" s="1"/>
  <c r="O89" i="5"/>
  <c r="P89" i="5" s="1"/>
  <c r="T88" i="5"/>
  <c r="U88" i="5" s="1"/>
  <c r="Q88" i="5"/>
  <c r="P88" i="5"/>
  <c r="O88" i="5"/>
  <c r="T87" i="5"/>
  <c r="U87" i="5" s="1"/>
  <c r="O87" i="5"/>
  <c r="Q87" i="5" s="1"/>
  <c r="U86" i="5"/>
  <c r="T86" i="5"/>
  <c r="O86" i="5"/>
  <c r="Q86" i="5" s="1"/>
  <c r="U85" i="5"/>
  <c r="T85" i="5"/>
  <c r="Q85" i="5"/>
  <c r="P85" i="5"/>
  <c r="O85" i="5"/>
  <c r="T84" i="5"/>
  <c r="U84" i="5" s="1"/>
  <c r="Q84" i="5"/>
  <c r="O84" i="5"/>
  <c r="P84" i="5" s="1"/>
  <c r="T83" i="5"/>
  <c r="U83" i="5" s="1"/>
  <c r="O83" i="5"/>
  <c r="Q83" i="5" s="1"/>
  <c r="T82" i="5"/>
  <c r="U82" i="5" s="1"/>
  <c r="O82" i="5"/>
  <c r="Q82" i="5" s="1"/>
  <c r="U81" i="5"/>
  <c r="T81" i="5"/>
  <c r="Q81" i="5"/>
  <c r="P81" i="5"/>
  <c r="O81" i="5"/>
  <c r="T80" i="5"/>
  <c r="U80" i="5" s="1"/>
  <c r="Q80" i="5"/>
  <c r="O80" i="5"/>
  <c r="P80" i="5" s="1"/>
  <c r="T79" i="5"/>
  <c r="U79" i="5" s="1"/>
  <c r="Q79" i="5"/>
  <c r="O79" i="5"/>
  <c r="P79" i="5" s="1"/>
  <c r="U78" i="5"/>
  <c r="T78" i="5"/>
  <c r="O78" i="5"/>
  <c r="Q78" i="5" s="1"/>
  <c r="T77" i="5"/>
  <c r="U77" i="5" s="1"/>
  <c r="Q77" i="5"/>
  <c r="P77" i="5"/>
  <c r="O77" i="5"/>
  <c r="T76" i="5"/>
  <c r="U76" i="5" s="1"/>
  <c r="Q76" i="5"/>
  <c r="P76" i="5"/>
  <c r="O76" i="5"/>
  <c r="T75" i="5"/>
  <c r="U75" i="5" s="1"/>
  <c r="Q75" i="5"/>
  <c r="O75" i="5"/>
  <c r="P75" i="5" s="1"/>
  <c r="U74" i="5"/>
  <c r="T74" i="5"/>
  <c r="O74" i="5"/>
  <c r="Q74" i="5" s="1"/>
  <c r="T73" i="5"/>
  <c r="U73" i="5" s="1"/>
  <c r="O73" i="5"/>
  <c r="P73" i="5" s="1"/>
  <c r="T72" i="5"/>
  <c r="U72" i="5" s="1"/>
  <c r="Q72" i="5"/>
  <c r="P72" i="5"/>
  <c r="O72" i="5"/>
  <c r="T71" i="5"/>
  <c r="U71" i="5" s="1"/>
  <c r="O71" i="5"/>
  <c r="Q71" i="5" s="1"/>
  <c r="U70" i="5"/>
  <c r="T70" i="5"/>
  <c r="O70" i="5"/>
  <c r="Q70" i="5" s="1"/>
  <c r="U69" i="5"/>
  <c r="T69" i="5"/>
  <c r="Q69" i="5"/>
  <c r="P69" i="5"/>
  <c r="O69" i="5"/>
  <c r="T68" i="5"/>
  <c r="U68" i="5" s="1"/>
  <c r="Q68" i="5"/>
  <c r="O68" i="5"/>
  <c r="P68" i="5" s="1"/>
  <c r="T67" i="5"/>
  <c r="U67" i="5" s="1"/>
  <c r="O67" i="5"/>
  <c r="Q67" i="5" s="1"/>
  <c r="T66" i="5"/>
  <c r="U66" i="5" s="1"/>
  <c r="O66" i="5"/>
  <c r="Q66" i="5" s="1"/>
  <c r="U65" i="5"/>
  <c r="T65" i="5"/>
  <c r="Q65" i="5"/>
  <c r="P65" i="5"/>
  <c r="O65" i="5"/>
  <c r="T64" i="5"/>
  <c r="U64" i="5" s="1"/>
  <c r="Q64" i="5"/>
  <c r="O64" i="5"/>
  <c r="P64" i="5" s="1"/>
  <c r="T63" i="5"/>
  <c r="U63" i="5" s="1"/>
  <c r="Q63" i="5"/>
  <c r="O63" i="5"/>
  <c r="P63" i="5" s="1"/>
  <c r="U62" i="5"/>
  <c r="T62" i="5"/>
  <c r="O62" i="5"/>
  <c r="Q62" i="5" s="1"/>
  <c r="T61" i="5"/>
  <c r="U61" i="5" s="1"/>
  <c r="Q61" i="5"/>
  <c r="P61" i="5"/>
  <c r="O61" i="5"/>
  <c r="T60" i="5"/>
  <c r="U60" i="5" s="1"/>
  <c r="Q60" i="5"/>
  <c r="P60" i="5"/>
  <c r="O60" i="5"/>
  <c r="T59" i="5"/>
  <c r="U59" i="5" s="1"/>
  <c r="Q59" i="5"/>
  <c r="O59" i="5"/>
  <c r="P59" i="5" s="1"/>
  <c r="U58" i="5"/>
  <c r="T58" i="5"/>
  <c r="O58" i="5"/>
  <c r="P58" i="5" s="1"/>
  <c r="T57" i="5"/>
  <c r="U57" i="5" s="1"/>
  <c r="O57" i="5"/>
  <c r="P57" i="5" s="1"/>
  <c r="T56" i="5"/>
  <c r="U56" i="5" s="1"/>
  <c r="Q56" i="5"/>
  <c r="P56" i="5"/>
  <c r="O56" i="5"/>
  <c r="T55" i="5"/>
  <c r="U55" i="5" s="1"/>
  <c r="O55" i="5"/>
  <c r="Q55" i="5" s="1"/>
  <c r="U54" i="5"/>
  <c r="T54" i="5"/>
  <c r="O54" i="5"/>
  <c r="Q54" i="5" s="1"/>
  <c r="U53" i="5"/>
  <c r="T53" i="5"/>
  <c r="P53" i="5"/>
  <c r="O53" i="5"/>
  <c r="Q53" i="5" s="1"/>
  <c r="T52" i="5"/>
  <c r="U52" i="5" s="1"/>
  <c r="Q52" i="5"/>
  <c r="O52" i="5"/>
  <c r="P52" i="5" s="1"/>
  <c r="T51" i="5"/>
  <c r="U51" i="5" s="1"/>
  <c r="O51" i="5"/>
  <c r="Q51" i="5" s="1"/>
  <c r="T50" i="5"/>
  <c r="U50" i="5" s="1"/>
  <c r="O50" i="5"/>
  <c r="Q50" i="5" s="1"/>
  <c r="U49" i="5"/>
  <c r="T49" i="5"/>
  <c r="Q49" i="5"/>
  <c r="P49" i="5"/>
  <c r="O49" i="5"/>
  <c r="T48" i="5"/>
  <c r="U48" i="5" s="1"/>
  <c r="Q48" i="5"/>
  <c r="O48" i="5"/>
  <c r="P48" i="5" s="1"/>
  <c r="T47" i="5"/>
  <c r="U47" i="5" s="1"/>
  <c r="Q47" i="5"/>
  <c r="O47" i="5"/>
  <c r="P47" i="5" s="1"/>
  <c r="U46" i="5"/>
  <c r="T46" i="5"/>
  <c r="O46" i="5"/>
  <c r="Q46" i="5" s="1"/>
  <c r="T45" i="5"/>
  <c r="U45" i="5" s="1"/>
  <c r="Q45" i="5"/>
  <c r="P45" i="5"/>
  <c r="O45" i="5"/>
  <c r="T44" i="5"/>
  <c r="U44" i="5" s="1"/>
  <c r="Q44" i="5"/>
  <c r="P44" i="5"/>
  <c r="O44" i="5"/>
  <c r="T43" i="5"/>
  <c r="U43" i="5" s="1"/>
  <c r="Q43" i="5"/>
  <c r="O43" i="5"/>
  <c r="P43" i="5" s="1"/>
  <c r="U42" i="5"/>
  <c r="T42" i="5"/>
  <c r="O42" i="5"/>
  <c r="P42" i="5" s="1"/>
  <c r="T41" i="5"/>
  <c r="U41" i="5" s="1"/>
  <c r="O41" i="5"/>
  <c r="P41" i="5" s="1"/>
  <c r="T40" i="5"/>
  <c r="U40" i="5" s="1"/>
  <c r="Q40" i="5"/>
  <c r="P40" i="5"/>
  <c r="O40" i="5"/>
  <c r="T39" i="5"/>
  <c r="U39" i="5" s="1"/>
  <c r="O39" i="5"/>
  <c r="Q39" i="5" s="1"/>
  <c r="U38" i="5"/>
  <c r="T38" i="5"/>
  <c r="O38" i="5"/>
  <c r="Q38" i="5" s="1"/>
  <c r="U37" i="5"/>
  <c r="T37" i="5"/>
  <c r="P37" i="5"/>
  <c r="O37" i="5"/>
  <c r="Q37" i="5" s="1"/>
  <c r="T36" i="5"/>
  <c r="U36" i="5" s="1"/>
  <c r="Q36" i="5"/>
  <c r="O36" i="5"/>
  <c r="P36" i="5" s="1"/>
  <c r="T35" i="5"/>
  <c r="U35" i="5" s="1"/>
  <c r="O35" i="5"/>
  <c r="Q35" i="5" s="1"/>
  <c r="T34" i="5"/>
  <c r="U34" i="5" s="1"/>
  <c r="O34" i="5"/>
  <c r="Q34" i="5" s="1"/>
  <c r="U33" i="5"/>
  <c r="T33" i="5"/>
  <c r="Q33" i="5"/>
  <c r="P33" i="5"/>
  <c r="O33" i="5"/>
  <c r="T32" i="5"/>
  <c r="U32" i="5" s="1"/>
  <c r="Q32" i="5"/>
  <c r="O32" i="5"/>
  <c r="P32" i="5" s="1"/>
  <c r="T31" i="5"/>
  <c r="U31" i="5" s="1"/>
  <c r="Q31" i="5"/>
  <c r="O31" i="5"/>
  <c r="P31" i="5" s="1"/>
  <c r="U30" i="5"/>
  <c r="T30" i="5"/>
  <c r="O30" i="5"/>
  <c r="Q30" i="5" s="1"/>
  <c r="T29" i="5"/>
  <c r="U29" i="5" s="1"/>
  <c r="Q29" i="5"/>
  <c r="P29" i="5"/>
  <c r="O29" i="5"/>
  <c r="T28" i="5"/>
  <c r="U28" i="5" s="1"/>
  <c r="Q28" i="5"/>
  <c r="P28" i="5"/>
  <c r="O28" i="5"/>
  <c r="T27" i="5"/>
  <c r="U27" i="5" s="1"/>
  <c r="Q27" i="5"/>
  <c r="O27" i="5"/>
  <c r="P27" i="5" s="1"/>
  <c r="U26" i="5"/>
  <c r="T26" i="5"/>
  <c r="O26" i="5"/>
  <c r="P26" i="5" s="1"/>
  <c r="T25" i="5"/>
  <c r="U25" i="5" s="1"/>
  <c r="O25" i="5"/>
  <c r="P25" i="5" s="1"/>
  <c r="T24" i="5"/>
  <c r="U24" i="5" s="1"/>
  <c r="Q24" i="5"/>
  <c r="P24" i="5"/>
  <c r="O24" i="5"/>
  <c r="T23" i="5"/>
  <c r="U23" i="5" s="1"/>
  <c r="O23" i="5"/>
  <c r="Q23" i="5" s="1"/>
  <c r="U22" i="5"/>
  <c r="T22" i="5"/>
  <c r="O22" i="5"/>
  <c r="Q22" i="5" s="1"/>
  <c r="U21" i="5"/>
  <c r="T21" i="5"/>
  <c r="P21" i="5"/>
  <c r="O21" i="5"/>
  <c r="Q21" i="5" s="1"/>
  <c r="T20" i="5"/>
  <c r="U20" i="5" s="1"/>
  <c r="Q20" i="5"/>
  <c r="O20" i="5"/>
  <c r="P20" i="5" s="1"/>
  <c r="T19" i="5"/>
  <c r="U19" i="5" s="1"/>
  <c r="O19" i="5"/>
  <c r="Q19" i="5" s="1"/>
  <c r="T18" i="5"/>
  <c r="U18" i="5" s="1"/>
  <c r="O18" i="5"/>
  <c r="Q18" i="5" s="1"/>
  <c r="U17" i="5"/>
  <c r="T17" i="5"/>
  <c r="Q17" i="5"/>
  <c r="P17" i="5"/>
  <c r="O17" i="5"/>
  <c r="T16" i="5"/>
  <c r="U16" i="5" s="1"/>
  <c r="Q16" i="5"/>
  <c r="O16" i="5"/>
  <c r="P16" i="5" s="1"/>
  <c r="T15" i="5"/>
  <c r="U15" i="5" s="1"/>
  <c r="Q15" i="5"/>
  <c r="O15" i="5"/>
  <c r="P15" i="5" s="1"/>
  <c r="U14" i="5"/>
  <c r="T14" i="5"/>
  <c r="O14" i="5"/>
  <c r="Q14" i="5" s="1"/>
  <c r="T13" i="5"/>
  <c r="U13" i="5" s="1"/>
  <c r="Q13" i="5"/>
  <c r="P13" i="5"/>
  <c r="O13" i="5"/>
  <c r="T12" i="5"/>
  <c r="U12" i="5" s="1"/>
  <c r="Q12" i="5"/>
  <c r="P12" i="5"/>
  <c r="O12" i="5"/>
  <c r="T11" i="5"/>
  <c r="U11" i="5" s="1"/>
  <c r="Q11" i="5"/>
  <c r="O11" i="5"/>
  <c r="P11" i="5" s="1"/>
  <c r="U10" i="5"/>
  <c r="T10" i="5"/>
  <c r="O10" i="5"/>
  <c r="Q10" i="5" s="1"/>
  <c r="T9" i="5"/>
  <c r="U9" i="5" s="1"/>
  <c r="O9" i="5"/>
  <c r="P9" i="5" s="1"/>
  <c r="T8" i="5"/>
  <c r="U8" i="5" s="1"/>
  <c r="Q8" i="5"/>
  <c r="P8" i="5"/>
  <c r="O8" i="5"/>
  <c r="T7" i="5"/>
  <c r="U7" i="5" s="1"/>
  <c r="O7" i="5"/>
  <c r="Q7" i="5" s="1"/>
  <c r="U6" i="5"/>
  <c r="T6" i="5"/>
  <c r="O6" i="5"/>
  <c r="Q6" i="5" s="1"/>
  <c r="U5" i="5"/>
  <c r="T5" i="5"/>
  <c r="O5" i="5"/>
  <c r="P5" i="5" s="1"/>
  <c r="T4" i="5"/>
  <c r="U4" i="5" s="1"/>
  <c r="Q4" i="5"/>
  <c r="O4" i="5"/>
  <c r="P4" i="5" s="1"/>
  <c r="T3" i="5"/>
  <c r="U3" i="5" s="1"/>
  <c r="O3" i="5"/>
  <c r="Q3" i="5" s="1"/>
  <c r="T2" i="5"/>
  <c r="U2" i="5" s="1"/>
  <c r="O2" i="5"/>
  <c r="Q2" i="5" s="1"/>
  <c r="P102" i="2"/>
  <c r="Q98" i="2"/>
  <c r="Q97" i="2"/>
  <c r="Q96" i="2"/>
  <c r="Q95" i="2"/>
  <c r="Q94" i="2"/>
  <c r="Q93" i="2"/>
  <c r="Q92" i="2"/>
  <c r="Q91" i="2"/>
  <c r="Q90" i="2"/>
  <c r="Q102" i="2" s="1"/>
  <c r="P88" i="2"/>
  <c r="Q84" i="2"/>
  <c r="Q83" i="2"/>
  <c r="Q82" i="2"/>
  <c r="Q81" i="2"/>
  <c r="Q80" i="2"/>
  <c r="Q79" i="2"/>
  <c r="Q78" i="2"/>
  <c r="Q77" i="2"/>
  <c r="Q76" i="2"/>
  <c r="Q75" i="2"/>
  <c r="Q88" i="2" s="1"/>
  <c r="P50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P16" i="2"/>
  <c r="Q14" i="2"/>
  <c r="Q13" i="2"/>
  <c r="Q12" i="2"/>
  <c r="Q11" i="2"/>
  <c r="Q10" i="2"/>
  <c r="Q9" i="2"/>
  <c r="Q8" i="2"/>
  <c r="Q7" i="2"/>
  <c r="Q6" i="2"/>
  <c r="Q5" i="2"/>
  <c r="Q4" i="2"/>
  <c r="Q3" i="2"/>
  <c r="Q16" i="2" l="1"/>
  <c r="Q50" i="2"/>
  <c r="P6" i="5"/>
  <c r="Q9" i="5"/>
  <c r="P22" i="5"/>
  <c r="Q25" i="5"/>
  <c r="P38" i="5"/>
  <c r="Q41" i="5"/>
  <c r="P54" i="5"/>
  <c r="Q57" i="5"/>
  <c r="P70" i="5"/>
  <c r="Q73" i="5"/>
  <c r="P86" i="5"/>
  <c r="Q89" i="5"/>
  <c r="P102" i="5"/>
  <c r="Q105" i="5"/>
  <c r="O5" i="12"/>
  <c r="P10" i="12"/>
  <c r="O21" i="12"/>
  <c r="P26" i="12"/>
  <c r="O37" i="12"/>
  <c r="O42" i="12"/>
  <c r="O46" i="12"/>
  <c r="O50" i="12"/>
  <c r="P3" i="5"/>
  <c r="P19" i="5"/>
  <c r="P35" i="5"/>
  <c r="P51" i="5"/>
  <c r="P67" i="5"/>
  <c r="P83" i="5"/>
  <c r="P99" i="5"/>
  <c r="O16" i="12"/>
  <c r="O32" i="12"/>
  <c r="P74" i="5"/>
  <c r="P90" i="5"/>
  <c r="P106" i="5"/>
  <c r="O17" i="12"/>
  <c r="O33" i="12"/>
  <c r="O43" i="12"/>
  <c r="O47" i="12"/>
  <c r="O51" i="12"/>
  <c r="P7" i="5"/>
  <c r="P23" i="5"/>
  <c r="Q26" i="5"/>
  <c r="P39" i="5"/>
  <c r="Q42" i="5"/>
  <c r="P55" i="5"/>
  <c r="Q58" i="5"/>
  <c r="P71" i="5"/>
  <c r="P87" i="5"/>
  <c r="P103" i="5"/>
  <c r="O12" i="12"/>
  <c r="O28" i="12"/>
  <c r="P10" i="5"/>
  <c r="O39" i="12"/>
  <c r="P14" i="5"/>
  <c r="P46" i="5"/>
  <c r="P62" i="5"/>
  <c r="P78" i="5"/>
  <c r="P94" i="5"/>
  <c r="P110" i="5"/>
  <c r="O13" i="12"/>
  <c r="O29" i="12"/>
  <c r="P30" i="5"/>
  <c r="P91" i="5"/>
  <c r="P107" i="5"/>
  <c r="M3" i="12"/>
  <c r="Q4" i="12"/>
  <c r="O8" i="12"/>
  <c r="O24" i="12"/>
  <c r="O40" i="12"/>
  <c r="P2" i="5"/>
  <c r="Q5" i="5"/>
  <c r="P34" i="5"/>
  <c r="P50" i="5"/>
  <c r="P66" i="5"/>
  <c r="P82" i="5"/>
  <c r="P98" i="5"/>
  <c r="P18" i="5"/>
  <c r="N54" i="14"/>
  <c r="N32" i="14"/>
  <c r="N53" i="14"/>
  <c r="N29" i="14"/>
  <c r="P3" i="12" l="1"/>
  <c r="O3" i="12"/>
  <c r="N49" i="14"/>
  <c r="O49" i="14" s="1"/>
  <c r="N33" i="14"/>
  <c r="Q33" i="14" s="1"/>
  <c r="T33" i="14" s="1"/>
  <c r="F149" i="14" s="1"/>
  <c r="N40" i="14"/>
  <c r="O40" i="14" s="1"/>
  <c r="N42" i="14"/>
  <c r="O42" i="14" s="1"/>
  <c r="N43" i="14"/>
  <c r="Q43" i="14" s="1"/>
  <c r="T43" i="14" s="1"/>
  <c r="F159" i="14" s="1"/>
  <c r="N27" i="14"/>
  <c r="O27" i="14" s="1"/>
  <c r="N18" i="14"/>
  <c r="O18" i="14" s="1"/>
  <c r="N31" i="14"/>
  <c r="Q31" i="14" s="1"/>
  <c r="N41" i="14"/>
  <c r="O41" i="14" s="1"/>
  <c r="N48" i="14"/>
  <c r="Q48" i="14" s="1"/>
  <c r="T48" i="14" s="1"/>
  <c r="F164" i="14" s="1"/>
  <c r="N30" i="14"/>
  <c r="Q30" i="14" s="1"/>
  <c r="T30" i="14" s="1"/>
  <c r="F146" i="14" s="1"/>
  <c r="N25" i="14"/>
  <c r="Q25" i="14" s="1"/>
  <c r="T25" i="14" s="1"/>
  <c r="F141" i="14" s="1"/>
  <c r="N57" i="14"/>
  <c r="Q57" i="14" s="1"/>
  <c r="S57" i="14" s="1"/>
  <c r="F117" i="14" s="1"/>
  <c r="N20" i="14"/>
  <c r="Q20" i="14" s="1"/>
  <c r="T20" i="14" s="1"/>
  <c r="F136" i="14" s="1"/>
  <c r="N37" i="14"/>
  <c r="O37" i="14" s="1"/>
  <c r="N36" i="14"/>
  <c r="Q36" i="14" s="1"/>
  <c r="N46" i="14"/>
  <c r="O46" i="14" s="1"/>
  <c r="N44" i="14"/>
  <c r="Q44" i="14" s="1"/>
  <c r="N38" i="14"/>
  <c r="Q38" i="14" s="1"/>
  <c r="N50" i="14"/>
  <c r="O50" i="14" s="1"/>
  <c r="N19" i="14"/>
  <c r="Q19" i="14" s="1"/>
  <c r="T19" i="14" s="1"/>
  <c r="F135" i="14" s="1"/>
  <c r="N52" i="14"/>
  <c r="O52" i="14" s="1"/>
  <c r="N21" i="14"/>
  <c r="O21" i="14" s="1"/>
  <c r="O54" i="14"/>
  <c r="Q54" i="14"/>
  <c r="Q53" i="14"/>
  <c r="T53" i="14" s="1"/>
  <c r="F169" i="14" s="1"/>
  <c r="O53" i="14"/>
  <c r="O32" i="14"/>
  <c r="Q32" i="14"/>
  <c r="T32" i="14" s="1"/>
  <c r="F148" i="14" s="1"/>
  <c r="O29" i="14"/>
  <c r="Q29" i="14"/>
  <c r="S29" i="14" s="1"/>
  <c r="F89" i="14" s="1"/>
  <c r="N39" i="14"/>
  <c r="N26" i="14"/>
  <c r="N35" i="14"/>
  <c r="N22" i="14"/>
  <c r="N56" i="14"/>
  <c r="N34" i="14"/>
  <c r="N28" i="14"/>
  <c r="N51" i="14"/>
  <c r="N24" i="14"/>
  <c r="N45" i="14"/>
  <c r="N55" i="14"/>
  <c r="N47" i="14"/>
  <c r="N23" i="14"/>
  <c r="Q49" i="14" l="1"/>
  <c r="S49" i="14" s="1"/>
  <c r="F109" i="14" s="1"/>
  <c r="Q42" i="14"/>
  <c r="T42" i="14" s="1"/>
  <c r="F158" i="14" s="1"/>
  <c r="Q40" i="14"/>
  <c r="S40" i="14" s="1"/>
  <c r="F100" i="14" s="1"/>
  <c r="O33" i="14"/>
  <c r="O43" i="14"/>
  <c r="Q27" i="14"/>
  <c r="S27" i="14" s="1"/>
  <c r="F87" i="14" s="1"/>
  <c r="O31" i="14"/>
  <c r="O48" i="14"/>
  <c r="Q41" i="14"/>
  <c r="T41" i="14" s="1"/>
  <c r="F157" i="14" s="1"/>
  <c r="Q18" i="14"/>
  <c r="T18" i="14" s="1"/>
  <c r="F134" i="14" s="1"/>
  <c r="O38" i="14"/>
  <c r="S48" i="14"/>
  <c r="F108" i="14" s="1"/>
  <c r="S53" i="14"/>
  <c r="F113" i="14" s="1"/>
  <c r="O19" i="14"/>
  <c r="Q37" i="14"/>
  <c r="S37" i="14" s="1"/>
  <c r="F97" i="14" s="1"/>
  <c r="O44" i="14"/>
  <c r="O30" i="14"/>
  <c r="Q52" i="14"/>
  <c r="S52" i="14" s="1"/>
  <c r="F112" i="14" s="1"/>
  <c r="S32" i="14"/>
  <c r="F92" i="14" s="1"/>
  <c r="Q21" i="14"/>
  <c r="S21" i="14" s="1"/>
  <c r="F81" i="14" s="1"/>
  <c r="S20" i="14"/>
  <c r="F80" i="14" s="1"/>
  <c r="Q46" i="14"/>
  <c r="T46" i="14" s="1"/>
  <c r="F162" i="14" s="1"/>
  <c r="O57" i="14"/>
  <c r="O20" i="14"/>
  <c r="T44" i="14"/>
  <c r="F160" i="14" s="1"/>
  <c r="S44" i="14"/>
  <c r="F104" i="14" s="1"/>
  <c r="O25" i="14"/>
  <c r="Q50" i="14"/>
  <c r="T57" i="14"/>
  <c r="F173" i="14" s="1"/>
  <c r="S25" i="14"/>
  <c r="F85" i="14" s="1"/>
  <c r="S19" i="14"/>
  <c r="F79" i="14" s="1"/>
  <c r="S43" i="14"/>
  <c r="F103" i="14" s="1"/>
  <c r="T36" i="14"/>
  <c r="F152" i="14" s="1"/>
  <c r="S36" i="14"/>
  <c r="F96" i="14" s="1"/>
  <c r="O36" i="14"/>
  <c r="S31" i="14"/>
  <c r="F91" i="14" s="1"/>
  <c r="T31" i="14"/>
  <c r="F147" i="14" s="1"/>
  <c r="S30" i="14"/>
  <c r="F90" i="14" s="1"/>
  <c r="O28" i="14"/>
  <c r="Q28" i="14"/>
  <c r="Q47" i="14"/>
  <c r="O47" i="14"/>
  <c r="Q34" i="14"/>
  <c r="O34" i="14"/>
  <c r="O35" i="14"/>
  <c r="Q35" i="14"/>
  <c r="O39" i="14"/>
  <c r="Q39" i="14"/>
  <c r="S38" i="14"/>
  <c r="F98" i="14" s="1"/>
  <c r="T38" i="14"/>
  <c r="F154" i="14" s="1"/>
  <c r="S33" i="14"/>
  <c r="F93" i="14" s="1"/>
  <c r="Q26" i="14"/>
  <c r="O26" i="14"/>
  <c r="Q45" i="14"/>
  <c r="O45" i="14"/>
  <c r="Q56" i="14"/>
  <c r="O56" i="14"/>
  <c r="T29" i="14"/>
  <c r="F145" i="14" s="1"/>
  <c r="Q23" i="14"/>
  <c r="O23" i="14"/>
  <c r="Q24" i="14"/>
  <c r="O24" i="14"/>
  <c r="O22" i="14"/>
  <c r="Q22" i="14"/>
  <c r="S54" i="14"/>
  <c r="F114" i="14" s="1"/>
  <c r="T54" i="14"/>
  <c r="F170" i="14" s="1"/>
  <c r="Q55" i="14"/>
  <c r="O55" i="14"/>
  <c r="Q51" i="14"/>
  <c r="O51" i="14"/>
  <c r="T49" i="14" l="1"/>
  <c r="F165" i="14" s="1"/>
  <c r="S42" i="14"/>
  <c r="F102" i="14" s="1"/>
  <c r="T40" i="14"/>
  <c r="F156" i="14" s="1"/>
  <c r="T27" i="14"/>
  <c r="F143" i="14" s="1"/>
  <c r="S18" i="14"/>
  <c r="F78" i="14" s="1"/>
  <c r="S41" i="14"/>
  <c r="F101" i="14" s="1"/>
  <c r="T37" i="14"/>
  <c r="F153" i="14" s="1"/>
  <c r="T21" i="14"/>
  <c r="F137" i="14" s="1"/>
  <c r="T52" i="14"/>
  <c r="F168" i="14" s="1"/>
  <c r="S46" i="14"/>
  <c r="F106" i="14" s="1"/>
  <c r="T50" i="14"/>
  <c r="F166" i="14" s="1"/>
  <c r="S50" i="14"/>
  <c r="F110" i="14" s="1"/>
  <c r="S35" i="14"/>
  <c r="F95" i="14" s="1"/>
  <c r="T35" i="14"/>
  <c r="F151" i="14" s="1"/>
  <c r="S45" i="14"/>
  <c r="F105" i="14" s="1"/>
  <c r="T45" i="14"/>
  <c r="F161" i="14" s="1"/>
  <c r="T26" i="14"/>
  <c r="F142" i="14" s="1"/>
  <c r="S26" i="14"/>
  <c r="F86" i="14" s="1"/>
  <c r="T34" i="14"/>
  <c r="F150" i="14" s="1"/>
  <c r="S34" i="14"/>
  <c r="F94" i="14" s="1"/>
  <c r="T24" i="14"/>
  <c r="F140" i="14" s="1"/>
  <c r="S24" i="14"/>
  <c r="F84" i="14" s="1"/>
  <c r="T22" i="14"/>
  <c r="F138" i="14" s="1"/>
  <c r="S22" i="14"/>
  <c r="F82" i="14" s="1"/>
  <c r="S51" i="14"/>
  <c r="F111" i="14" s="1"/>
  <c r="T51" i="14"/>
  <c r="F167" i="14" s="1"/>
  <c r="S47" i="14"/>
  <c r="F107" i="14" s="1"/>
  <c r="T47" i="14"/>
  <c r="F163" i="14" s="1"/>
  <c r="T55" i="14"/>
  <c r="F171" i="14" s="1"/>
  <c r="S55" i="14"/>
  <c r="F115" i="14" s="1"/>
  <c r="T23" i="14"/>
  <c r="F139" i="14" s="1"/>
  <c r="S23" i="14"/>
  <c r="F83" i="14" s="1"/>
  <c r="S39" i="14"/>
  <c r="F99" i="14" s="1"/>
  <c r="T39" i="14"/>
  <c r="F155" i="14" s="1"/>
  <c r="T28" i="14"/>
  <c r="F144" i="14" s="1"/>
  <c r="S28" i="14"/>
  <c r="F88" i="14" s="1"/>
  <c r="S56" i="14"/>
  <c r="F116" i="14" s="1"/>
  <c r="T56" i="14"/>
  <c r="F172" i="14" s="1"/>
  <c r="K16" i="14"/>
  <c r="K17" i="14"/>
  <c r="L12" i="14"/>
  <c r="K14" i="14"/>
  <c r="K15" i="14"/>
  <c r="L15" i="14"/>
  <c r="L16" i="14"/>
  <c r="L11" i="14"/>
  <c r="L14" i="14"/>
  <c r="L10" i="14"/>
  <c r="K13" i="14"/>
  <c r="K11" i="14"/>
  <c r="K12" i="14"/>
  <c r="L17" i="14"/>
  <c r="L13" i="14"/>
  <c r="K10" i="14"/>
  <c r="N12" i="14" l="1"/>
  <c r="O12" i="14" s="1"/>
  <c r="N11" i="14"/>
  <c r="Q11" i="14" s="1"/>
  <c r="S11" i="14" s="1"/>
  <c r="F71" i="14" s="1"/>
  <c r="N10" i="14"/>
  <c r="Q10" i="14" s="1"/>
  <c r="N13" i="14"/>
  <c r="O13" i="14" s="1"/>
  <c r="N17" i="14"/>
  <c r="Q17" i="14" s="1"/>
  <c r="N15" i="14"/>
  <c r="Q15" i="14" s="1"/>
  <c r="N14" i="14"/>
  <c r="N16" i="14"/>
  <c r="Q12" i="14" l="1"/>
  <c r="S12" i="14" s="1"/>
  <c r="F72" i="14" s="1"/>
  <c r="O11" i="14"/>
  <c r="O17" i="14"/>
  <c r="Q13" i="14"/>
  <c r="O10" i="14"/>
  <c r="T11" i="14"/>
  <c r="F127" i="14" s="1"/>
  <c r="O15" i="14"/>
  <c r="S17" i="14"/>
  <c r="F77" i="14" s="1"/>
  <c r="T17" i="14"/>
  <c r="F133" i="14" s="1"/>
  <c r="Q14" i="14"/>
  <c r="O14" i="14"/>
  <c r="T15" i="14"/>
  <c r="F131" i="14" s="1"/>
  <c r="S15" i="14"/>
  <c r="F75" i="14" s="1"/>
  <c r="S10" i="14"/>
  <c r="F70" i="14" s="1"/>
  <c r="T10" i="14"/>
  <c r="F126" i="14" s="1"/>
  <c r="O16" i="14"/>
  <c r="Q16" i="14"/>
  <c r="T12" i="14" l="1"/>
  <c r="F128" i="14" s="1"/>
  <c r="T13" i="14"/>
  <c r="F129" i="14" s="1"/>
  <c r="S13" i="14"/>
  <c r="F73" i="14" s="1"/>
  <c r="T16" i="14"/>
  <c r="F132" i="14" s="1"/>
  <c r="S16" i="14"/>
  <c r="F76" i="14" s="1"/>
  <c r="S14" i="14"/>
  <c r="F74" i="14" s="1"/>
  <c r="T14" i="14"/>
  <c r="F130" i="14" s="1"/>
  <c r="K4" i="14" l="1"/>
  <c r="L9" i="14"/>
  <c r="L8" i="14"/>
  <c r="L4" i="14"/>
  <c r="K7" i="14"/>
  <c r="K5" i="14"/>
  <c r="K9" i="14"/>
  <c r="K6" i="14"/>
  <c r="L3" i="14"/>
  <c r="K2" i="14"/>
  <c r="K8" i="14"/>
  <c r="L7" i="14"/>
  <c r="L2" i="14"/>
  <c r="L6" i="14"/>
  <c r="K3" i="14"/>
  <c r="L5" i="14"/>
  <c r="N8" i="14" l="1"/>
  <c r="O8" i="14" s="1"/>
  <c r="N2" i="14"/>
  <c r="O2" i="14" s="1"/>
  <c r="N9" i="14"/>
  <c r="O9" i="14" s="1"/>
  <c r="N7" i="14"/>
  <c r="Q7" i="14" s="1"/>
  <c r="N3" i="14"/>
  <c r="O3" i="14" s="1"/>
  <c r="N5" i="14"/>
  <c r="N6" i="14"/>
  <c r="N4" i="14"/>
  <c r="Q8" i="14" l="1"/>
  <c r="T8" i="14" s="1"/>
  <c r="F124" i="14" s="1"/>
  <c r="Q3" i="14"/>
  <c r="T3" i="14" s="1"/>
  <c r="F119" i="14" s="1"/>
  <c r="Q9" i="14"/>
  <c r="T9" i="14" s="1"/>
  <c r="F125" i="14" s="1"/>
  <c r="Q2" i="14"/>
  <c r="S2" i="14" s="1"/>
  <c r="F62" i="14" s="1"/>
  <c r="O7" i="14"/>
  <c r="S7" i="14"/>
  <c r="F67" i="14" s="1"/>
  <c r="T7" i="14"/>
  <c r="F123" i="14" s="1"/>
  <c r="O5" i="14"/>
  <c r="Q5" i="14"/>
  <c r="O4" i="14"/>
  <c r="Q4" i="14"/>
  <c r="Q6" i="14"/>
  <c r="O6" i="14"/>
  <c r="S8" i="14" l="1"/>
  <c r="F68" i="14" s="1"/>
  <c r="S9" i="14"/>
  <c r="F69" i="14" s="1"/>
  <c r="S3" i="14"/>
  <c r="F63" i="14" s="1"/>
  <c r="T2" i="14"/>
  <c r="F118" i="14" s="1"/>
  <c r="T6" i="14"/>
  <c r="F122" i="14" s="1"/>
  <c r="S6" i="14"/>
  <c r="F66" i="14" s="1"/>
  <c r="S4" i="14"/>
  <c r="F64" i="14" s="1"/>
  <c r="T4" i="14"/>
  <c r="F120" i="14" s="1"/>
  <c r="S5" i="14"/>
  <c r="F65" i="14" s="1"/>
  <c r="T5" i="14"/>
  <c r="F121" i="14" s="1"/>
  <c r="N1" i="12" l="1"/>
  <c r="P1" i="15"/>
  <c r="K1" i="12"/>
  <c r="M1" i="15"/>
  <c r="N1" i="15" l="1"/>
  <c r="J1" i="18"/>
  <c r="L1" i="12"/>
  <c r="I1" i="18"/>
  <c r="M1" i="12"/>
  <c r="O1" i="15"/>
  <c r="Q2" i="12" l="1"/>
  <c r="Q3" i="12"/>
  <c r="R1" i="15"/>
  <c r="E1" i="18" l="1"/>
  <c r="G1" i="18"/>
  <c r="M1" i="18"/>
  <c r="L1" i="18"/>
  <c r="D1" i="18"/>
  <c r="K1" i="18"/>
  <c r="H1" i="18"/>
  <c r="F1" i="18" s="1"/>
  <c r="N1" i="18" l="1"/>
  <c r="O1" i="18" s="1"/>
</calcChain>
</file>

<file path=xl/sharedStrings.xml><?xml version="1.0" encoding="utf-8"?>
<sst xmlns="http://schemas.openxmlformats.org/spreadsheetml/2006/main" count="14883" uniqueCount="3482">
  <si>
    <t>MRL</t>
  </si>
  <si>
    <t>44 or 46 games</t>
  </si>
  <si>
    <t>22 or 23 matches</t>
  </si>
  <si>
    <t>Matches</t>
  </si>
  <si>
    <t>Games</t>
  </si>
  <si>
    <t>Losers Round 1</t>
  </si>
  <si>
    <t>Losers Round 2</t>
  </si>
  <si>
    <t>Opening Round</t>
  </si>
  <si>
    <t>Losers Round 3</t>
  </si>
  <si>
    <t>Losers Semifinal</t>
  </si>
  <si>
    <t>Losers Quarterfinal</t>
  </si>
  <si>
    <t>Winners Final</t>
  </si>
  <si>
    <t>Grand Final</t>
  </si>
  <si>
    <t>LR1</t>
  </si>
  <si>
    <t>LR2</t>
  </si>
  <si>
    <t>LR3</t>
  </si>
  <si>
    <t>LQF</t>
  </si>
  <si>
    <t>LSF</t>
  </si>
  <si>
    <t>LF</t>
  </si>
  <si>
    <t>Opening</t>
  </si>
  <si>
    <t>WQF</t>
  </si>
  <si>
    <t>WSF</t>
  </si>
  <si>
    <t>WF</t>
  </si>
  <si>
    <t>GF</t>
  </si>
  <si>
    <t>R</t>
  </si>
  <si>
    <t>Losers Final</t>
  </si>
  <si>
    <t>Grand Final - Reset</t>
  </si>
  <si>
    <t>Winners Semifinal</t>
  </si>
  <si>
    <t>Winners Quarterfinal</t>
  </si>
  <si>
    <t>Week 1</t>
  </si>
  <si>
    <t>Week 2</t>
  </si>
  <si>
    <t>Week 3</t>
  </si>
  <si>
    <t>Week 4</t>
  </si>
  <si>
    <t>Week 5</t>
  </si>
  <si>
    <t>Week 6</t>
  </si>
  <si>
    <t>F - Su</t>
  </si>
  <si>
    <t>T - R</t>
  </si>
  <si>
    <t>WCS Final</t>
  </si>
  <si>
    <t>SS/AC/DG 1</t>
  </si>
  <si>
    <t>Interconference 1</t>
  </si>
  <si>
    <t>Intrapod 1</t>
  </si>
  <si>
    <t>Interconference 2</t>
  </si>
  <si>
    <t>Interconference 3</t>
  </si>
  <si>
    <t>Interconference 4</t>
  </si>
  <si>
    <t>SS/AC/DG 2</t>
  </si>
  <si>
    <t>Intrapod 3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</si>
  <si>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</si>
  <si>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</si>
  <si>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</si>
  <si>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</si>
  <si>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</si>
  <si>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</si>
  <si>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</si>
  <si>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</si>
  <si>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</si>
  <si>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</si>
  <si>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</si>
  <si>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</si>
  <si>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</si>
  <si>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</si>
  <si>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</si>
  <si>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</si>
  <si>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</si>
  <si>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</si>
  <si>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</si>
  <si>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</si>
  <si>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UTL</t>
  </si>
  <si>
    <t>WCS</t>
  </si>
  <si>
    <t>CCC</t>
  </si>
  <si>
    <t>Season</t>
  </si>
  <si>
    <t>Tuesday</t>
  </si>
  <si>
    <t>Thursday</t>
  </si>
  <si>
    <t>Weekend</t>
  </si>
  <si>
    <t>CCC R1</t>
  </si>
  <si>
    <t>CCC R2</t>
  </si>
  <si>
    <t>CCC SF</t>
  </si>
  <si>
    <t>CCC QF</t>
  </si>
  <si>
    <t>CCC Final</t>
  </si>
  <si>
    <t>WCS R16</t>
  </si>
  <si>
    <t>WCS QF</t>
  </si>
  <si>
    <t>WCS SF</t>
  </si>
  <si>
    <t>Friday</t>
  </si>
  <si>
    <t>Sunday</t>
  </si>
  <si>
    <t>LSF/WF</t>
  </si>
  <si>
    <t>GF Reset</t>
  </si>
  <si>
    <t>Playoffs</t>
  </si>
  <si>
    <t>Rankings</t>
  </si>
  <si>
    <t>Yes</t>
  </si>
  <si>
    <t>No</t>
  </si>
  <si>
    <t>If nec.</t>
  </si>
  <si>
    <t>Champion</t>
  </si>
  <si>
    <t>Third</t>
  </si>
  <si>
    <t>Fourth</t>
  </si>
  <si>
    <t>5th/6th</t>
  </si>
  <si>
    <t>7th/8th</t>
  </si>
  <si>
    <t>9th/10th</t>
  </si>
  <si>
    <t>11th/12th</t>
  </si>
  <si>
    <t>CONF</t>
  </si>
  <si>
    <t>5-6</t>
  </si>
  <si>
    <t>7-8</t>
  </si>
  <si>
    <t>9-10</t>
  </si>
  <si>
    <t>11-12</t>
  </si>
  <si>
    <t>13-14</t>
  </si>
  <si>
    <t>15-16</t>
  </si>
  <si>
    <t>17-20</t>
  </si>
  <si>
    <t>PLAYOFFS</t>
  </si>
  <si>
    <t>Orre Pod</t>
  </si>
  <si>
    <t>Fiore Pod</t>
  </si>
  <si>
    <t>Almia Pod</t>
  </si>
  <si>
    <t>Oblivia Pod</t>
  </si>
  <si>
    <t>Phenac City</t>
  </si>
  <si>
    <t>Pyrite Town</t>
  </si>
  <si>
    <t>Agate Village</t>
  </si>
  <si>
    <t>Gateon Port</t>
  </si>
  <si>
    <t>Fall City</t>
  </si>
  <si>
    <t>Ringtown</t>
  </si>
  <si>
    <t>Summerland</t>
  </si>
  <si>
    <t>Wintown</t>
  </si>
  <si>
    <t>Pueltown</t>
  </si>
  <si>
    <t>Vientown</t>
  </si>
  <si>
    <t>Boyleland</t>
  </si>
  <si>
    <t>Haruba Village</t>
  </si>
  <si>
    <t>Cocona Village</t>
  </si>
  <si>
    <t>Tilt Village</t>
  </si>
  <si>
    <t>Aqua Resort</t>
  </si>
  <si>
    <t>Dolce Island</t>
  </si>
  <si>
    <t>Intrapod 2</t>
  </si>
  <si>
    <t>Total</t>
  </si>
  <si>
    <t>BYE</t>
  </si>
  <si>
    <t>A</t>
  </si>
  <si>
    <t>B</t>
  </si>
  <si>
    <t>C</t>
  </si>
  <si>
    <t>MU QF</t>
  </si>
  <si>
    <t>MU R16</t>
  </si>
  <si>
    <t>MU SF</t>
  </si>
  <si>
    <t>MU Final</t>
  </si>
  <si>
    <t>MU R1</t>
  </si>
  <si>
    <t>MU R2</t>
  </si>
  <si>
    <t>MU R3</t>
  </si>
  <si>
    <t>MU R4</t>
  </si>
  <si>
    <t>MU R5</t>
  </si>
  <si>
    <t>MU R6</t>
  </si>
  <si>
    <t>SS/AC/DG/IP 1</t>
  </si>
  <si>
    <t>SS/AC/DG/IP 2</t>
  </si>
  <si>
    <t>Conf Champ</t>
  </si>
  <si>
    <t>MRL/UTL</t>
  </si>
  <si>
    <t>Phoenix Conference</t>
  </si>
  <si>
    <t>42 or 43</t>
  </si>
  <si>
    <t>43-44-45</t>
  </si>
  <si>
    <t>WR2</t>
  </si>
  <si>
    <t>R2</t>
  </si>
  <si>
    <t>LR4</t>
  </si>
  <si>
    <t>LR5</t>
  </si>
  <si>
    <t>Winners Round 2</t>
  </si>
  <si>
    <t>Losers Round 4</t>
  </si>
  <si>
    <t>Losers Round 5</t>
  </si>
  <si>
    <t>T - R - Su</t>
  </si>
  <si>
    <t>13th/14th</t>
  </si>
  <si>
    <t>15th/16th</t>
  </si>
  <si>
    <t>et cetera</t>
  </si>
  <si>
    <t>UTL*</t>
  </si>
  <si>
    <t>MRL*</t>
  </si>
  <si>
    <t>*varies by record</t>
  </si>
  <si>
    <t>World Finalists</t>
  </si>
  <si>
    <t>WCS Finalists</t>
  </si>
  <si>
    <t>MRL Champion</t>
  </si>
  <si>
    <t>UTL Champion</t>
  </si>
  <si>
    <t>*No more than 5 per conference</t>
  </si>
  <si>
    <t>Pos. 4-6 from each conference</t>
  </si>
  <si>
    <t>CCC Winners</t>
  </si>
  <si>
    <t>WCS Semifinalists</t>
  </si>
  <si>
    <t>MRL Runner-up</t>
  </si>
  <si>
    <t>UTL Runner-up</t>
  </si>
  <si>
    <t>**No more than 8 total per conference</t>
  </si>
  <si>
    <t>Next highest overall teams until full^</t>
  </si>
  <si>
    <t>^Three Phoenix Conference teams in both MRL and UTL for Season Four</t>
  </si>
  <si>
    <t>Pos. 1-3 from each conference</t>
  </si>
  <si>
    <t>Nos. 1-4</t>
  </si>
  <si>
    <t>Top 4 Conference Champions</t>
  </si>
  <si>
    <t>Nos. 5-8</t>
  </si>
  <si>
    <t>Next 4 highest teams</t>
  </si>
  <si>
    <t>Nos. 9-12</t>
  </si>
  <si>
    <t>Remaining Conference Champions</t>
  </si>
  <si>
    <t>58 to 64 games</t>
  </si>
  <si>
    <t>30 to 31 matches</t>
  </si>
  <si>
    <t>Lower Bracket Round 1</t>
  </si>
  <si>
    <t>Quarterfinal</t>
  </si>
  <si>
    <t>Lower Bracket Round 2</t>
  </si>
  <si>
    <t>Semifinal</t>
  </si>
  <si>
    <t>Lower Bracket Quarterfinal</t>
  </si>
  <si>
    <t>Lower Bracket Semifinal</t>
  </si>
  <si>
    <t>Final</t>
  </si>
  <si>
    <t>Lower Bracket Final</t>
  </si>
  <si>
    <t>WR1</t>
  </si>
  <si>
    <t>22 to 23 matches</t>
  </si>
  <si>
    <t>44 to 48 games</t>
  </si>
  <si>
    <t>Conference Champion 1</t>
  </si>
  <si>
    <t>Conference Champion 2</t>
  </si>
  <si>
    <t>Conference Champion 3</t>
  </si>
  <si>
    <t>Conference Champion 4</t>
  </si>
  <si>
    <t>Next highest ranked team 1</t>
  </si>
  <si>
    <t>Next highest ranked team 4</t>
  </si>
  <si>
    <t>Next highest ranked team 2</t>
  </si>
  <si>
    <t>Next highest ranked team 3</t>
  </si>
  <si>
    <t>Conference Champion (5/6/7/8) or next highest team</t>
  </si>
  <si>
    <t>Conference Champion (6/7/8) or next highest team</t>
  </si>
  <si>
    <t>Conference Champion (7/8) or next highest team</t>
  </si>
  <si>
    <t>Conference Champion (8) or next highest team</t>
  </si>
  <si>
    <t>WCS Winner or MRL Winner or next highest ranked team</t>
  </si>
  <si>
    <t>Nos. 13-14</t>
  </si>
  <si>
    <t>Next 2 highest teams</t>
  </si>
  <si>
    <t>or next highest team and WCS Champion</t>
  </si>
  <si>
    <t>or next highest team and MRL Champion</t>
  </si>
  <si>
    <t>or WCS Champion and MRL Champion</t>
  </si>
  <si>
    <t>then next highest teams</t>
  </si>
  <si>
    <t>R1</t>
  </si>
  <si>
    <t>R3</t>
  </si>
  <si>
    <t>R4</t>
  </si>
  <si>
    <t>Semi</t>
  </si>
  <si>
    <t>Quarter</t>
  </si>
  <si>
    <t>R16</t>
  </si>
  <si>
    <t>16+16</t>
  </si>
  <si>
    <t>WCS R1A</t>
  </si>
  <si>
    <t>WCS R2A</t>
  </si>
  <si>
    <t>WCS R3A</t>
  </si>
  <si>
    <t>WCS R1B</t>
  </si>
  <si>
    <t>WCS R2B</t>
  </si>
  <si>
    <t>D</t>
  </si>
  <si>
    <t>E</t>
  </si>
  <si>
    <t>F</t>
  </si>
  <si>
    <t>G</t>
  </si>
  <si>
    <t>H</t>
  </si>
  <si>
    <t>Season Four</t>
  </si>
  <si>
    <t>Season Three</t>
  </si>
  <si>
    <t>WCS R32</t>
  </si>
  <si>
    <t>UTL R20*</t>
  </si>
  <si>
    <t>Weeks 10 and 11</t>
  </si>
  <si>
    <t>WCS R3 - Only one week required</t>
  </si>
  <si>
    <t>So, anyone playing UTL R20 could play in WCS R3B</t>
  </si>
  <si>
    <t>Preseason - Four games each (IP/SS/AC/DG)</t>
  </si>
  <si>
    <t>Indigo</t>
  </si>
  <si>
    <t>Kalosite</t>
  </si>
  <si>
    <t>Cinnabar Island</t>
  </si>
  <si>
    <t>#1</t>
  </si>
  <si>
    <t>#2</t>
  </si>
  <si>
    <t>Lumiose City</t>
  </si>
  <si>
    <t>J</t>
  </si>
  <si>
    <t>Delta</t>
  </si>
  <si>
    <t>Lily Valley</t>
  </si>
  <si>
    <t>Vertress</t>
  </si>
  <si>
    <t>Lanakila</t>
  </si>
  <si>
    <t>Dynamax</t>
  </si>
  <si>
    <t>Mew</t>
  </si>
  <si>
    <t>Celebi</t>
  </si>
  <si>
    <t>Jirachi</t>
  </si>
  <si>
    <t>Shaymin</t>
  </si>
  <si>
    <t>Victini</t>
  </si>
  <si>
    <t>Diancie</t>
  </si>
  <si>
    <t>Magearna</t>
  </si>
  <si>
    <t>Meltan</t>
  </si>
  <si>
    <t>Dragonite</t>
  </si>
  <si>
    <t>Tyranitar</t>
  </si>
  <si>
    <t>Metagross</t>
  </si>
  <si>
    <t>Garchomp</t>
  </si>
  <si>
    <t>Hydreigon</t>
  </si>
  <si>
    <t>Goodra</t>
  </si>
  <si>
    <t>Kommo-o</t>
  </si>
  <si>
    <t>Dragapult</t>
  </si>
  <si>
    <t>Seeds (16)</t>
  </si>
  <si>
    <t>WCS R0*</t>
  </si>
  <si>
    <t>776/48/522</t>
  </si>
  <si>
    <t>Gm 1</t>
  </si>
  <si>
    <t>Gm 2</t>
  </si>
  <si>
    <t>Gm 3</t>
  </si>
  <si>
    <t>Gm 4</t>
  </si>
  <si>
    <t>Gm 5</t>
  </si>
  <si>
    <t>Gm 6</t>
  </si>
  <si>
    <t>Gm 7</t>
  </si>
  <si>
    <t>Gm 8</t>
  </si>
  <si>
    <t>Gm 9</t>
  </si>
  <si>
    <t>Gm 10</t>
  </si>
  <si>
    <t>Gm 11</t>
  </si>
  <si>
    <t>Gm 12</t>
  </si>
  <si>
    <t>Gm 13</t>
  </si>
  <si>
    <t>Gm 14</t>
  </si>
  <si>
    <t>Gm 15</t>
  </si>
  <si>
    <t>Gm 16</t>
  </si>
  <si>
    <t>Gm 17</t>
  </si>
  <si>
    <t>Gm 18</t>
  </si>
  <si>
    <t>Gm 19</t>
  </si>
  <si>
    <t>Gm 20</t>
  </si>
  <si>
    <t>Gm 21</t>
  </si>
  <si>
    <t>Gm 22</t>
  </si>
  <si>
    <t>Gm 23</t>
  </si>
  <si>
    <t>8v9</t>
  </si>
  <si>
    <t>5v12</t>
  </si>
  <si>
    <t>6v11</t>
  </si>
  <si>
    <t>7v10</t>
  </si>
  <si>
    <t>WGm1 v 1</t>
  </si>
  <si>
    <t>WGm2 v 4</t>
  </si>
  <si>
    <t>WGm3 v 3</t>
  </si>
  <si>
    <t>WGm4 v 2</t>
  </si>
  <si>
    <t>WGm5 vs WGm6</t>
  </si>
  <si>
    <t>WGm7 vs WGm8</t>
  </si>
  <si>
    <t>WGm9 vs WGm10</t>
  </si>
  <si>
    <t>WGm11 vs WGm12</t>
  </si>
  <si>
    <t>WGm13 vs LGm15</t>
  </si>
  <si>
    <t>WGm14 vs LGm16</t>
  </si>
  <si>
    <t>WGm17 vs WGm18</t>
  </si>
  <si>
    <t>LGm1 v LGm7</t>
  </si>
  <si>
    <t>LGm3 v LGm6</t>
  </si>
  <si>
    <t>LGm2 v LGm8</t>
  </si>
  <si>
    <t>LGm4 v LGm5</t>
  </si>
  <si>
    <t>WGm15 vs WGm16</t>
  </si>
  <si>
    <t>WGm19 vs LGm20</t>
  </si>
  <si>
    <t>WGm20 vs WGm21</t>
  </si>
  <si>
    <t>WGm22 vs LGm22**</t>
  </si>
  <si>
    <t>Crystal</t>
  </si>
  <si>
    <t>Emerald</t>
  </si>
  <si>
    <t>Platinum</t>
  </si>
  <si>
    <t>Gray</t>
  </si>
  <si>
    <t>Prism</t>
  </si>
  <si>
    <t>Kahuna</t>
  </si>
  <si>
    <t>Cinnabar</t>
  </si>
  <si>
    <t>Rustboro</t>
  </si>
  <si>
    <t>Veilstone</t>
  </si>
  <si>
    <t>Virbank</t>
  </si>
  <si>
    <t>Lumiose</t>
  </si>
  <si>
    <t>Postwick</t>
  </si>
  <si>
    <t>Cianwood</t>
  </si>
  <si>
    <t>Dewford</t>
  </si>
  <si>
    <t>Celestic</t>
  </si>
  <si>
    <t>Humilau</t>
  </si>
  <si>
    <t>Hokulani</t>
  </si>
  <si>
    <t>Hulbury</t>
  </si>
  <si>
    <t>Master League</t>
  </si>
  <si>
    <t>Pot A</t>
  </si>
  <si>
    <t>Pot B</t>
  </si>
  <si>
    <t>Pot C</t>
  </si>
  <si>
    <t>Pot D</t>
  </si>
  <si>
    <t>Ultra League</t>
  </si>
  <si>
    <t>Phoenix</t>
  </si>
  <si>
    <t>15^</t>
  </si>
  <si>
    <t>^teams tied with second</t>
  </si>
  <si>
    <t>10^*</t>
  </si>
  <si>
    <t>5^**</t>
  </si>
  <si>
    <t>^*positive/^**negative record</t>
  </si>
  <si>
    <t>Olivine</t>
  </si>
  <si>
    <t>Ever Grande</t>
  </si>
  <si>
    <t>Fallarbor</t>
  </si>
  <si>
    <t>Castelia</t>
  </si>
  <si>
    <t>Ultra Mega</t>
  </si>
  <si>
    <t>South Lakes</t>
  </si>
  <si>
    <t>#12</t>
  </si>
  <si>
    <t>#8</t>
  </si>
  <si>
    <t>#9</t>
  </si>
  <si>
    <t>#5</t>
  </si>
  <si>
    <t>#6</t>
  </si>
  <si>
    <t>#11</t>
  </si>
  <si>
    <t>#7</t>
  </si>
  <si>
    <t>#10</t>
  </si>
  <si>
    <t>#4</t>
  </si>
  <si>
    <t>#3</t>
  </si>
  <si>
    <t>Lower Bracket R1</t>
  </si>
  <si>
    <t>Upper Bracket QF</t>
  </si>
  <si>
    <t>Upper Bracket SF</t>
  </si>
  <si>
    <t>Lower Bracket R2</t>
  </si>
  <si>
    <t>Lower Bracket QF</t>
  </si>
  <si>
    <t>Lower Bracket SF</t>
  </si>
  <si>
    <t>Upper Bracket Final</t>
  </si>
  <si>
    <t>Grand Final Reset</t>
  </si>
  <si>
    <t>That NBA thing, reimagined</t>
  </si>
  <si>
    <t>#13/#14</t>
  </si>
  <si>
    <t>#11/#12</t>
  </si>
  <si>
    <t>Winner claims #11 seed</t>
  </si>
  <si>
    <t>Loser is eliminated</t>
  </si>
  <si>
    <t>Winner claims #12 seed</t>
  </si>
  <si>
    <t>L1/W2</t>
  </si>
  <si>
    <t>at #11</t>
  </si>
  <si>
    <t>at #13</t>
  </si>
  <si>
    <t>at #11/12</t>
  </si>
  <si>
    <t>Play-in Round</t>
  </si>
  <si>
    <t>T-R/F-Su</t>
  </si>
  <si>
    <t>Play-in R1</t>
  </si>
  <si>
    <t>#13</t>
  </si>
  <si>
    <t>#14</t>
  </si>
  <si>
    <t>Match 1</t>
  </si>
  <si>
    <t>Match 2</t>
  </si>
  <si>
    <t>Match 3</t>
  </si>
  <si>
    <t>Match 4</t>
  </si>
  <si>
    <t>Match 5</t>
  </si>
  <si>
    <t>Winner of Match 1</t>
  </si>
  <si>
    <t>Match 6</t>
  </si>
  <si>
    <t>Winner of Match 2</t>
  </si>
  <si>
    <t>Match 7</t>
  </si>
  <si>
    <t>Winner of Match 3</t>
  </si>
  <si>
    <t>Match 8</t>
  </si>
  <si>
    <t>Winner of Match 4</t>
  </si>
  <si>
    <t>Match 9</t>
  </si>
  <si>
    <t>Loser of Match 3</t>
  </si>
  <si>
    <t>Loser of Match 6</t>
  </si>
  <si>
    <t>Match 10</t>
  </si>
  <si>
    <t>Loser of Match 4</t>
  </si>
  <si>
    <t>Loser of Match 5</t>
  </si>
  <si>
    <t>Match 11</t>
  </si>
  <si>
    <t>Loser of Match 1</t>
  </si>
  <si>
    <t>Loser of Match 8</t>
  </si>
  <si>
    <t>Match 12</t>
  </si>
  <si>
    <t>Loser of Match 2</t>
  </si>
  <si>
    <t>Loser of Match 7</t>
  </si>
  <si>
    <t>Match 13</t>
  </si>
  <si>
    <t>Winner of Match 9</t>
  </si>
  <si>
    <t>Match 15</t>
  </si>
  <si>
    <t>Winner of Match 5</t>
  </si>
  <si>
    <t>Winner of Match 10</t>
  </si>
  <si>
    <t>Winner of Match 6</t>
  </si>
  <si>
    <t>Match 14</t>
  </si>
  <si>
    <t>Winner of Match 11</t>
  </si>
  <si>
    <t>Match 16</t>
  </si>
  <si>
    <t>Winner of Match 7</t>
  </si>
  <si>
    <t>Winner of Match 12</t>
  </si>
  <si>
    <t>Winner of Match 8</t>
  </si>
  <si>
    <t>Match 17</t>
  </si>
  <si>
    <t>Loser of Match 16</t>
  </si>
  <si>
    <t>Winner of Match 13</t>
  </si>
  <si>
    <t>Match 18</t>
  </si>
  <si>
    <t>Loser of Match 15</t>
  </si>
  <si>
    <t>Winner of Match 14</t>
  </si>
  <si>
    <t>Match 19</t>
  </si>
  <si>
    <t>Winner of Match 17</t>
  </si>
  <si>
    <t>Match 20</t>
  </si>
  <si>
    <t>Winner of Match 15</t>
  </si>
  <si>
    <t>Winner of Match 18</t>
  </si>
  <si>
    <t>Winner of Match 16</t>
  </si>
  <si>
    <t>Match 21</t>
  </si>
  <si>
    <t>Loser of Match 20</t>
  </si>
  <si>
    <t>Winner of Match 19</t>
  </si>
  <si>
    <t>Match 22</t>
  </si>
  <si>
    <t>Winner of Match 20</t>
  </si>
  <si>
    <t>Winner of Match 21</t>
  </si>
  <si>
    <t>Match 23</t>
  </si>
  <si>
    <t>Winner of Match 22</t>
  </si>
  <si>
    <t>Loser of Match 22</t>
  </si>
  <si>
    <t>OR</t>
  </si>
  <si>
    <t>Play-in R2</t>
  </si>
  <si>
    <t>Gigantamax</t>
  </si>
  <si>
    <t>12 at 1</t>
  </si>
  <si>
    <t>16 at 5</t>
  </si>
  <si>
    <t>16 at 1</t>
  </si>
  <si>
    <t>1 at 5</t>
  </si>
  <si>
    <t>12 at 16</t>
  </si>
  <si>
    <t>5 at 12</t>
  </si>
  <si>
    <t>25 to 26 matches</t>
  </si>
  <si>
    <t>50 to 54 games</t>
  </si>
  <si>
    <t>50/54</t>
  </si>
  <si>
    <t>1340/1344</t>
  </si>
  <si>
    <t>WCS R3B*</t>
  </si>
  <si>
    <t>LR2/WSF</t>
  </si>
  <si>
    <t>Match A</t>
  </si>
  <si>
    <t>Match B</t>
  </si>
  <si>
    <t>Match C</t>
  </si>
  <si>
    <t>Winner of Match C</t>
  </si>
  <si>
    <t>Winner of Match A</t>
  </si>
  <si>
    <t>Loser of Match A</t>
  </si>
  <si>
    <t>Winner of Match B</t>
  </si>
  <si>
    <t>Ever Grande City</t>
  </si>
  <si>
    <t>Resort Area</t>
  </si>
  <si>
    <t>Castelia City</t>
  </si>
  <si>
    <t>Kala'e Bay</t>
  </si>
  <si>
    <t>Finish season</t>
  </si>
  <si>
    <t>Sort out conference standings</t>
  </si>
  <si>
    <t>Complete MRL/UTL Rosters</t>
  </si>
  <si>
    <t>Complete CCC Rosters</t>
  </si>
  <si>
    <t>Sort out WCS Roster</t>
  </si>
  <si>
    <t>52*</t>
  </si>
  <si>
    <t>48*</t>
  </si>
  <si>
    <t>OR 48, QF 52</t>
  </si>
  <si>
    <t>MU R7</t>
  </si>
  <si>
    <t>MU R8</t>
  </si>
  <si>
    <t>MU R9</t>
  </si>
  <si>
    <t>MU R10</t>
  </si>
  <si>
    <t>WCS R3B</t>
  </si>
  <si>
    <t>768+120</t>
  </si>
  <si>
    <t>GRL</t>
  </si>
  <si>
    <t>1274+60</t>
  </si>
  <si>
    <t>1v2 3v4</t>
  </si>
  <si>
    <t>1v5 2v3</t>
  </si>
  <si>
    <t>1v4 2v5</t>
  </si>
  <si>
    <t>1v3 4v5</t>
  </si>
  <si>
    <t>2v4 3v5</t>
  </si>
  <si>
    <t>2v1 4v3</t>
  </si>
  <si>
    <t>5v1 3v2</t>
  </si>
  <si>
    <t>4v1 5v2</t>
  </si>
  <si>
    <t>3v1 5v4</t>
  </si>
  <si>
    <t>4v2 5v3</t>
  </si>
  <si>
    <t>I</t>
  </si>
  <si>
    <t>WCS R4A</t>
  </si>
  <si>
    <t>WCS R4B</t>
  </si>
  <si>
    <t>6 first</t>
  </si>
  <si>
    <t>6 second</t>
  </si>
  <si>
    <t>4/6 third</t>
  </si>
  <si>
    <t>2/6 third</t>
  </si>
  <si>
    <t>6 fourth</t>
  </si>
  <si>
    <t>6x6/4x6</t>
  </si>
  <si>
    <t>8x4/6x4</t>
  </si>
  <si>
    <t>4 first</t>
  </si>
  <si>
    <t>4 second</t>
  </si>
  <si>
    <t>5v6</t>
  </si>
  <si>
    <t>4v6</t>
  </si>
  <si>
    <t>3v6</t>
  </si>
  <si>
    <t>2v6</t>
  </si>
  <si>
    <t>6v4</t>
  </si>
  <si>
    <t>1v6</t>
  </si>
  <si>
    <t>6v2</t>
  </si>
  <si>
    <t>6v5</t>
  </si>
  <si>
    <t>6v3</t>
  </si>
  <si>
    <t>6v1</t>
  </si>
  <si>
    <t>at 1</t>
  </si>
  <si>
    <t>at 2</t>
  </si>
  <si>
    <t>at 3</t>
  </si>
  <si>
    <t>at 4</t>
  </si>
  <si>
    <t>at 5</t>
  </si>
  <si>
    <t>at 6</t>
  </si>
  <si>
    <t>6x5</t>
  </si>
  <si>
    <t>2 third</t>
  </si>
  <si>
    <t>4 third</t>
  </si>
  <si>
    <t>24&gt;30</t>
  </si>
  <si>
    <t>32&gt;30</t>
  </si>
  <si>
    <t>2 down</t>
  </si>
  <si>
    <t>up to 16</t>
  </si>
  <si>
    <t>4 winners</t>
  </si>
  <si>
    <t>next 4</t>
  </si>
  <si>
    <t>X winners</t>
  </si>
  <si>
    <t>next X</t>
  </si>
  <si>
    <t>Conference Winner</t>
  </si>
  <si>
    <t>Conference Runner-up</t>
  </si>
  <si>
    <t>Highest seeded non-finalist</t>
  </si>
  <si>
    <t>Conference Semifinalists (not yet picked)</t>
  </si>
  <si>
    <t>at least 6</t>
  </si>
  <si>
    <t>9*16</t>
  </si>
  <si>
    <t>5*12</t>
  </si>
  <si>
    <t>1*8</t>
  </si>
  <si>
    <t>1*4</t>
  </si>
  <si>
    <t>1*2</t>
  </si>
  <si>
    <t>5*8</t>
  </si>
  <si>
    <t>3*6</t>
  </si>
  <si>
    <t>3*4</t>
  </si>
  <si>
    <t>2*3</t>
  </si>
  <si>
    <t>1474 or 1490 (WCS R4)</t>
  </si>
  <si>
    <t>1470-1474 or 1486-1490</t>
  </si>
  <si>
    <t>Violet</t>
  </si>
  <si>
    <t>Fuchsia</t>
  </si>
  <si>
    <t>Goldenrod</t>
  </si>
  <si>
    <t>Azalea</t>
  </si>
  <si>
    <t>Blackthorn</t>
  </si>
  <si>
    <t>Mahogany</t>
  </si>
  <si>
    <t>Cerulean</t>
  </si>
  <si>
    <t>Saffron</t>
  </si>
  <si>
    <t>Celadon</t>
  </si>
  <si>
    <t>Pewter</t>
  </si>
  <si>
    <t>Ecruteak</t>
  </si>
  <si>
    <t>Viridian</t>
  </si>
  <si>
    <t>Slateport</t>
  </si>
  <si>
    <t>Fortree</t>
  </si>
  <si>
    <t>Mauville</t>
  </si>
  <si>
    <t>Littleroot</t>
  </si>
  <si>
    <t>Oldale</t>
  </si>
  <si>
    <t>Sootopolis</t>
  </si>
  <si>
    <t>Lilycove</t>
  </si>
  <si>
    <t>Pacifidlog</t>
  </si>
  <si>
    <t>Petalburg</t>
  </si>
  <si>
    <t>Mossdeep</t>
  </si>
  <si>
    <t>Lavaridge</t>
  </si>
  <si>
    <t>Verdanturf</t>
  </si>
  <si>
    <t>Floaroma</t>
  </si>
  <si>
    <t>Snowpoint</t>
  </si>
  <si>
    <t>Solaceon</t>
  </si>
  <si>
    <t>Eterna</t>
  </si>
  <si>
    <t>Sandgem</t>
  </si>
  <si>
    <t>Twinleaf</t>
  </si>
  <si>
    <t>Oreburgh</t>
  </si>
  <si>
    <t>Jubilife</t>
  </si>
  <si>
    <t>Fight Area</t>
  </si>
  <si>
    <t>Sunyshore</t>
  </si>
  <si>
    <t>Pastoria</t>
  </si>
  <si>
    <t>Hearthome</t>
  </si>
  <si>
    <t>Canalave</t>
  </si>
  <si>
    <t>Anville</t>
  </si>
  <si>
    <t>Mistralton</t>
  </si>
  <si>
    <t>Striaton</t>
  </si>
  <si>
    <t>Nacrene</t>
  </si>
  <si>
    <t>Icirrus</t>
  </si>
  <si>
    <t>Undella</t>
  </si>
  <si>
    <t>Accumula</t>
  </si>
  <si>
    <t>Nimbasa</t>
  </si>
  <si>
    <t>Driftveil</t>
  </si>
  <si>
    <t>Lacunosa</t>
  </si>
  <si>
    <t>Opulecid</t>
  </si>
  <si>
    <t>Aspertia</t>
  </si>
  <si>
    <t>Vanivlle</t>
  </si>
  <si>
    <t>Laverre</t>
  </si>
  <si>
    <t>Geosenge</t>
  </si>
  <si>
    <t>Anistar</t>
  </si>
  <si>
    <t>Snowbelle</t>
  </si>
  <si>
    <t>Cyllage</t>
  </si>
  <si>
    <t>Aquacorde</t>
  </si>
  <si>
    <t>Coumarine</t>
  </si>
  <si>
    <t>Ambrette</t>
  </si>
  <si>
    <t>Couriway</t>
  </si>
  <si>
    <t>Shalour</t>
  </si>
  <si>
    <t>Camphrier</t>
  </si>
  <si>
    <t>Kiloude</t>
  </si>
  <si>
    <t>Dendemille</t>
  </si>
  <si>
    <t>Santalune</t>
  </si>
  <si>
    <t>Malie</t>
  </si>
  <si>
    <t>Iki</t>
  </si>
  <si>
    <t>Poni</t>
  </si>
  <si>
    <t>Paniola</t>
  </si>
  <si>
    <t>Tapu</t>
  </si>
  <si>
    <t>Heahea</t>
  </si>
  <si>
    <t>Aether</t>
  </si>
  <si>
    <t>Seafolk</t>
  </si>
  <si>
    <t>Exeggutor</t>
  </si>
  <si>
    <t>Vast Poni</t>
  </si>
  <si>
    <t>Hau'oli</t>
  </si>
  <si>
    <t>Po</t>
  </si>
  <si>
    <t>Konikoni</t>
  </si>
  <si>
    <t>Wyndon N</t>
  </si>
  <si>
    <t>Wyndon S</t>
  </si>
  <si>
    <t>Hammerlocke</t>
  </si>
  <si>
    <t>Wedgehurst</t>
  </si>
  <si>
    <t>Circhester Bay</t>
  </si>
  <si>
    <t>Spikemuth</t>
  </si>
  <si>
    <t>Turffield</t>
  </si>
  <si>
    <t>Ballonlea</t>
  </si>
  <si>
    <t>Crown Tundra</t>
  </si>
  <si>
    <t>City of Circhester</t>
  </si>
  <si>
    <t>Stow-on-Side</t>
  </si>
  <si>
    <t>Isle of Armor</t>
  </si>
  <si>
    <t>Motostoke</t>
  </si>
  <si>
    <t>Olivine City</t>
  </si>
  <si>
    <t>Fallarbor Town</t>
  </si>
  <si>
    <t>Veilstone City</t>
  </si>
  <si>
    <t>Virbank City</t>
  </si>
  <si>
    <t>Vaniville Town</t>
  </si>
  <si>
    <t>Ultra Megalopolis</t>
  </si>
  <si>
    <t>Violet City</t>
  </si>
  <si>
    <t>Slateport City</t>
  </si>
  <si>
    <t>Celestic Town</t>
  </si>
  <si>
    <t>Anville Town</t>
  </si>
  <si>
    <t>Laverre City</t>
  </si>
  <si>
    <t>Malie City</t>
  </si>
  <si>
    <t>Wyndon North</t>
  </si>
  <si>
    <t>Vermilion</t>
  </si>
  <si>
    <t>Dewford Town (Delta)</t>
  </si>
  <si>
    <t>Cianwood City (Indigo)</t>
  </si>
  <si>
    <t>Vermilion City (Indigo)</t>
  </si>
  <si>
    <t>Humilau City (Vertress)</t>
  </si>
  <si>
    <t>Postwick (Dynamax)</t>
  </si>
  <si>
    <t>Snowpoint City (Lily Valley)</t>
  </si>
  <si>
    <t>Fuchsia City</t>
  </si>
  <si>
    <t>Fortree City</t>
  </si>
  <si>
    <t>Floccesy</t>
  </si>
  <si>
    <t>Geosenge Town</t>
  </si>
  <si>
    <t>Iki Town</t>
  </si>
  <si>
    <t>Anistar City</t>
  </si>
  <si>
    <t>Poni Meadow</t>
  </si>
  <si>
    <t>Wyndon South</t>
  </si>
  <si>
    <t>by World Rank (&amp; Cup Champs)</t>
  </si>
  <si>
    <t>by World Rank (&amp; Cup Runners-up)</t>
  </si>
  <si>
    <t>Solaceon Town</t>
  </si>
  <si>
    <t>Goldenrod City</t>
  </si>
  <si>
    <t>Mauville City</t>
  </si>
  <si>
    <t>Mistralton City</t>
  </si>
  <si>
    <t>highest seeded non-semifinalist</t>
  </si>
  <si>
    <t>highest seeded quarterfinalist</t>
  </si>
  <si>
    <t>Azalea Town</t>
  </si>
  <si>
    <t>Littleroot Town</t>
  </si>
  <si>
    <t>Eterna City</t>
  </si>
  <si>
    <t>Striaton City</t>
  </si>
  <si>
    <t>Snowbelle City</t>
  </si>
  <si>
    <t>Paniola Town</t>
  </si>
  <si>
    <t>Rustboro City (Delta)</t>
  </si>
  <si>
    <t>Cyllage City (Kalosite)</t>
  </si>
  <si>
    <t>Twinleaf Town (Lily Valley)</t>
  </si>
  <si>
    <t>Coumarine Town (Kalosite)</t>
  </si>
  <si>
    <t>Undella Town (Vertress)</t>
  </si>
  <si>
    <t>Heahea City (Lanakila)</t>
  </si>
  <si>
    <t>Skipped</t>
  </si>
  <si>
    <t>Conference Standings</t>
  </si>
  <si>
    <t>Azalea Town (lowest in UTL)</t>
  </si>
  <si>
    <t>Anville Town (lowest in MRL)</t>
  </si>
  <si>
    <t>Floaroma City</t>
  </si>
  <si>
    <t>Floccesy Town</t>
  </si>
  <si>
    <t>Winning Team</t>
  </si>
  <si>
    <t>Score</t>
  </si>
  <si>
    <t>Losing Team</t>
  </si>
  <si>
    <t>Goals</t>
  </si>
  <si>
    <t>[Note]</t>
  </si>
  <si>
    <t>[11-7]</t>
  </si>
  <si>
    <t>Pacifidlog Town</t>
  </si>
  <si>
    <t>Blackthorn City</t>
  </si>
  <si>
    <t>[9-9]</t>
  </si>
  <si>
    <t>Pacifidlog trailed 7-13</t>
  </si>
  <si>
    <t>Cianwood City</t>
  </si>
  <si>
    <t>[8-8]</t>
  </si>
  <si>
    <t>Ecruteak City</t>
  </si>
  <si>
    <t>[6-6]</t>
  </si>
  <si>
    <t>Ever Grande scores 3pt at 55:40</t>
  </si>
  <si>
    <t>Hearthome City</t>
  </si>
  <si>
    <t>[8-7]</t>
  </si>
  <si>
    <t>Hearthome trailed 5-12</t>
  </si>
  <si>
    <t>Accumula Town</t>
  </si>
  <si>
    <t>Mahogany Town</t>
  </si>
  <si>
    <t>[7-5]</t>
  </si>
  <si>
    <t>Accumula trailed 0-8</t>
  </si>
  <si>
    <t>Mossdeep City</t>
  </si>
  <si>
    <t>[6-10]</t>
  </si>
  <si>
    <t>Humilau City</t>
  </si>
  <si>
    <t>[11-9]</t>
  </si>
  <si>
    <t>Santalune City</t>
  </si>
  <si>
    <t>[8-6]</t>
  </si>
  <si>
    <t>Lavaridge Town</t>
  </si>
  <si>
    <t>Pewter City</t>
  </si>
  <si>
    <t>[10-6]</t>
  </si>
  <si>
    <t>Lavaridge scores 1pt at 57:40</t>
  </si>
  <si>
    <t>Dendemille Town</t>
  </si>
  <si>
    <t>[8-9]</t>
  </si>
  <si>
    <t>Littleroot scores 2pt at 58:80</t>
  </si>
  <si>
    <t>Oldale Town</t>
  </si>
  <si>
    <t>[6-4]</t>
  </si>
  <si>
    <t>Rustboro City</t>
  </si>
  <si>
    <t>Pastoria City</t>
  </si>
  <si>
    <t>Latest goal, Pastoria at 61:70</t>
  </si>
  <si>
    <t>Verdanturf Town</t>
  </si>
  <si>
    <t>[13-10]</t>
  </si>
  <si>
    <t>Late goal, Cinnabar at 61:40</t>
  </si>
  <si>
    <t>Canalave City</t>
  </si>
  <si>
    <t>Celadon City</t>
  </si>
  <si>
    <t>[10-3]</t>
  </si>
  <si>
    <t>[11-5]</t>
  </si>
  <si>
    <t>[8-5]</t>
  </si>
  <si>
    <t>Sootopolis City</t>
  </si>
  <si>
    <t>Jubilife City</t>
  </si>
  <si>
    <t>[12-8]</t>
  </si>
  <si>
    <t>OT - 13[10-7], GW 2pt, 61:60</t>
  </si>
  <si>
    <t>Oreburgh City</t>
  </si>
  <si>
    <t>Dewford Town</t>
  </si>
  <si>
    <t>[10-5]</t>
  </si>
  <si>
    <t>Dewford opened with two 4pt goals</t>
  </si>
  <si>
    <t>Sandgem Town</t>
  </si>
  <si>
    <t>Aquacorde Town</t>
  </si>
  <si>
    <t>[9-3]</t>
  </si>
  <si>
    <t>Snowpoint City</t>
  </si>
  <si>
    <t>[13-9]</t>
  </si>
  <si>
    <t>Twinleaf Town</t>
  </si>
  <si>
    <t>Couriway Town</t>
  </si>
  <si>
    <t>Aspertia City</t>
  </si>
  <si>
    <t>Vermilion City</t>
  </si>
  <si>
    <t>[12-7]</t>
  </si>
  <si>
    <t>Driftveil City</t>
  </si>
  <si>
    <t>Saffron City</t>
  </si>
  <si>
    <t>[7-4]</t>
  </si>
  <si>
    <t>Icirrus City</t>
  </si>
  <si>
    <t>Kiloude City</t>
  </si>
  <si>
    <t>Cerulean City</t>
  </si>
  <si>
    <t>[10-1]</t>
  </si>
  <si>
    <t>Viridian City</t>
  </si>
  <si>
    <t>Nimbasa City</t>
  </si>
  <si>
    <t>[7-8]</t>
  </si>
  <si>
    <t>[7-6]</t>
  </si>
  <si>
    <t>Ambrette Town</t>
  </si>
  <si>
    <t>Opelucid City</t>
  </si>
  <si>
    <t>[9-7]</t>
  </si>
  <si>
    <t>Camphrier Town</t>
  </si>
  <si>
    <t>[10-4]</t>
  </si>
  <si>
    <t>Coumarine City</t>
  </si>
  <si>
    <t>Sunyshore City</t>
  </si>
  <si>
    <t>Cyllage City</t>
  </si>
  <si>
    <t>Petalburg City</t>
  </si>
  <si>
    <t>Nacrene City</t>
  </si>
  <si>
    <t>[9-8]</t>
  </si>
  <si>
    <t>Nacrene scores 1pt at 56:10</t>
  </si>
  <si>
    <t>Lilycove City</t>
  </si>
  <si>
    <t>Shalour City</t>
  </si>
  <si>
    <t>Undella Town</t>
  </si>
  <si>
    <t>[10-9]</t>
  </si>
  <si>
    <t>#25 v. #15</t>
  </si>
  <si>
    <t>#19 v. NR</t>
  </si>
  <si>
    <t>[9-6]</t>
  </si>
  <si>
    <t>[12-6]</t>
  </si>
  <si>
    <t>#11 v. NR</t>
  </si>
  <si>
    <t>Lacunosa Town</t>
  </si>
  <si>
    <t>[11-6]</t>
  </si>
  <si>
    <t>[15-4]</t>
  </si>
  <si>
    <t>18pts [9]  in 1st Half by Couriway</t>
  </si>
  <si>
    <t>[10-7]</t>
  </si>
  <si>
    <t>#20 v. NR</t>
  </si>
  <si>
    <t>NR. v. #6</t>
  </si>
  <si>
    <t>[11-4]</t>
  </si>
  <si>
    <t>#3 v. NR</t>
  </si>
  <si>
    <t>[8-2]</t>
  </si>
  <si>
    <t>NR v. #10</t>
  </si>
  <si>
    <t>[7-1]</t>
  </si>
  <si>
    <t>NR v. #13</t>
  </si>
  <si>
    <t>NR v. #23</t>
  </si>
  <si>
    <t>[11-8]</t>
  </si>
  <si>
    <t>#2 v. NR</t>
  </si>
  <si>
    <t>[15-12]</t>
  </si>
  <si>
    <t>OT - 18[12-10]</t>
  </si>
  <si>
    <t>NR v. #20</t>
  </si>
  <si>
    <t>#22 v. #18</t>
  </si>
  <si>
    <t>#4 v. NR</t>
  </si>
  <si>
    <t>#1 v. NR</t>
  </si>
  <si>
    <t>[5-6]</t>
  </si>
  <si>
    <t>#7 v. NR</t>
  </si>
  <si>
    <t>#24 v. NR</t>
  </si>
  <si>
    <t>#6 v. NR</t>
  </si>
  <si>
    <t>[12-10]</t>
  </si>
  <si>
    <t>21pts(17) [11] in 1st by [#6] Mistralton</t>
  </si>
  <si>
    <t>[13-6]</t>
  </si>
  <si>
    <t>[9-5]</t>
  </si>
  <si>
    <t>NR v. #16</t>
  </si>
  <si>
    <t>[13-7]</t>
  </si>
  <si>
    <t>NR v. #9</t>
  </si>
  <si>
    <t>#12 v. NR</t>
  </si>
  <si>
    <t>[6-7]</t>
  </si>
  <si>
    <t>GW 1pt at 57:10</t>
  </si>
  <si>
    <t>#13 v. NR</t>
  </si>
  <si>
    <t>Geosenge: Only 2pt at 46:90</t>
  </si>
  <si>
    <t>NR v. #25</t>
  </si>
  <si>
    <t>[8-10]</t>
  </si>
  <si>
    <t>[5-4]</t>
  </si>
  <si>
    <t>#16 v. #5</t>
  </si>
  <si>
    <t>[15-9]</t>
  </si>
  <si>
    <t>OT - 21[13-9]</t>
  </si>
  <si>
    <t>[12-4]</t>
  </si>
  <si>
    <t>#23 v. NR</t>
  </si>
  <si>
    <t>[8-3]</t>
  </si>
  <si>
    <t>[7-7]</t>
  </si>
  <si>
    <t>#9 v. #24</t>
  </si>
  <si>
    <t>#22 v. NR</t>
  </si>
  <si>
    <t>[6-5]</t>
  </si>
  <si>
    <t>NR v. #2</t>
  </si>
  <si>
    <t>[12-5]</t>
  </si>
  <si>
    <t>OT - 14[10-4], GW 2pt @ 60+2'</t>
  </si>
  <si>
    <t>NR v. #21</t>
  </si>
  <si>
    <t>[15-8]</t>
  </si>
  <si>
    <t>#6 v. #18</t>
  </si>
  <si>
    <t>#16 v. NR</t>
  </si>
  <si>
    <t>#10 v. NR</t>
  </si>
  <si>
    <t>[11-11]</t>
  </si>
  <si>
    <t>[9-2]</t>
  </si>
  <si>
    <t>NR v. #8</t>
  </si>
  <si>
    <t>#7 v. #3</t>
  </si>
  <si>
    <t>#14 v. NR</t>
  </si>
  <si>
    <t>21pts (20) [9] in 1st by [#14] Humilau</t>
  </si>
  <si>
    <t>[6-8]</t>
  </si>
  <si>
    <t>NR v. #11</t>
  </si>
  <si>
    <t>[14-7]</t>
  </si>
  <si>
    <t>#14 v. #4</t>
  </si>
  <si>
    <t>#19 v. #21</t>
  </si>
  <si>
    <t>#9 v. #14</t>
  </si>
  <si>
    <t>#25 v. NR</t>
  </si>
  <si>
    <t>[4-6]</t>
  </si>
  <si>
    <t>#21 v. NR</t>
  </si>
  <si>
    <t>[9-10]</t>
  </si>
  <si>
    <t>#15 v. NR</t>
  </si>
  <si>
    <t>[5-10]</t>
  </si>
  <si>
    <t>OT - 12[4-10]; GW 1pt @ 60+1'</t>
  </si>
  <si>
    <t>[8-4]</t>
  </si>
  <si>
    <t>OT - 13[8-6]</t>
  </si>
  <si>
    <t>NR v. #12</t>
  </si>
  <si>
    <t>#18 v. NR</t>
  </si>
  <si>
    <t>[9-4]</t>
  </si>
  <si>
    <t>[12-2]</t>
  </si>
  <si>
    <t>#1 v. #6</t>
  </si>
  <si>
    <t>#5 v. NR</t>
  </si>
  <si>
    <t>[6-9]</t>
  </si>
  <si>
    <t>#17 v. #11</t>
  </si>
  <si>
    <t>#8 v. NR</t>
  </si>
  <si>
    <t>[14-6]</t>
  </si>
  <si>
    <t>NR v. #7</t>
  </si>
  <si>
    <t>#24 v. #15</t>
  </si>
  <si>
    <t>#17 v. NR</t>
  </si>
  <si>
    <t>#1 v. #5</t>
  </si>
  <si>
    <t>First meeting between two T-5 teams</t>
  </si>
  <si>
    <t>[12-12]</t>
  </si>
  <si>
    <t>2OT - 16[9-9], 17[10-10], 2@70+3</t>
  </si>
  <si>
    <t>[7-11]</t>
  </si>
  <si>
    <t>[12-14]</t>
  </si>
  <si>
    <t>2OT - 18[9-11], 20[10-12], 2@70+2</t>
  </si>
  <si>
    <t>[16-6]</t>
  </si>
  <si>
    <t>#9 v. #4</t>
  </si>
  <si>
    <t>#3 v. #6</t>
  </si>
  <si>
    <t>2OT - 14[7-8], 14[7-8]</t>
  </si>
  <si>
    <t>OT - 11[8-8]</t>
  </si>
  <si>
    <t>[14-2]</t>
  </si>
  <si>
    <t>[7-9]</t>
  </si>
  <si>
    <t>[11-2]</t>
  </si>
  <si>
    <t>OT - 10[5-6]</t>
  </si>
  <si>
    <t>GW 4pt at 54:60</t>
  </si>
  <si>
    <t>[5-9]</t>
  </si>
  <si>
    <t>Virbank: Fastest Goal possible (1pt/:40)</t>
  </si>
  <si>
    <t>#10 v. #8</t>
  </si>
  <si>
    <t>[11-3]</t>
  </si>
  <si>
    <t>#2 v. #21</t>
  </si>
  <si>
    <t>[12-9]</t>
  </si>
  <si>
    <t>NR v. #14</t>
  </si>
  <si>
    <t>#5 v. #25</t>
  </si>
  <si>
    <t>[10-8]</t>
  </si>
  <si>
    <t>#21 v. #24</t>
  </si>
  <si>
    <t>#9 v. #23</t>
  </si>
  <si>
    <t>OT - 12[5-8]</t>
  </si>
  <si>
    <t>#4 v. #22</t>
  </si>
  <si>
    <t>[11-12]</t>
  </si>
  <si>
    <t>#18 v. #6</t>
  </si>
  <si>
    <t>#17 v. #8</t>
  </si>
  <si>
    <t>NR v. #18</t>
  </si>
  <si>
    <t>[15-3]</t>
  </si>
  <si>
    <t>[13-8]</t>
  </si>
  <si>
    <t>NR v. #3</t>
  </si>
  <si>
    <t>#10 v NR</t>
  </si>
  <si>
    <t>NR v. #6</t>
  </si>
  <si>
    <t>[6-3]</t>
  </si>
  <si>
    <t>OT - 19[9-11]</t>
  </si>
  <si>
    <t>OT - 14[9-7]</t>
  </si>
  <si>
    <t>#25 v. #8</t>
  </si>
  <si>
    <t>[7-10]</t>
  </si>
  <si>
    <t>#12 v. #22</t>
  </si>
  <si>
    <t>#17 v. #4</t>
  </si>
  <si>
    <t>[14-8]</t>
  </si>
  <si>
    <t>#11 v. #16</t>
  </si>
  <si>
    <t>[7-3]</t>
  </si>
  <si>
    <t>[13-5]</t>
  </si>
  <si>
    <t>[13-4]</t>
  </si>
  <si>
    <t>NR v. #17</t>
  </si>
  <si>
    <t>Most points scored by winner (32)</t>
  </si>
  <si>
    <t>Fallarbor - 3 4pt scores off of 6-Ace</t>
  </si>
  <si>
    <t>NR v. #24</t>
  </si>
  <si>
    <t>Oreburgh - 2pt at 62:10 (latest recorded)</t>
  </si>
  <si>
    <t>#11 v NR</t>
  </si>
  <si>
    <t>#16 v. #19</t>
  </si>
  <si>
    <t>#15 v. #12</t>
  </si>
  <si>
    <t>#1 v. #14</t>
  </si>
  <si>
    <t>#3 v. #9</t>
  </si>
  <si>
    <t>2OT - 13[6-7], 17[8-9]</t>
  </si>
  <si>
    <t>Oreburgh - 4 3pt* plays and a 4pt play</t>
  </si>
  <si>
    <t>OT - 11[7-8]</t>
  </si>
  <si>
    <t>GW 4pt at 61:80</t>
  </si>
  <si>
    <t>[8-12]</t>
  </si>
  <si>
    <t>OT - 10[5-7], GW 4pt @ 61:80</t>
  </si>
  <si>
    <t>[10-10]</t>
  </si>
  <si>
    <t>1pt at F-66:60 and C-67:80 in added time</t>
  </si>
  <si>
    <t>#9 v. NR</t>
  </si>
  <si>
    <t>[5-7]</t>
  </si>
  <si>
    <t>NR v. #22</t>
  </si>
  <si>
    <t>OT - 12[9-8]</t>
  </si>
  <si>
    <t>2OT - 14[7-6], 15[8-7]</t>
  </si>
  <si>
    <t xml:space="preserve"> </t>
  </si>
  <si>
    <t>#6 v. #23</t>
  </si>
  <si>
    <t>#5 v. #20</t>
  </si>
  <si>
    <t>#16 v. #15</t>
  </si>
  <si>
    <t>OT - 17[9-8]</t>
  </si>
  <si>
    <t>#10 v. #1</t>
  </si>
  <si>
    <t>OT - 13[10-8], Mistralton - 4 1pt in 50+time</t>
  </si>
  <si>
    <t>[13-13]</t>
  </si>
  <si>
    <t>2OT - 16[10-11], 18[11-13]</t>
  </si>
  <si>
    <t>[16-3]</t>
  </si>
  <si>
    <t>[7-2]</t>
  </si>
  <si>
    <t>OT - 17[8-8]</t>
  </si>
  <si>
    <t>OT - 12[5-9]</t>
  </si>
  <si>
    <t>[10-11]</t>
  </si>
  <si>
    <t>Azalea - 4pts@60:00</t>
  </si>
  <si>
    <t>[5-8]</t>
  </si>
  <si>
    <t>[13-11]</t>
  </si>
  <si>
    <t>OT - 14[8-8]</t>
  </si>
  <si>
    <t>#25 v. #21</t>
  </si>
  <si>
    <t>#1 v. #24</t>
  </si>
  <si>
    <t>#12 v. #18</t>
  </si>
  <si>
    <t>#5 v. #16</t>
  </si>
  <si>
    <t>#15 v. #7</t>
  </si>
  <si>
    <t>Nacrene: 1pt@50+9, Humilau: 2pts@50+11</t>
  </si>
  <si>
    <t>#11 v. #2</t>
  </si>
  <si>
    <t>[6-1]</t>
  </si>
  <si>
    <t>#6 v. #8</t>
  </si>
  <si>
    <t>[13-3]</t>
  </si>
  <si>
    <t>[11-10]</t>
  </si>
  <si>
    <t>[8-11]</t>
  </si>
  <si>
    <t>Lavaridge scores 4pt at 61:50</t>
  </si>
  <si>
    <t>OT - 18[10-8]</t>
  </si>
  <si>
    <t>[12-11]</t>
  </si>
  <si>
    <t>Lumiose scores 2pt at 62:50</t>
  </si>
  <si>
    <t>NR v. #1</t>
  </si>
  <si>
    <t>#14 v. #23</t>
  </si>
  <si>
    <t>#22 v. #21</t>
  </si>
  <si>
    <t>#20 v. #5</t>
  </si>
  <si>
    <t>#9 v. #19</t>
  </si>
  <si>
    <t>#10 v. #17</t>
  </si>
  <si>
    <t>#16 v. #6</t>
  </si>
  <si>
    <t>[10-12]</t>
  </si>
  <si>
    <t>#12 v. #3</t>
  </si>
  <si>
    <t>OT - 17[6-11]</t>
  </si>
  <si>
    <t>[5-5]</t>
  </si>
  <si>
    <t>[7-12]</t>
  </si>
  <si>
    <t>Nacrene: GW 3pt @ 59:60</t>
  </si>
  <si>
    <t>[14-4]</t>
  </si>
  <si>
    <t>[12-13]</t>
  </si>
  <si>
    <t>2OT - 18[9-12], 20[10-13]</t>
  </si>
  <si>
    <t>VC: 1pt @ 58:60, Icirrus: GW 2pt @ 61:20</t>
  </si>
  <si>
    <t>OT - 12[7-8]</t>
  </si>
  <si>
    <t>[13-12]</t>
  </si>
  <si>
    <t>OT - 21[8-12], Most Points Combined (48)</t>
  </si>
  <si>
    <t>#21 v. #20</t>
  </si>
  <si>
    <t>#5 v. #15</t>
  </si>
  <si>
    <t>#11 v. #7</t>
  </si>
  <si>
    <t>Saffron: Kanto Division Title</t>
  </si>
  <si>
    <t>(Vaniville: Mountain Division Title)</t>
  </si>
  <si>
    <t>Mahogany: Johto Division Title</t>
  </si>
  <si>
    <t>Vaniville: Mountain Division Title</t>
  </si>
  <si>
    <t>[13-1]</t>
  </si>
  <si>
    <t>Petalburg: Alpha Division Title</t>
  </si>
  <si>
    <t>Celestic Town: Pearl Division Title</t>
  </si>
  <si>
    <t>NR v. #19</t>
  </si>
  <si>
    <t>[9-12]</t>
  </si>
  <si>
    <t>Rustboro: Omega Division Title</t>
  </si>
  <si>
    <t>#12 v. #23</t>
  </si>
  <si>
    <t>Sandgem: Diamond Division Title</t>
  </si>
  <si>
    <t>#16 v. #22</t>
  </si>
  <si>
    <t>#17 v. #14</t>
  </si>
  <si>
    <t>#10 v. #15</t>
  </si>
  <si>
    <t>Castelia: Light Division Title</t>
  </si>
  <si>
    <t>#5 v. #13</t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</si>
  <si>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Costal Division Championship</t>
    </r>
  </si>
  <si>
    <t>#1 v. #3</t>
  </si>
  <si>
    <t>Mistralton: Dark Division Title</t>
  </si>
  <si>
    <t>#22 v. #35</t>
  </si>
  <si>
    <t>2OT - 12[4-7], 14[6-8], Indigo Championship</t>
  </si>
  <si>
    <t>#2 v. #26</t>
  </si>
  <si>
    <t>Delta Conference Championship</t>
  </si>
  <si>
    <t>#10 v. #9</t>
  </si>
  <si>
    <t>Lily Valley Conference Championship</t>
  </si>
  <si>
    <t>#8 v. #4</t>
  </si>
  <si>
    <t>Kalosite Conference Championship</t>
  </si>
  <si>
    <t>#7 v. #1</t>
  </si>
  <si>
    <t>Vertress Conference Championship</t>
  </si>
  <si>
    <t>#5 v. #4</t>
  </si>
  <si>
    <t>Saffron v. Celestic (+1)</t>
  </si>
  <si>
    <t>#1 v. #8</t>
  </si>
  <si>
    <t>Cyllage v. Rustboro (+7)</t>
  </si>
  <si>
    <t>GROUP A</t>
  </si>
  <si>
    <t>#6 v. #3</t>
  </si>
  <si>
    <t>Mistralton v. Castelia (+3)</t>
  </si>
  <si>
    <t>Rustboro City*</t>
  </si>
  <si>
    <t>[2-0]</t>
  </si>
  <si>
    <t>2nd</t>
  </si>
  <si>
    <t>[3-1]</t>
  </si>
  <si>
    <t>#2 v. #7</t>
  </si>
  <si>
    <t>Driftveil v. Vaniville (+5)</t>
  </si>
  <si>
    <t>[1-2]</t>
  </si>
  <si>
    <t>5th</t>
  </si>
  <si>
    <t>Saffron City (#5)</t>
  </si>
  <si>
    <t>Winners A</t>
  </si>
  <si>
    <t>Saffron City*%</t>
  </si>
  <si>
    <t>[2-1]</t>
  </si>
  <si>
    <t>1st</t>
  </si>
  <si>
    <t>[4-1]</t>
  </si>
  <si>
    <t>Rustboro City (#1)</t>
  </si>
  <si>
    <t>#4 v. #8</t>
  </si>
  <si>
    <t>OT - 14[8-7], Losers A</t>
  </si>
  <si>
    <t>[0-2]</t>
  </si>
  <si>
    <t>8th</t>
  </si>
  <si>
    <t>Vaniville Town (#2)</t>
  </si>
  <si>
    <t>#2 v. #6</t>
  </si>
  <si>
    <t>Winners B</t>
  </si>
  <si>
    <t>Mistralton City (#6)</t>
  </si>
  <si>
    <t>Losers B</t>
  </si>
  <si>
    <t>GROUP B</t>
  </si>
  <si>
    <t>Celestic Town (#4)</t>
  </si>
  <si>
    <t>Tiebreak A</t>
  </si>
  <si>
    <t>3rd</t>
  </si>
  <si>
    <t>Driftveil City (#7)</t>
  </si>
  <si>
    <t>#6 v. #7</t>
  </si>
  <si>
    <t>Tiebreak B</t>
  </si>
  <si>
    <t>7th</t>
  </si>
  <si>
    <t>Castelia City (#3)</t>
  </si>
  <si>
    <t>Semifinal One (Winner A v. Runner-up B)</t>
  </si>
  <si>
    <t>4th</t>
  </si>
  <si>
    <t>[2-2]</t>
  </si>
  <si>
    <t>Cyllage City (#8)</t>
  </si>
  <si>
    <t>#5 v. #2</t>
  </si>
  <si>
    <t>Semifinal Two (Winner B v. Runner-up A)</t>
  </si>
  <si>
    <t>6th</t>
  </si>
  <si>
    <t>#5 v. #1</t>
  </si>
  <si>
    <t>[15-10]</t>
  </si>
  <si>
    <t>OT - 19[13-9], WORLD CHAMPIONSHIP</t>
  </si>
  <si>
    <t>EX</t>
  </si>
  <si>
    <t>OLD ELO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</si>
  <si>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</si>
  <si>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</si>
  <si>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</si>
  <si>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</si>
  <si>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</si>
  <si>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</si>
  <si>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</si>
  <si>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</si>
  <si>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</si>
  <si>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</si>
  <si>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</si>
  <si>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</si>
  <si>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</si>
  <si>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</si>
  <si>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</si>
  <si>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</si>
  <si>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</si>
  <si>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</si>
  <si>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</si>
  <si>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</si>
  <si>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</si>
  <si>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</si>
  <si>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</si>
  <si>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</si>
  <si>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</si>
  <si>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</si>
  <si>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</si>
  <si>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</si>
  <si>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</si>
  <si>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</si>
  <si>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</si>
  <si>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</si>
  <si>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</si>
  <si>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</si>
  <si>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</si>
  <si>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</si>
  <si>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</si>
  <si>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W19</t>
  </si>
  <si>
    <t>Rnk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</si>
  <si>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- 10[7-4],13[9-6],18[11-9] 3pt@75:40</t>
    </r>
  </si>
  <si>
    <t>[12-3]</t>
  </si>
  <si>
    <t>[17-7]</t>
  </si>
  <si>
    <t>20-0 [14-0] in 1st, most goals scored [17]</t>
  </si>
  <si>
    <t>[17-10]</t>
  </si>
  <si>
    <t>most goals scored [17] (tied), total pts (49)</t>
  </si>
  <si>
    <t>[11-13]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</si>
  <si>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- 16[9-12]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</si>
  <si>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- 17[9-10], Cyllage 3pt @ 65:20</t>
    </r>
  </si>
  <si>
    <t>Nimbasa 3pt @ 61:80</t>
  </si>
  <si>
    <t>Vaniville: 21pts in 1st</t>
  </si>
  <si>
    <t>Celestic: 2pt @ 59:70 (+10)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</si>
  <si>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- 12[6-7]</t>
    </r>
  </si>
  <si>
    <t>Oreburgh: 22pts in 1st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</si>
  <si>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- 11[5-8]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</si>
  <si>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- 16[11-9]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</si>
  <si>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- 9[6-4]</t>
    </r>
  </si>
  <si>
    <t>[15-5]</t>
  </si>
  <si>
    <t>Exeggutor Island</t>
  </si>
  <si>
    <t>Vast Poni Canyon</t>
  </si>
  <si>
    <t>Seafolk Village</t>
  </si>
  <si>
    <t>Hau'oli City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</si>
  <si>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- 16[8-8]</t>
    </r>
  </si>
  <si>
    <t>Heahea City</t>
  </si>
  <si>
    <t>Aether Paradise</t>
  </si>
  <si>
    <t>Konikoni City</t>
  </si>
  <si>
    <t>Tapu Village</t>
  </si>
  <si>
    <t>Po Town</t>
  </si>
  <si>
    <t>Mount Hokulani</t>
  </si>
  <si>
    <t>[15-11]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</si>
  <si>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- 12[9-7], 16[11-9], 20[13-11]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</si>
  <si>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- 13[8-8]</t>
    </r>
  </si>
  <si>
    <t>Hearthome: 4pt @ 58:40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</si>
  <si>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- 11[9-6]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</si>
  <si>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- 10[8-6]</t>
    </r>
  </si>
  <si>
    <t>Vaniville: 23(17)pts in 1st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</si>
  <si>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- 15[9-9]</t>
    </r>
  </si>
  <si>
    <t>[15-6]</t>
  </si>
  <si>
    <t>[10-2]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</si>
  <si>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- 15[10-8]</t>
    </r>
  </si>
  <si>
    <t>[14-11]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</si>
  <si>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- 19[10-12], Cerulean 1pt @ 66:10 in reg</t>
    </r>
  </si>
  <si>
    <t>[15-7]</t>
  </si>
  <si>
    <t>Laverre: 3pts# @ 65:90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</si>
  <si>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- 14[9-8]</t>
    </r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</si>
  <si>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- 14[5-6], 19[7-9], 23[9-12]</t>
    </r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</si>
  <si>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- 17[11-7], 21[14-10], 21[14-10], [17](tied)</t>
    </r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</si>
  <si>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- 15[7-11], 17[8-13]</t>
    </r>
  </si>
  <si>
    <t>Solaceon: 4pt @ 61:80 (+12)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</si>
  <si>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- 16[9-9]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</si>
  <si>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- 11[6-7]</t>
    </r>
  </si>
  <si>
    <t>[14-9]</t>
  </si>
  <si>
    <t>Solaceon: Scoring Record (34 pts)</t>
  </si>
  <si>
    <t>[5-3]</t>
  </si>
  <si>
    <t>Jubilife: No goals until 49:10 (1pt)</t>
  </si>
  <si>
    <t>Heahea: 4pt @ 60:10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</si>
  <si>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- 14[8-9], Lumiose: 4pt @ 65:00</t>
    </r>
  </si>
  <si>
    <t>Match between two Top-5 teams</t>
  </si>
  <si>
    <t>Shalour: 4pt @ 57:10</t>
  </si>
  <si>
    <t>[4-8]</t>
  </si>
  <si>
    <t>Saffron: 4pt @ 58:90</t>
  </si>
  <si>
    <t>Snowbelle: 2pt @ 58:10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</si>
  <si>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- 16[10-7]</t>
    </r>
  </si>
  <si>
    <t>Cinnabar: 4pt @ 63:30</t>
  </si>
  <si>
    <t>Rustboro: 2pt @ 58:70</t>
  </si>
  <si>
    <t>Vaniville: First goal @ 54:60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</si>
  <si>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- 15[8-8]</t>
    </r>
  </si>
  <si>
    <t>[14-3]</t>
  </si>
  <si>
    <t>Floaroma: 3pt @ 64:80</t>
  </si>
  <si>
    <t>[18-9]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</si>
  <si>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- 14[5-6]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</si>
  <si>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- 15[9-10]</t>
    </r>
  </si>
  <si>
    <t>Tied combined points record (49)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</si>
  <si>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- 10[7-7]</t>
    </r>
  </si>
  <si>
    <t>[16-7]</t>
  </si>
  <si>
    <t>Solaceon: First goal @ 51:00 (4pt)</t>
  </si>
  <si>
    <t>M: GW 2pt @ 61:10, total pts record (51)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</si>
  <si>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- 19[10-9], UM: Tied @ 67:40 (3pt)</t>
    </r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</si>
  <si>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- 13[7-7], 13[7-7]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</si>
  <si>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- 17[8-8]</t>
    </r>
  </si>
  <si>
    <t>[11-14]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</si>
  <si>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- 19[9-11]</t>
    </r>
  </si>
  <si>
    <t>[10-13]</t>
  </si>
  <si>
    <t>Olivine: GW 2pt @ 61:20</t>
  </si>
  <si>
    <t>Hokulani: GW 4pt @ 57:90</t>
  </si>
  <si>
    <t>Oreburgh: 20 pts in 1st</t>
  </si>
  <si>
    <t>Total combined points record (55)</t>
  </si>
  <si>
    <t>[17-5]</t>
  </si>
  <si>
    <t>most goals scored [17] (tied)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</si>
  <si>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- 17[7-11]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</si>
  <si>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- 13[7-8]</t>
    </r>
  </si>
  <si>
    <t>Rustboro: clinches Omega Division title</t>
  </si>
  <si>
    <t>[9-11]</t>
  </si>
  <si>
    <t>Geosenge: clinches Costal Division title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</si>
  <si>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- 15[7-7]</t>
    </r>
  </si>
  <si>
    <t>Santalune: clinches Mountain Division title</t>
  </si>
  <si>
    <t>Vaniville: 4pt @ 54:80</t>
  </si>
  <si>
    <t>UPSET of the SEASON (Ecruteak: 0-9, 96th)</t>
  </si>
  <si>
    <t>UPSET (Rustboro: third loss all-time, 25-3)</t>
  </si>
  <si>
    <t>Fuchsia: 2pt @ 61:80</t>
  </si>
  <si>
    <t>[14-5]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</si>
  <si>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- 14[8-10]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</si>
  <si>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- 16[9-11], Cyllage: 18-0 run to win</t>
    </r>
  </si>
  <si>
    <t>Olivine: GW 3pt @ 57:90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</si>
  <si>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- 10[6-5], Saffton: GW 1pt @ 65:90</t>
    </r>
  </si>
  <si>
    <t>Seafolk: GW 4pt @ 62:80</t>
  </si>
  <si>
    <t>Eterna: 1pt @ 60:30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</si>
  <si>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- 17[8-9]</t>
    </r>
  </si>
  <si>
    <t>Rustboro: second consecutive loss, 25-4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</si>
  <si>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- 17[8-7], Castelia: clinches Dark Division title</t>
    </r>
  </si>
  <si>
    <t>Cianwood: 3pt @ 63/Pewter: 1pt @ 62:20</t>
  </si>
  <si>
    <t>(Castelia: clinches Dark Division title)</t>
  </si>
  <si>
    <t>Solaceon: 1pt @ 55:80, clinches Pearl Division title</t>
  </si>
  <si>
    <t>Ultra Megalopolis: 3pt @55:80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</si>
  <si>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- 14[9-5], Eterna: 3pt# @ 64:20 in OT</t>
    </r>
  </si>
  <si>
    <t>Seafolk: clinches Sun Division title</t>
  </si>
  <si>
    <t>Oreburgh: clinches Diamond Division title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</si>
  <si>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- 17[11-8], Iki: 2pt @ 63:70 in OT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</si>
  <si>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- 13[10-7]</t>
    </r>
  </si>
  <si>
    <t>Viridian: clinches Kanto Division title</t>
  </si>
  <si>
    <t>Rustboro: third consecutive loss, 25-5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</si>
  <si>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- 16[9-9], (Slateport: clinches Alpha Division title)</t>
    </r>
  </si>
  <si>
    <t>Goldenrod: clinches Johto Division title</t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</si>
  <si>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Moon Division Championship</t>
    </r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</si>
  <si>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Dark Division Championship</t>
    </r>
  </si>
  <si>
    <t>Lanakila Conference Championship</t>
  </si>
  <si>
    <t>[14-14]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</si>
  <si>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- 23[11-13], Vertress Championship, Castelia: 9pts in 50+, most regulation pts in a tied game</t>
    </r>
  </si>
  <si>
    <t>Indigo Conference Championship</t>
  </si>
  <si>
    <t>Lily</t>
  </si>
  <si>
    <t>Given after the week is over</t>
  </si>
  <si>
    <t>Conference Champion</t>
  </si>
  <si>
    <t>#7/#10</t>
  </si>
  <si>
    <t>7-seed Viridian vs 10-seed Virbank</t>
  </si>
  <si>
    <t>#8/#9</t>
  </si>
  <si>
    <t>8-seed Paniola vs 9-seed Lumiose</t>
  </si>
  <si>
    <t>in addition to</t>
  </si>
  <si>
    <t>7-seed Viridian wins 37-15 on aggregate</t>
  </si>
  <si>
    <t>Champion (add 17)</t>
  </si>
  <si>
    <t>8-seed Paniola wins 43-34 on aggregate</t>
  </si>
  <si>
    <t>Finalist (add 7)</t>
  </si>
  <si>
    <t>#1/#8</t>
  </si>
  <si>
    <t>1-seed Castelia vs 8-seed Paniola</t>
  </si>
  <si>
    <t>Semifinalist (add 6)</t>
  </si>
  <si>
    <t>#2/#7</t>
  </si>
  <si>
    <t>2-seed Geosenge vs 7-seed Viridian</t>
  </si>
  <si>
    <t>Quarterfinalist (add 5)</t>
  </si>
  <si>
    <t>#3/#6</t>
  </si>
  <si>
    <t>3-seed Rustboro vs 6-seed Oreburgh</t>
  </si>
  <si>
    <t>Play-in Round (and auto-QFs)</t>
  </si>
  <si>
    <t>#4/#5</t>
  </si>
  <si>
    <t>4-seed Solaceon vs 5-seed Santalune</t>
  </si>
  <si>
    <t>1-seed Castelia wins 41-29 on aggregate</t>
  </si>
  <si>
    <t>#8 Virbank at #12 Viridian</t>
  </si>
  <si>
    <t>2-seed Geosenge wins 28-27 on aggregate</t>
  </si>
  <si>
    <t>#7 Lumiose at #15 Paniola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</si>
  <si>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- 30[18-18], 3-seed Rustboro wins 35-34[3-3] on aggregate</t>
    </r>
  </si>
  <si>
    <t>4-seed Solaceon wins 27-11 on aggregate</t>
  </si>
  <si>
    <t>(A) #8 Paniola at #1 Castelia</t>
  </si>
  <si>
    <t>SFA1</t>
  </si>
  <si>
    <t>1-seed Castelia vs 4-seed Solaceon</t>
  </si>
  <si>
    <t>(B) #7 Viridian at #2 Geosenge</t>
  </si>
  <si>
    <t>SFB1</t>
  </si>
  <si>
    <t>2-seed Geosenge vs 3-seed Rustboro</t>
  </si>
  <si>
    <t>(B) #6 Oreburgh at #3 Rustboro</t>
  </si>
  <si>
    <t>SFA2</t>
  </si>
  <si>
    <t>1-seed Castelia wins 29-25 on aggregate</t>
  </si>
  <si>
    <t>(A) #5 Santalune at #4 Solaceon</t>
  </si>
  <si>
    <t>SFB2</t>
  </si>
  <si>
    <t>2-seed Geosenge wins 36-20 on aggregate</t>
  </si>
  <si>
    <t>Final 1</t>
  </si>
  <si>
    <t>1-seed Castelia vs 2-seed Geosenge</t>
  </si>
  <si>
    <t>Paniola/Castelia vs Santalune/Solaceon</t>
  </si>
  <si>
    <t>Final 2</t>
  </si>
  <si>
    <t>2-seed Geosenge wins, 2-0</t>
  </si>
  <si>
    <t>Viridian/Geosenge vs Oreburgh/Rustboro</t>
  </si>
  <si>
    <t>GEOSENGE: WORLD CHAMPIONS</t>
  </si>
  <si>
    <t>Round One - Halve the low seed/double the high seed</t>
  </si>
  <si>
    <t>QF - .4x the low seed/2.5x the high seed</t>
  </si>
  <si>
    <t>SF &amp; F - .33 the low seed/3x the high seed</t>
  </si>
  <si>
    <t>Kalosite Conference</t>
  </si>
  <si>
    <t>Vertress Conference</t>
  </si>
  <si>
    <t>Lily Valley Conference</t>
  </si>
  <si>
    <t>Delta Conference</t>
  </si>
  <si>
    <t>Indigo Conference</t>
  </si>
  <si>
    <t>Lanakila Conference</t>
  </si>
  <si>
    <t>W20</t>
  </si>
  <si>
    <t>W21</t>
  </si>
  <si>
    <t>START</t>
  </si>
  <si>
    <t>VLOOKUP(C2, Sheet7!$C$54:$F$149, 4, FALSE)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</si>
  <si>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</si>
  <si>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</si>
  <si>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</si>
  <si>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</si>
  <si>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</si>
  <si>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</si>
  <si>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</si>
  <si>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</si>
  <si>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</si>
  <si>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</si>
  <si>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</si>
  <si>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</si>
  <si>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</si>
  <si>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</si>
  <si>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</si>
  <si>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</si>
  <si>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</si>
  <si>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</si>
  <si>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</si>
  <si>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</si>
  <si>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</si>
  <si>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</si>
  <si>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</si>
  <si>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</si>
  <si>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</si>
  <si>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</si>
  <si>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</si>
  <si>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</si>
  <si>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</si>
  <si>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CONCATENATE(G, " leads ", H, "-", I)</t>
  </si>
  <si>
    <t>D1 5/8</t>
  </si>
  <si>
    <t>Matchday One</t>
  </si>
  <si>
    <t>{13.2-9.2}</t>
  </si>
  <si>
    <t>Season Start - 5/8/2020</t>
  </si>
  <si>
    <t>{18.3-12.8}</t>
  </si>
  <si>
    <t>{26.7-3.3}</t>
  </si>
  <si>
    <t>{41.9-14.2}</t>
  </si>
  <si>
    <t>{22.5-19.5}</t>
  </si>
  <si>
    <t>{23.8-11.2}</t>
  </si>
  <si>
    <t>{18.7-17.4}</t>
  </si>
  <si>
    <t>{37.4-7.7}</t>
  </si>
  <si>
    <t>{29.9-25.5}</t>
  </si>
  <si>
    <t>{39.5-4.6}</t>
  </si>
  <si>
    <t>Dynamax Conference debut</t>
  </si>
  <si>
    <t>{12.9-12.2}</t>
  </si>
  <si>
    <t>D2 5/9</t>
  </si>
  <si>
    <t>{51.3-1.6}</t>
  </si>
  <si>
    <t>Ambrette: 3pt# @ 60:20</t>
  </si>
  <si>
    <t>{80.3-4.9}</t>
  </si>
  <si>
    <t>Resort: 22(20) pts In 1st</t>
  </si>
  <si>
    <t>{15.5-12.7}</t>
  </si>
  <si>
    <t>{41.8-17.0}</t>
  </si>
  <si>
    <t>{52.9-15.7}</t>
  </si>
  <si>
    <t>{38.1-3.1}</t>
  </si>
  <si>
    <t>{36.0-17.1}</t>
  </si>
  <si>
    <t>{43.3-9.9}</t>
  </si>
  <si>
    <t>Tapu: 4pt @ 59:30</t>
  </si>
  <si>
    <t>{79.3-3.7}</t>
  </si>
  <si>
    <t>{13.8-24.7}</t>
  </si>
  <si>
    <t>INVT</t>
  </si>
  <si>
    <t>{43.4-7.6}</t>
  </si>
  <si>
    <t>[11-0]</t>
  </si>
  <si>
    <t>{565.499-0}</t>
  </si>
  <si>
    <t>MAX</t>
  </si>
  <si>
    <t>FIRST EVER SHUTOUT, D-Score Record</t>
  </si>
  <si>
    <t>{26.2-15.8}</t>
  </si>
  <si>
    <t>D3 5/10</t>
  </si>
  <si>
    <t>{62.3-8.9}</t>
  </si>
  <si>
    <t>{24.0-11.5}</t>
  </si>
  <si>
    <t>{31.9-4.9}</t>
  </si>
  <si>
    <t>D4 5/11</t>
  </si>
  <si>
    <t>{29.7-27.0}</t>
  </si>
  <si>
    <t>{71.4-1.6}</t>
  </si>
  <si>
    <t>{32.2-21.3}</t>
  </si>
  <si>
    <t>{55.6-1.7}</t>
  </si>
  <si>
    <t>{101.3-4.7}</t>
  </si>
  <si>
    <t>{63.2-4.1}</t>
  </si>
  <si>
    <t>{82.3-2.5}</t>
  </si>
  <si>
    <t>{17.6-12.7}</t>
  </si>
  <si>
    <t>{34.1-3.0}</t>
  </si>
  <si>
    <t>{17.2-14.0}</t>
  </si>
  <si>
    <t>{108.5-0}</t>
  </si>
  <si>
    <t>{20.8-44.7}</t>
  </si>
  <si>
    <t>{116.1-4.8}</t>
  </si>
  <si>
    <t>Most goals scored (17) (tied)</t>
  </si>
  <si>
    <t>D5 5/12</t>
  </si>
  <si>
    <t>{57.2-5.0}</t>
  </si>
  <si>
    <t>{28.7-13.8}</t>
  </si>
  <si>
    <t>Wyndon North: 4pt at 55:40</t>
  </si>
  <si>
    <t>[16-8]</t>
  </si>
  <si>
    <t>{63.5-0}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</si>
  <si>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- 14[9-6], 18[12-8]</t>
    </r>
  </si>
  <si>
    <t>{102.1-5.3}</t>
  </si>
  <si>
    <t>{46.3-2.6}</t>
  </si>
  <si>
    <t>{69.0-9.7}</t>
  </si>
  <si>
    <t>{186.9-1.5}</t>
  </si>
  <si>
    <t>{49.3-10.9}</t>
  </si>
  <si>
    <t>{16.5-16.7}</t>
  </si>
  <si>
    <t>{73.6-2.4}</t>
  </si>
  <si>
    <t>{49.8-5.4}</t>
  </si>
  <si>
    <t>{144.2-2.9}</t>
  </si>
  <si>
    <t>{155.1-0.6}</t>
  </si>
  <si>
    <t>{71.6-3.3}</t>
  </si>
  <si>
    <t>{16.0-17.7}</t>
  </si>
  <si>
    <t>Castelia: 3pt# @ 59:20</t>
  </si>
  <si>
    <t>{26.6-20.2}</t>
  </si>
  <si>
    <t>Matchday Two</t>
  </si>
  <si>
    <t>{28.9-8.8}</t>
  </si>
  <si>
    <t>{34.7-14.4}</t>
  </si>
  <si>
    <t>{83.9-8.4}</t>
  </si>
  <si>
    <t>{55.7-14.0}</t>
  </si>
  <si>
    <t>D6 5/13</t>
  </si>
  <si>
    <t>{37.8-0.1}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</si>
  <si>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- 13[9-6]</t>
    </r>
  </si>
  <si>
    <t>{57.7-3.1}</t>
  </si>
  <si>
    <t>[4-7]</t>
  </si>
  <si>
    <t>{11.1-20.8}</t>
  </si>
  <si>
    <t>Mauville: 4pt @ 58:10</t>
  </si>
  <si>
    <t>{126.8-5.5}</t>
  </si>
  <si>
    <t>[17-8]</t>
  </si>
  <si>
    <t>{59.7-22.7}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</si>
  <si>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- 15[12-6], 19[15-7], Littleroot: most goals scored (17) (tied)</t>
    </r>
  </si>
  <si>
    <t>{67.2-0.6}</t>
  </si>
  <si>
    <t>D7 5/18</t>
  </si>
  <si>
    <t>{3.1-30.7}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</si>
  <si>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- 14[7-7]</t>
    </r>
  </si>
  <si>
    <t>{54.6-6.3}</t>
  </si>
  <si>
    <t>{45.9-11.9}</t>
  </si>
  <si>
    <t>Fortree: overcame 12-0 deficit</t>
  </si>
  <si>
    <t>{11.6-27.8}</t>
  </si>
  <si>
    <t>{36.5-4.6}</t>
  </si>
  <si>
    <t>{68.3-0}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</si>
  <si>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- 12[8-5]</t>
    </r>
  </si>
  <si>
    <t>{14.9-19.3}</t>
  </si>
  <si>
    <t>{56.5-12.2}</t>
  </si>
  <si>
    <t>D8 5/19</t>
  </si>
  <si>
    <t>{24.2-18.1}</t>
  </si>
  <si>
    <t>{39.2-8.4}</t>
  </si>
  <si>
    <t>{8.0-12.0}</t>
  </si>
  <si>
    <t>{49.7-13.6}</t>
  </si>
  <si>
    <t>{44.7-22.0}</t>
  </si>
  <si>
    <t>Santalune: led 18-8 at half</t>
  </si>
  <si>
    <t>{57.3-6.1}</t>
  </si>
  <si>
    <t>{52.4-12.3}</t>
  </si>
  <si>
    <t>[14-10]</t>
  </si>
  <si>
    <t>{77.7-23.0}</t>
  </si>
  <si>
    <t>Cinnabar: second-most points scored (33)</t>
  </si>
  <si>
    <t>{58.5-17.8}</t>
  </si>
  <si>
    <t>{55.1-1.8}</t>
  </si>
  <si>
    <t>Kiloude: 2pt @ 53:20</t>
  </si>
  <si>
    <t>{88.6-2.7}</t>
  </si>
  <si>
    <t>{35.5-22.0}</t>
  </si>
  <si>
    <t>{16.2-20.4}</t>
  </si>
  <si>
    <t>D10 5/20</t>
  </si>
  <si>
    <t>{44.5-5.8}</t>
  </si>
  <si>
    <t>[17-6]</t>
  </si>
  <si>
    <t>{134.8-4.0}</t>
  </si>
  <si>
    <t>{31.9-32.6}</t>
  </si>
  <si>
    <t>{30.4-8.0}</t>
  </si>
  <si>
    <t>D11 5/21</t>
  </si>
  <si>
    <t>{91.3-4.5}</t>
  </si>
  <si>
    <t>{33.4-15.5}</t>
  </si>
  <si>
    <t>Goldenrod: 2pt @ 56:00</t>
  </si>
  <si>
    <t>{46.6-3.3}</t>
  </si>
  <si>
    <t>{28.2-15.7}</t>
  </si>
  <si>
    <t>{110.3-4.4}</t>
  </si>
  <si>
    <t>{81.8-7.1}</t>
  </si>
  <si>
    <t>{17.4-11.5}</t>
  </si>
  <si>
    <t>{28.8-17.6}</t>
  </si>
  <si>
    <t>{70.0-7.4}</t>
  </si>
  <si>
    <t>{19.4-30.4}</t>
  </si>
  <si>
    <t>{45.4-7.6}</t>
  </si>
  <si>
    <t>{252.7-1.2}</t>
  </si>
  <si>
    <t>{46.9-7.3}</t>
  </si>
  <si>
    <t>{37.1-25.3}</t>
  </si>
  <si>
    <t>{60.5-1.7}</t>
  </si>
  <si>
    <t>{31.1-9.2}</t>
  </si>
  <si>
    <t>{80.3-16.6}</t>
  </si>
  <si>
    <t>D12 5/22</t>
  </si>
  <si>
    <t>{60.6-10.3}</t>
  </si>
  <si>
    <t>{74.8-8.5}</t>
  </si>
  <si>
    <t>[12-1]</t>
  </si>
  <si>
    <t>{358.6-0.4}</t>
  </si>
  <si>
    <t>{47.5-9.6}</t>
  </si>
  <si>
    <t>D13</t>
  </si>
  <si>
    <t>Matchday Three</t>
  </si>
  <si>
    <t>{17.9-11.9}</t>
  </si>
  <si>
    <t>{19.7-13.0}</t>
  </si>
  <si>
    <t>{25.2-1.4}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</si>
  <si>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- 13[8-7], Hearthome: 3pt @ 60:20 in reg</t>
    </r>
  </si>
  <si>
    <t>{46.7-11.2}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</si>
  <si>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- 18[8-10], Stow: 2pt/59:20 reg, Moss: 4/64:40 OT</t>
    </r>
  </si>
  <si>
    <t>{46.8-12.3}</t>
  </si>
  <si>
    <t>[5-2]</t>
  </si>
  <si>
    <t>{146.0-0.4}</t>
  </si>
  <si>
    <t>D14 6/2</t>
  </si>
  <si>
    <t>{62.3-10.8}</t>
  </si>
  <si>
    <t>{33.8-9.1}</t>
  </si>
  <si>
    <t>{281.7-0}</t>
  </si>
  <si>
    <t>{57.4-8.4}</t>
  </si>
  <si>
    <t>D15 6/3</t>
  </si>
  <si>
    <t>{20.5-30.5}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</si>
  <si>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- 15[8-11]</t>
    </r>
  </si>
  <si>
    <t>{41.7-5.2}</t>
  </si>
  <si>
    <t>{17.4-17.4}</t>
  </si>
  <si>
    <t>17.415-17.353 - 0.062 difference</t>
  </si>
  <si>
    <t>{26.2-34.3}</t>
  </si>
  <si>
    <t>{58.0-7.8}</t>
  </si>
  <si>
    <t>{81.4-2.1}</t>
  </si>
  <si>
    <t>{44.3-13.7}</t>
  </si>
  <si>
    <t>{29.8-9.4}</t>
  </si>
  <si>
    <t>Saffron: 1pt @ 59:20</t>
  </si>
  <si>
    <t>{52.9-5.8}</t>
  </si>
  <si>
    <t>{106.0-0}</t>
  </si>
  <si>
    <t>{49.7-2.5}</t>
  </si>
  <si>
    <t>{86.8-14.7}</t>
  </si>
  <si>
    <t>Aspertia: 24pts in 1st, scoring record (34, tie), combined pts (55, tie)</t>
  </si>
  <si>
    <t>{81.9-0}</t>
  </si>
  <si>
    <t>{92.7-1.6}</t>
  </si>
  <si>
    <t>[3-3]</t>
  </si>
  <si>
    <t>{21.7-19.7}</t>
  </si>
  <si>
    <t>{58.5-4.8}</t>
  </si>
  <si>
    <t>{79.4-1.0}</t>
  </si>
  <si>
    <t>D16 6/4</t>
  </si>
  <si>
    <t>{34.6-1.9}</t>
  </si>
  <si>
    <t>{30.8-15.8}</t>
  </si>
  <si>
    <t>{147.5-3.5}</t>
  </si>
  <si>
    <t>{26.0-10.3}</t>
  </si>
  <si>
    <t>{58.6-21.3}</t>
  </si>
  <si>
    <t>{52.8-20.0}</t>
  </si>
  <si>
    <t>{23.2-11.2}</t>
  </si>
  <si>
    <t>{88.8-10.3}</t>
  </si>
  <si>
    <t>{91.2-1.9}</t>
  </si>
  <si>
    <t>{21.4-11.2}</t>
  </si>
  <si>
    <t>{31.1-26.5}</t>
  </si>
  <si>
    <t>D17 6/5</t>
  </si>
  <si>
    <t>{82.8-0}</t>
  </si>
  <si>
    <t>{41.9-18.6}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</si>
  <si>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- 12[10-5], Turffield: 2pt @ 68:60 in OT</t>
    </r>
  </si>
  <si>
    <t>{76.7-2.4}</t>
  </si>
  <si>
    <t>{49.2-3.2}</t>
  </si>
  <si>
    <t>{19.7-14.4}</t>
  </si>
  <si>
    <t>{83.2-0}</t>
  </si>
  <si>
    <t>{60.3-10.2}</t>
  </si>
  <si>
    <t>{48.5-0}</t>
  </si>
  <si>
    <t>{107.7-3.1}</t>
  </si>
  <si>
    <t>{98.3-0.4}</t>
  </si>
  <si>
    <t>{38.5-8.9}</t>
  </si>
  <si>
    <t>{96.8-8.2}</t>
  </si>
  <si>
    <t>{126.8-0}</t>
  </si>
  <si>
    <t>{58.8-4.4}</t>
  </si>
  <si>
    <t>{76.3-1.3}</t>
  </si>
  <si>
    <t>{116.6-1.7}</t>
  </si>
  <si>
    <t>{39.7-6.7}</t>
  </si>
  <si>
    <t>{127.9-0}</t>
  </si>
  <si>
    <t>D18 6/25</t>
  </si>
  <si>
    <t>Matchday Four</t>
  </si>
  <si>
    <t>{75.1-4.2}</t>
  </si>
  <si>
    <t>New Climate System, Cups System instituted</t>
  </si>
  <si>
    <t>{73.1-0}</t>
  </si>
  <si>
    <t>D19 6/26</t>
  </si>
  <si>
    <t>{51.0-8.5}</t>
  </si>
  <si>
    <t>Resort: 25(15) pts in 1st (assisted record)</t>
  </si>
  <si>
    <t>{28.4-18.2}</t>
  </si>
  <si>
    <t>Most lopsided spread on record</t>
  </si>
  <si>
    <t>D20 7/1</t>
  </si>
  <si>
    <t>{36.5-10.5}</t>
  </si>
  <si>
    <t>{25.9-11.1}</t>
  </si>
  <si>
    <t>{47.4-8.7}</t>
  </si>
  <si>
    <t>D21 7/2</t>
  </si>
  <si>
    <t>{42.2-4.8)</t>
  </si>
  <si>
    <t>Hau'oli: 3pt# at 62:70</t>
  </si>
  <si>
    <t>{123.7-2.2}</t>
  </si>
  <si>
    <t>{77.7-2.2}</t>
  </si>
  <si>
    <t>{19.8-48.6}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</si>
  <si>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- 16[7-8]</t>
    </r>
  </si>
  <si>
    <t>{51.0-3.4}</t>
  </si>
  <si>
    <t>D22 7/4</t>
  </si>
  <si>
    <t>{22.4-15.1}</t>
  </si>
  <si>
    <t>{71.9-2.1}</t>
  </si>
  <si>
    <t>{53.1-4.6}</t>
  </si>
  <si>
    <t>{31.6-19.1}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</si>
  <si>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- 14[6-9]</t>
    </r>
  </si>
  <si>
    <t>{71.2-5.7}</t>
  </si>
  <si>
    <t>{24.5-34.7}</t>
  </si>
  <si>
    <t>D23 7/5</t>
  </si>
  <si>
    <t>{35.8-8.4}</t>
  </si>
  <si>
    <t>{55.6-20.1}</t>
  </si>
  <si>
    <t>{28.1-30.7}</t>
  </si>
  <si>
    <t>{77.4-2.3}</t>
  </si>
  <si>
    <t>{131.4-0}</t>
  </si>
  <si>
    <t>{65.3-2.3}</t>
  </si>
  <si>
    <t>{41.5-8.1}</t>
  </si>
  <si>
    <t>{41.2-16.2}</t>
  </si>
  <si>
    <t>{42.7-18.3}</t>
  </si>
  <si>
    <t>{70.3-0.1}</t>
  </si>
  <si>
    <t>{35.9-3.1}</t>
  </si>
  <si>
    <t>{30.9-9.0}</t>
  </si>
  <si>
    <t>{42.6-16.7}</t>
  </si>
  <si>
    <t>{41.0-3.2}</t>
  </si>
  <si>
    <t>{30.0-19.0}</t>
  </si>
  <si>
    <t>{177.9-0.4}</t>
  </si>
  <si>
    <t>{40.4-7.0}</t>
  </si>
  <si>
    <t>{52.2-3.8}</t>
  </si>
  <si>
    <t>{20.4-21.5}</t>
  </si>
  <si>
    <t>{146.6-0}</t>
  </si>
  <si>
    <t>{51.4-9.0}</t>
  </si>
  <si>
    <t>{108.8-5.0}</t>
  </si>
  <si>
    <t>{52.7-3.9}</t>
  </si>
  <si>
    <t>{33.9-14.8}</t>
  </si>
  <si>
    <t>{144.9-3.2}</t>
  </si>
  <si>
    <t>{50.3-12.5}</t>
  </si>
  <si>
    <t>{83.9-0}</t>
  </si>
  <si>
    <t>{39.6-14.0}</t>
  </si>
  <si>
    <t>[14-12]</t>
  </si>
  <si>
    <t>{89.8-20.8}</t>
  </si>
  <si>
    <t>{71.2-3.3}</t>
  </si>
  <si>
    <t>{45.9-8.5}</t>
  </si>
  <si>
    <t>{42.1-24.5}</t>
  </si>
  <si>
    <t>D24 7/6</t>
  </si>
  <si>
    <t>{123.7-0}</t>
  </si>
  <si>
    <t>[4-5]</t>
  </si>
  <si>
    <t>{29.5-7.3}</t>
  </si>
  <si>
    <t>{112.7-5.8}</t>
  </si>
  <si>
    <t>{106.9-0}</t>
  </si>
  <si>
    <t>{166.0-0}</t>
  </si>
  <si>
    <t>{76.0-0}</t>
  </si>
  <si>
    <t>Most evenly-matched spread on record</t>
  </si>
  <si>
    <t>D25 7/8</t>
  </si>
  <si>
    <t>WCS First Round</t>
  </si>
  <si>
    <t>{37.067-9.861}</t>
  </si>
  <si>
    <t>{39.596-4.592}</t>
  </si>
  <si>
    <t>{37.062-17.634}</t>
  </si>
  <si>
    <t>{19.55-30.502}</t>
  </si>
  <si>
    <t>Hammerlocke: 4pt @ 63:60</t>
  </si>
  <si>
    <t>{84.866-0}</t>
  </si>
  <si>
    <t>D26 7/9</t>
  </si>
  <si>
    <t>{332.31-0.158}</t>
  </si>
  <si>
    <t>{40.866-12.586}</t>
  </si>
  <si>
    <t>{274.526-0}</t>
  </si>
  <si>
    <t>{55.743-3.726}</t>
  </si>
  <si>
    <t>{69.825-0}</t>
  </si>
  <si>
    <t>{38.15-8.819}</t>
  </si>
  <si>
    <t>{35.586-12.897}</t>
  </si>
  <si>
    <t>{175.478-0}</t>
  </si>
  <si>
    <t>{67.483-0}</t>
  </si>
  <si>
    <t>{85.144-13.711}</t>
  </si>
  <si>
    <t>{101.643-0}</t>
  </si>
  <si>
    <t>{35.12-13.762}</t>
  </si>
  <si>
    <t>{29.588-21.969}</t>
  </si>
  <si>
    <t>{52.264-1.331}</t>
  </si>
  <si>
    <t>{53.869-7.916}</t>
  </si>
  <si>
    <t>Crystal Cup First Round</t>
  </si>
  <si>
    <t>{80.039-2.437}</t>
  </si>
  <si>
    <t>{26.784-10.573}</t>
  </si>
  <si>
    <t>{125.842-2.771}</t>
  </si>
  <si>
    <t>{52.95-5.37}</t>
  </si>
  <si>
    <t>Emerald Cup First Round</t>
  </si>
  <si>
    <t>{33.196-19.929}</t>
  </si>
  <si>
    <t>{70.5-2.692}</t>
  </si>
  <si>
    <t>{82.285-3.222}</t>
  </si>
  <si>
    <t>{147.838-0}</t>
  </si>
  <si>
    <t>D27 7/10</t>
  </si>
  <si>
    <t>Platinum Cup First Round</t>
  </si>
  <si>
    <t>{65.747-7.533}</t>
  </si>
  <si>
    <t>{33.152-10.366}</t>
  </si>
  <si>
    <t>{54.209-16.098}</t>
  </si>
  <si>
    <t>{102.4-1.724}</t>
  </si>
  <si>
    <t>Pastoria up 16-0 at half</t>
  </si>
  <si>
    <t>Gray Cup First Round</t>
  </si>
  <si>
    <t>{44.043-10.668}</t>
  </si>
  <si>
    <t>{77.082-2.682}</t>
  </si>
  <si>
    <t>{34.918-18.221}</t>
  </si>
  <si>
    <t>Opelucid: GW 3pt @ 59:80</t>
  </si>
  <si>
    <t>{42.369-6.091}</t>
  </si>
  <si>
    <t>Prism Cup First Round</t>
  </si>
  <si>
    <t>{16.929-10.558}</t>
  </si>
  <si>
    <t>{40.741-4.542}</t>
  </si>
  <si>
    <t>D28 7/11</t>
  </si>
  <si>
    <t>{24.222-12.332}</t>
  </si>
  <si>
    <t>{30.463-13.635}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</si>
  <si>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- 9[5-7]</t>
    </r>
  </si>
  <si>
    <t>Kahuna Cup First Round</t>
  </si>
  <si>
    <t>{69.767-6.709}</t>
  </si>
  <si>
    <t>{107.993-4.356}</t>
  </si>
  <si>
    <t>{57.174-7.138}</t>
  </si>
  <si>
    <t>{35.752-8.937}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</si>
  <si>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- 16[10-6], Vast Poni: GW 2pt @ 69'</t>
    </r>
  </si>
  <si>
    <t>Gigantamax Cup First Round</t>
  </si>
  <si>
    <t>{92.574-16.718}</t>
  </si>
  <si>
    <t>{54.352-3.369}</t>
  </si>
  <si>
    <t>{35.713-9.562}</t>
  </si>
  <si>
    <t>{225.416-0}</t>
  </si>
  <si>
    <t>D29 7/12</t>
  </si>
  <si>
    <t>Matchday Five</t>
  </si>
  <si>
    <t>{89.716-0.51}</t>
  </si>
  <si>
    <t>{48.809-2.469}</t>
  </si>
  <si>
    <t>{104.14-2.915}</t>
  </si>
  <si>
    <t>{22.325-17.387}</t>
  </si>
  <si>
    <t>{44.657-9.89}</t>
  </si>
  <si>
    <t>D30 7/13</t>
  </si>
  <si>
    <t>{35.997-3.167}</t>
  </si>
  <si>
    <t>Circhester Bay: GW 4pt @ 52:60 (22:80-long rally)</t>
  </si>
  <si>
    <t>{61.837-3.6}</t>
  </si>
  <si>
    <t>{77.903-7.389}</t>
  </si>
  <si>
    <t>{35.12-13.485}</t>
  </si>
  <si>
    <t>{67.26-4.788}</t>
  </si>
  <si>
    <t>{127.081-0}</t>
  </si>
  <si>
    <t>{47.219-0}</t>
  </si>
  <si>
    <t>{64.696-7.374}</t>
  </si>
  <si>
    <t>Rustboro - three game losing streak snapped</t>
  </si>
  <si>
    <t>{57.033-2.676}</t>
  </si>
  <si>
    <t>{63.57-3.77}</t>
  </si>
  <si>
    <t>{40.614-12.236}</t>
  </si>
  <si>
    <t>{40.962-1.206}</t>
  </si>
  <si>
    <t>D31 7/14</t>
  </si>
  <si>
    <t>{125.011-1.107}</t>
  </si>
  <si>
    <t>{28.129-20.602}</t>
  </si>
  <si>
    <t>{84.404-7.657}</t>
  </si>
  <si>
    <t>{30.216-6.79}</t>
  </si>
  <si>
    <t>{96.197-2.088}</t>
  </si>
  <si>
    <t>{30.514-8.471}</t>
  </si>
  <si>
    <t>{40.805-16.523}</t>
  </si>
  <si>
    <t>{92.452-0.083}</t>
  </si>
  <si>
    <t>{72.552-6.004}</t>
  </si>
  <si>
    <t>{28.92-27.336}</t>
  </si>
  <si>
    <t>{23.613-16.725}</t>
  </si>
  <si>
    <t>{71.096-2.846}</t>
  </si>
  <si>
    <t>[16-4]</t>
  </si>
  <si>
    <t>{259.438-0}</t>
  </si>
  <si>
    <t>{36.855-14.879}</t>
  </si>
  <si>
    <t>{61.654-0}</t>
  </si>
  <si>
    <t>{83.77-0}</t>
  </si>
  <si>
    <t>D32 7/15</t>
  </si>
  <si>
    <t>{113.658-0}</t>
  </si>
  <si>
    <t>{75.528-2.846}</t>
  </si>
  <si>
    <t>{49.753-7.253}</t>
  </si>
  <si>
    <t>{54.384-1.819}</t>
  </si>
  <si>
    <t>{61.466-11.697}</t>
  </si>
  <si>
    <t>{72.164-0}</t>
  </si>
  <si>
    <t>{25.907-16.974}</t>
  </si>
  <si>
    <t>First game played with a virtual deck of cards</t>
  </si>
  <si>
    <t>{28.931-21.608}</t>
  </si>
  <si>
    <t>{53.665-6.801}</t>
  </si>
  <si>
    <t>{19.813-19.947}</t>
  </si>
  <si>
    <t>0.134 difference</t>
  </si>
  <si>
    <t>{102.745-5.893}</t>
  </si>
  <si>
    <t>{32.914-52.452}</t>
  </si>
  <si>
    <t>largest inverted difference (19.538)</t>
  </si>
  <si>
    <t>{58.023-11.699}</t>
  </si>
  <si>
    <t>{19.331-9.726}</t>
  </si>
  <si>
    <t>{93.926-21.074}</t>
  </si>
  <si>
    <t>{83.986-1.044}</t>
  </si>
  <si>
    <t>{36.171-6.406}</t>
  </si>
  <si>
    <t>[10-14]</t>
  </si>
  <si>
    <t>{54.488-16.199}</t>
  </si>
  <si>
    <t>{81.69-6.825}</t>
  </si>
  <si>
    <t>{34.405-6.358}</t>
  </si>
  <si>
    <t>{42.712-21.315}</t>
  </si>
  <si>
    <t>{53.41-6.827}</t>
  </si>
  <si>
    <t>{77.85-0}</t>
  </si>
  <si>
    <t>WCS Second Round</t>
  </si>
  <si>
    <t>{25.792-27.696}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</si>
  <si>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- 22[9-13]</t>
    </r>
  </si>
  <si>
    <t>[16-9]</t>
  </si>
  <si>
    <t>{86.148-4.338}</t>
  </si>
  <si>
    <t>D33 7/16</t>
  </si>
  <si>
    <t>{35.032-3.919}</t>
  </si>
  <si>
    <t>{21.659-9.597}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</si>
  <si>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- 16[6-10]</t>
    </r>
  </si>
  <si>
    <t>{109.716-0}</t>
  </si>
  <si>
    <t>{124.428-2.163}</t>
  </si>
  <si>
    <t>{50.41-2.333}</t>
  </si>
  <si>
    <t>{41.137-4.007}</t>
  </si>
  <si>
    <t>{29.562-16.467}</t>
  </si>
  <si>
    <t>{71.591-9.508}</t>
  </si>
  <si>
    <t>{66.06-4.774}</t>
  </si>
  <si>
    <t>{30.54-14.115}</t>
  </si>
  <si>
    <t>D34 7/17</t>
  </si>
  <si>
    <t>{28.283-11.72}</t>
  </si>
  <si>
    <t>{96.267-0}</t>
  </si>
  <si>
    <t>{51.338-5.915}</t>
  </si>
  <si>
    <t>{126.626-1.349}</t>
  </si>
  <si>
    <t>{31.302-12.793}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</si>
  <si>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- 14[6-8]</t>
    </r>
  </si>
  <si>
    <t>{59.336-2.174}</t>
  </si>
  <si>
    <t>{61.835-1.606}</t>
  </si>
  <si>
    <t>{103.964-0}</t>
  </si>
  <si>
    <t>D35 7/20</t>
  </si>
  <si>
    <t>Crystal Cup Second Round</t>
  </si>
  <si>
    <t>{31.013-13.485}</t>
  </si>
  <si>
    <t>{35.066-9.838}</t>
  </si>
  <si>
    <t>{153.324-1.896}</t>
  </si>
  <si>
    <t>{29.206-8.322}</t>
  </si>
  <si>
    <t>D36 7/21</t>
  </si>
  <si>
    <t>Emerald Cup Second Round</t>
  </si>
  <si>
    <t>{90.76-0.667}</t>
  </si>
  <si>
    <t>{23.301-12.001}</t>
  </si>
  <si>
    <t>{164.96-1.43}</t>
  </si>
  <si>
    <t>{59.592-0}</t>
  </si>
  <si>
    <t>Platinum Cup Second Round</t>
  </si>
  <si>
    <t>{41.359-11.464}</t>
  </si>
  <si>
    <t>{108.397-2.128}</t>
  </si>
  <si>
    <t>{33.831-3.771}</t>
  </si>
  <si>
    <t>{113.974-2.653}</t>
  </si>
  <si>
    <t>Gray Cup Second Round</t>
  </si>
  <si>
    <t>{190.349-0}</t>
  </si>
  <si>
    <t>{188.75-0}</t>
  </si>
  <si>
    <t>{46.22-8.737}</t>
  </si>
  <si>
    <t>{44.184-11.638}</t>
  </si>
  <si>
    <t>Prism Cup Second Round</t>
  </si>
  <si>
    <t>{48.047-17.098}</t>
  </si>
  <si>
    <t>{32.837-23.846}</t>
  </si>
  <si>
    <t>{94.827-5.369}</t>
  </si>
  <si>
    <t>{18.906-6.592}</t>
  </si>
  <si>
    <t>Kahuna Cup Second Round</t>
  </si>
  <si>
    <t>{73.016-6.107}</t>
  </si>
  <si>
    <t>{30.37-21.504}</t>
  </si>
  <si>
    <t>{49.483-5.394}</t>
  </si>
  <si>
    <t>{60.27-0}</t>
  </si>
  <si>
    <t>Gigantamax Cup Second Round</t>
  </si>
  <si>
    <t>{57.21-12.041}</t>
  </si>
  <si>
    <t>{99.303-0.796}</t>
  </si>
  <si>
    <t>{22.981-8.962}</t>
  </si>
  <si>
    <t>{94.833-4.748}</t>
  </si>
  <si>
    <t>Matchday Six</t>
  </si>
  <si>
    <t>{113.681-0.163}</t>
  </si>
  <si>
    <t>New Exposure System instituted</t>
  </si>
  <si>
    <t>{95.91-0}</t>
  </si>
  <si>
    <t>{69.829-1.918}</t>
  </si>
  <si>
    <t>{63.69-5.539}</t>
  </si>
  <si>
    <t>D37 7/23</t>
  </si>
  <si>
    <t>{40.75-10.363}</t>
  </si>
  <si>
    <t>{15.794-21.524}</t>
  </si>
  <si>
    <t>Virbank: GW 1pt @ 58:00</t>
  </si>
  <si>
    <t>{71.01-3.441}</t>
  </si>
  <si>
    <t>{29.336-6.961}</t>
  </si>
  <si>
    <t>{35.322-6.318}</t>
  </si>
  <si>
    <t>Celadon: GW 3pt! @ 61:70</t>
  </si>
  <si>
    <t>{36.644-18.886}</t>
  </si>
  <si>
    <t>{45.69-10.669}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</si>
  <si>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- 16[9-8]</t>
    </r>
  </si>
  <si>
    <t>{45.954-10.163}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</si>
  <si>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- 15[10-6]</t>
    </r>
  </si>
  <si>
    <t>{79.547-1.994}</t>
  </si>
  <si>
    <t>{23.116-10.886}</t>
  </si>
  <si>
    <t>{4.75-33.533}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</si>
  <si>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- 15[5-8], largest inverted difference (28.783)</t>
    </r>
  </si>
  <si>
    <t>{68.817-0.053}</t>
  </si>
  <si>
    <t>{25.608-11.121}</t>
  </si>
  <si>
    <t>Shalour: 4pt @ 51:70, GW 2pt @ 54:60</t>
  </si>
  <si>
    <t>{51.311-7.352}</t>
  </si>
  <si>
    <t>{71.621-2.698}</t>
  </si>
  <si>
    <t>D38 7/24</t>
  </si>
  <si>
    <t>{61.226-11.548}</t>
  </si>
  <si>
    <t>{23.016-10.137}</t>
  </si>
  <si>
    <t>{60.862-20.111}</t>
  </si>
  <si>
    <t>{46.503-4.723}</t>
  </si>
  <si>
    <t>{74.6-5.255}</t>
  </si>
  <si>
    <t>{79.049-0}</t>
  </si>
  <si>
    <t>{62.906-0}</t>
  </si>
  <si>
    <t>{79.143-2.466}</t>
  </si>
  <si>
    <t>{59.033-8.598}</t>
  </si>
  <si>
    <t>D39 7/25</t>
  </si>
  <si>
    <t>{55.317-9.016}</t>
  </si>
  <si>
    <t>{20.422-17.314}</t>
  </si>
  <si>
    <t>{41.594-4.973}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</si>
  <si>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- 9[6-5]</t>
    </r>
  </si>
  <si>
    <t>{80.137-4.288}</t>
  </si>
  <si>
    <t>{22.077-37.298}</t>
  </si>
  <si>
    <t>{14.631-18.493}</t>
  </si>
  <si>
    <t>{34.997-12.592}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</si>
  <si>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- 14[8-8]</t>
    </r>
  </si>
  <si>
    <t>{45.85-6.701}</t>
  </si>
  <si>
    <t>{33.56-6.989}</t>
  </si>
  <si>
    <t>Icirrus: GW 3pt# @ 57:10</t>
  </si>
  <si>
    <t>{85.817-0.408}</t>
  </si>
  <si>
    <t>{55.724-2.929}</t>
  </si>
  <si>
    <t>D40 7/27</t>
  </si>
  <si>
    <t>{91.211-9.849}</t>
  </si>
  <si>
    <t>{37.434-6.964}</t>
  </si>
  <si>
    <t>Opelucid: GW 3pt# @ 54:90</t>
  </si>
  <si>
    <t>{31.53-25.487}</t>
  </si>
  <si>
    <t>Hammerlocke: GW 3pt! @ 58:60</t>
  </si>
  <si>
    <t>{63.077-0}</t>
  </si>
  <si>
    <t>{30.329-18.324}</t>
  </si>
  <si>
    <t>{66.177-9.044}</t>
  </si>
  <si>
    <t>{69.151-1.7}</t>
  </si>
  <si>
    <t>{46.065-6.568}</t>
  </si>
  <si>
    <t>{37.423-11.617}</t>
  </si>
  <si>
    <t>{59.701-16.545}</t>
  </si>
  <si>
    <t>{53.381-8.044}</t>
  </si>
  <si>
    <t>{46.867-20.455}</t>
  </si>
  <si>
    <t>Laverre: misses GW 4pt! By one space on final turn</t>
  </si>
  <si>
    <t>D41 7/28</t>
  </si>
  <si>
    <t>{63.401-3.911}</t>
  </si>
  <si>
    <t>{63.96-6.083}</t>
  </si>
  <si>
    <t>{24.96-30.426}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</si>
  <si>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- 18[9-11], Inverted D-Score</t>
    </r>
  </si>
  <si>
    <t>{37.873-15.718}</t>
  </si>
  <si>
    <t>{94.566-0}</t>
  </si>
  <si>
    <t>WCS Third Round - 1st Leg</t>
  </si>
  <si>
    <t>{111.494-0}</t>
  </si>
  <si>
    <t>WCS Third Round - 2nd Leg</t>
  </si>
  <si>
    <t>{30.903-20.338}</t>
  </si>
  <si>
    <t>Cerulean wins 31-21 on agg.</t>
  </si>
  <si>
    <t>{23.929-25.453}</t>
  </si>
  <si>
    <t>{48.687-7.163}</t>
  </si>
  <si>
    <t>Cianwood wins 33-24 on agg.</t>
  </si>
  <si>
    <t>{42.246-18.99}</t>
  </si>
  <si>
    <t>{36.718-1.482}</t>
  </si>
  <si>
    <t>Snowpoint wins 31-23 on agg.</t>
  </si>
  <si>
    <t>{50.34-9.948}</t>
  </si>
  <si>
    <t>{70.95-3.402}</t>
  </si>
  <si>
    <t>Fortree wins 32-23 on agg.</t>
  </si>
  <si>
    <t>{34.009-11.71}</t>
  </si>
  <si>
    <t>{55.333-6.436}</t>
  </si>
  <si>
    <t>Vermilion wins 29-23 on agg.</t>
  </si>
  <si>
    <t>{85.16-5.406}</t>
  </si>
  <si>
    <t>{209.073-0.423}</t>
  </si>
  <si>
    <t>Oldale wins 40-29 on agg.</t>
  </si>
  <si>
    <t>{52.48-10.231}</t>
  </si>
  <si>
    <t>{37.363-10.283}</t>
  </si>
  <si>
    <t>Mount Hokukani wins 37-31 on agg.</t>
  </si>
  <si>
    <t>D42 7/29</t>
  </si>
  <si>
    <t>{49.513-7.071}</t>
  </si>
  <si>
    <t>{27.184-11.67}</t>
  </si>
  <si>
    <t>Fallarbor wins 27-23 on agg.</t>
  </si>
  <si>
    <t>{121.354-4.073}</t>
  </si>
  <si>
    <t>{34.259-7.15}</t>
  </si>
  <si>
    <t>Fuchsia wins 34-20 on agg.</t>
  </si>
  <si>
    <t>{69.828-10.797}</t>
  </si>
  <si>
    <t>{66.143-11.559}</t>
  </si>
  <si>
    <t>Poni Meadow wins 30-29 on agg.</t>
  </si>
  <si>
    <t>{78.763-4.777}</t>
  </si>
  <si>
    <t>{12.483-12.775}</t>
  </si>
  <si>
    <t>Heahea wins 33-19 on agg.</t>
  </si>
  <si>
    <t>{342.371-0.055}</t>
  </si>
  <si>
    <t>{56.939-11.131}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</si>
  <si>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Lilycove wins 36-23 on agg.</t>
    </r>
  </si>
  <si>
    <t>{87.41-0}</t>
  </si>
  <si>
    <t>{49.477-16.198}</t>
  </si>
  <si>
    <t>Veilstone wins 40-18 on agg.</t>
  </si>
  <si>
    <t>{38.233-11.348}</t>
  </si>
  <si>
    <t>{53.985-8.854}</t>
  </si>
  <si>
    <t>AgIN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</si>
  <si>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- 35[13-19],</t>
    </r>
    <r>
      <rPr>
        <sz val="11"/>
        <color theme="1"/>
        <rFont val="Calibri"/>
        <family val="2"/>
        <scheme val="minor"/>
      </rPr>
      <t xml:space="preserve"> Ever Grande wins 41-38[4-2] on agg.</t>
    </r>
  </si>
  <si>
    <t>{109.488-1.049}</t>
  </si>
  <si>
    <t>{91.731-0.924}</t>
  </si>
  <si>
    <t>Mauville wins 35-32 on agg.</t>
  </si>
  <si>
    <t>{12.857-36.39}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</si>
  <si>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- 16[10-8]</t>
    </r>
  </si>
  <si>
    <t>{38.909-18.705}</t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</si>
  <si>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South Lakes wins 38-31 on agg.</t>
    </r>
  </si>
  <si>
    <t>{40.672-13.996}</t>
  </si>
  <si>
    <t>{26.012-17.215}</t>
  </si>
  <si>
    <t>Floaroma wins 29-25 on agg.</t>
  </si>
  <si>
    <t>{23.573-2.83}</t>
  </si>
  <si>
    <t>{104.193-2.333}</t>
  </si>
  <si>
    <t>Hammerlocke wins 34-22 on agg.</t>
  </si>
  <si>
    <t>{92.932-0}</t>
  </si>
  <si>
    <t>{36.173-9.129}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</si>
  <si>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- 12[7-9], Kiloude wins 36-27 on agg.</t>
    </r>
  </si>
  <si>
    <t>{57.541-7.708}</t>
  </si>
  <si>
    <t>{38.589-25.381}</t>
  </si>
  <si>
    <t>Resort wins 38-26 on agg.</t>
  </si>
  <si>
    <t>{194.483-0}</t>
  </si>
  <si>
    <t>{65.388-23.561}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</si>
  <si>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Cianwood wins 52-32 on agg.</t>
    </r>
  </si>
  <si>
    <t>{46.657-28.866}</t>
  </si>
  <si>
    <t>Lumiose: 29(20) pts in 1st, scoring record (35), Combined scoring record (61)</t>
  </si>
  <si>
    <t>{64.181-17.391}</t>
  </si>
  <si>
    <t>Lumiose nearly breaks old scoring record twice, Lumiose wins 68-42 on agg.</t>
  </si>
  <si>
    <t>{67.663-6.036}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</si>
  <si>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- 17[9-9]</t>
    </r>
  </si>
  <si>
    <t>{62.311-0}</t>
  </si>
  <si>
    <t>Castelia wins 33-25 on agg.</t>
  </si>
  <si>
    <t>D43 7/30</t>
  </si>
  <si>
    <t>{59.018-3.326}</t>
  </si>
  <si>
    <t>{138.745-0.458}</t>
  </si>
  <si>
    <t>Slateport wins 39-14 on agg.</t>
  </si>
  <si>
    <t>D44 8/2</t>
  </si>
  <si>
    <t>{139.439-0.077}</t>
  </si>
  <si>
    <t>{20.544-11.282}</t>
  </si>
  <si>
    <t>Viridian wins 37-20 on agg.</t>
  </si>
  <si>
    <t>{170.169-0}</t>
  </si>
  <si>
    <t>{61.336-3.445}</t>
  </si>
  <si>
    <t>Undella wins 30-21 on agg.</t>
  </si>
  <si>
    <t>{30.508-29.904}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</si>
  <si>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- 16[9-7], 18[11-8], Vaniville: GW 3pt @ 74:10</t>
    </r>
  </si>
  <si>
    <t>{36.079-3.948}</t>
  </si>
  <si>
    <t>Vaniville wins 37-30 on agg.</t>
  </si>
  <si>
    <t>D45 8/5</t>
  </si>
  <si>
    <t>{31.365-21.821}</t>
  </si>
  <si>
    <t>{85.161-0}</t>
  </si>
  <si>
    <t>Goldenrod wins 36-22 on agg.</t>
  </si>
  <si>
    <t>{28.606-2.79}</t>
  </si>
  <si>
    <t>{110.807-0.652}</t>
  </si>
  <si>
    <t>Rustboro wins 36-16 on agg.</t>
  </si>
  <si>
    <t>{30.22-23.285}</t>
  </si>
  <si>
    <t>{72.167-1.679}</t>
  </si>
  <si>
    <t>Cinnabar wins 31-19 on agg.</t>
  </si>
  <si>
    <t>D46 8/6</t>
  </si>
  <si>
    <t>{47.351-5.736}</t>
  </si>
  <si>
    <t>{34.922-14.56}</t>
  </si>
  <si>
    <t>Postwick wins 32-25 on agg.</t>
  </si>
  <si>
    <t>{58.587-9.991}</t>
  </si>
  <si>
    <t>{91.12-0}</t>
  </si>
  <si>
    <t>Kala'e and Mahogany draw 31-31 on agg.</t>
  </si>
  <si>
    <t>{281.934-0}</t>
  </si>
  <si>
    <t>{29.099-6.095}</t>
  </si>
  <si>
    <t>Virbanks wins 35-18 on agg.</t>
  </si>
  <si>
    <t>{68.63-5.137}</t>
  </si>
  <si>
    <t>{52.283-3.882}</t>
  </si>
  <si>
    <t>Seafolk wins 36-24 on agg.</t>
  </si>
  <si>
    <t>{20.83-14.565}</t>
  </si>
  <si>
    <t>{36.593-24.36}</t>
  </si>
  <si>
    <t>Geosenge wins 32-28 on agg.</t>
  </si>
  <si>
    <t>{35.616-11.08}</t>
  </si>
  <si>
    <t>{66.134-10.092}</t>
  </si>
  <si>
    <t>Humilau wins 39-23 on agg.</t>
  </si>
  <si>
    <t>{60.616-9.61}</t>
  </si>
  <si>
    <t>{58.769-3.62}</t>
  </si>
  <si>
    <t>Wedgehurst and Cyllage draw 28-28 on agg.</t>
  </si>
  <si>
    <t>D47 8/7</t>
  </si>
  <si>
    <t>{30.569-5.064}</t>
  </si>
  <si>
    <t>{133.626-0}</t>
  </si>
  <si>
    <t>Anville wins 27-18 on agg.</t>
  </si>
  <si>
    <t>{38.564-9.46}</t>
  </si>
  <si>
    <t>{55.45-25.313}</t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</si>
  <si>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Resort wins 29-27 on agg.</t>
    </r>
  </si>
  <si>
    <t>{49.41-3.364}</t>
  </si>
  <si>
    <t>{260.983-0}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</si>
  <si>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Nacrene wins 34-12 on agg.</t>
    </r>
  </si>
  <si>
    <t>D48 8/13</t>
  </si>
  <si>
    <t>{103.7-1.347}</t>
  </si>
  <si>
    <t>{113.464-1.359}</t>
  </si>
  <si>
    <t>Striaton wins 32-27 on agg.</t>
  </si>
  <si>
    <t>{32.28-16.316}</t>
  </si>
  <si>
    <t>Wyndon South: GW 4pt @ 57:10</t>
  </si>
  <si>
    <t>{25.559-37.022}</t>
  </si>
  <si>
    <t>Wyndon South: MW 4pt$ @ 57:20, Wyndon South wins 32-31 on agg.</t>
  </si>
  <si>
    <t>{23.651-26.082}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</si>
  <si>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- 11[6-8]</t>
    </r>
  </si>
  <si>
    <t>{40.707-15.113}</t>
  </si>
  <si>
    <t>Hulbury wins 32-26 on agg.</t>
  </si>
  <si>
    <t>{50.624-5.155}</t>
  </si>
  <si>
    <t>{49.029-10.312}</t>
  </si>
  <si>
    <t>Floaroma wins 27-23 on agg.</t>
  </si>
  <si>
    <t>{37.953-8.967}</t>
  </si>
  <si>
    <t>{50.695-13.048}</t>
  </si>
  <si>
    <t>Stow wins 40-36 on agg.</t>
  </si>
  <si>
    <t>{31.782-17.574}</t>
  </si>
  <si>
    <t>{124.418-0.991}</t>
  </si>
  <si>
    <t>Laverre wins 42-30 on agg.</t>
  </si>
  <si>
    <t>D49 8/14</t>
  </si>
  <si>
    <t>{79.54-4.486}</t>
  </si>
  <si>
    <t>{79.544-1.412}</t>
  </si>
  <si>
    <t>Veilstone wins 36-18 on agg.</t>
  </si>
  <si>
    <t>{32.829-3.77}</t>
  </si>
  <si>
    <t>{28.513-6.703}</t>
  </si>
  <si>
    <t>Hau'oli wins 32-30 on agg.</t>
  </si>
  <si>
    <t>D50 8/17</t>
  </si>
  <si>
    <t>Matchday Seven</t>
  </si>
  <si>
    <t>{21.743-32.46}</t>
  </si>
  <si>
    <t>New Spread Formula instituted</t>
  </si>
  <si>
    <t>{40.559-9.042}</t>
  </si>
  <si>
    <t>{60.204-8.609}</t>
  </si>
  <si>
    <t>{54.209-4.702}</t>
  </si>
  <si>
    <t>{111.713-0.774}</t>
  </si>
  <si>
    <t>{27.391-17.845}</t>
  </si>
  <si>
    <t>{97.73-0}</t>
  </si>
  <si>
    <t>{36.282-11.465}</t>
  </si>
  <si>
    <t>{91.815-10.404}</t>
  </si>
  <si>
    <t>{49.844-0}</t>
  </si>
  <si>
    <t>Largest spread upset on record</t>
  </si>
  <si>
    <t>[16-12]</t>
  </si>
  <si>
    <t>{74.577-15.4}</t>
  </si>
  <si>
    <t>{101.95-0}</t>
  </si>
  <si>
    <t>D51 8/18</t>
  </si>
  <si>
    <t>{81.328-1.757}</t>
  </si>
  <si>
    <t>{21.021-34.533}</t>
  </si>
  <si>
    <t>{51.859-11.74}</t>
  </si>
  <si>
    <t>{72.762-0.477}</t>
  </si>
  <si>
    <t>D52 8/19</t>
  </si>
  <si>
    <t>{58.507-5.07}</t>
  </si>
  <si>
    <t>{83.547-5.321}</t>
  </si>
  <si>
    <t>{28.568-23.349}</t>
  </si>
  <si>
    <t>{76.412-9.205}</t>
  </si>
  <si>
    <t>{54.063-9.226}</t>
  </si>
  <si>
    <t>{42.95-19.752}</t>
  </si>
  <si>
    <t>{29.049-43.923}</t>
  </si>
  <si>
    <t>{30.905-19.496}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</si>
  <si>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- 13[7-10]</t>
    </r>
  </si>
  <si>
    <t>{30.614-6.971}</t>
  </si>
  <si>
    <t>Jubilife: GW 1pt @ 55:60</t>
  </si>
  <si>
    <t>{35.43-27.104}</t>
  </si>
  <si>
    <t>[2-5]</t>
  </si>
  <si>
    <t>{23.87-13.003}</t>
  </si>
  <si>
    <t>Fewest goals scored by a winner (2)</t>
  </si>
  <si>
    <t>{51.577-1.114}</t>
  </si>
  <si>
    <t>{55.098-4.139}</t>
  </si>
  <si>
    <t>D53 8/20</t>
  </si>
  <si>
    <t>{134.703-0}</t>
  </si>
  <si>
    <t>{63.956-3.156}</t>
  </si>
  <si>
    <t>{64.225-7.726}</t>
  </si>
  <si>
    <t>D54 8/21</t>
  </si>
  <si>
    <t>{30.628-22.087}</t>
  </si>
  <si>
    <t>{60.575-11.805}</t>
  </si>
  <si>
    <t>{29.673-20.436}</t>
  </si>
  <si>
    <t>D55 8/25</t>
  </si>
  <si>
    <t>{35.637-20.826}</t>
  </si>
  <si>
    <t>{73.398-5.362}</t>
  </si>
  <si>
    <t>{29.848-15.215}</t>
  </si>
  <si>
    <t>Castelia: GW 3pt# @ 57:50</t>
  </si>
  <si>
    <t>{119.466-0.858}</t>
  </si>
  <si>
    <t>{29.808-15.358}</t>
  </si>
  <si>
    <t>{58.221-0}</t>
  </si>
  <si>
    <t>{31.198-37.1}</t>
  </si>
  <si>
    <t>{57.376-5.451}</t>
  </si>
  <si>
    <t>{31.66-22.177}</t>
  </si>
  <si>
    <t>{29.282-5.298}</t>
  </si>
  <si>
    <t>{66.701-3.855}</t>
  </si>
  <si>
    <t>{113.818-9.68}</t>
  </si>
  <si>
    <t>{68.86-11.637}</t>
  </si>
  <si>
    <t>{33.208-26.926}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</si>
  <si>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- 14[9-7], Gold: 4pt$@54:10 forces OT, WynS: GW 2pt@66:00</t>
    </r>
  </si>
  <si>
    <t>{65.992-5.706}</t>
  </si>
  <si>
    <t>{39.525-23.159}</t>
  </si>
  <si>
    <t>{64.818-12.53}</t>
  </si>
  <si>
    <t>{155.012-0}</t>
  </si>
  <si>
    <t>{46.339-3.877}</t>
  </si>
  <si>
    <t>Vermilion: GW 3pt @ 55:60</t>
  </si>
  <si>
    <t>{106.67-1.37}</t>
  </si>
  <si>
    <t>{77.779-8.316}</t>
  </si>
  <si>
    <t>D56 9/1</t>
  </si>
  <si>
    <t>{60.823-6.901}</t>
  </si>
  <si>
    <t>{53.46-26.843}</t>
  </si>
  <si>
    <t>Lumiose wins 39-34 on agg.</t>
  </si>
  <si>
    <t>[9-14]</t>
  </si>
  <si>
    <t>{27.739-18.259}</t>
  </si>
  <si>
    <t>{37.642-11.246}</t>
  </si>
  <si>
    <t>Cianwood wins 44-30 on agg.</t>
  </si>
  <si>
    <t>D57 9/4</t>
  </si>
  <si>
    <t>{15.35-28.358}</t>
  </si>
  <si>
    <t>{54.816-7.47}</t>
  </si>
  <si>
    <t>Castelia: G/MW 3pt# @ 57:70, Castelia wins 27-25 on agg.</t>
  </si>
  <si>
    <t>{56.918-12.847}</t>
  </si>
  <si>
    <t>{38.879-9.333}</t>
  </si>
  <si>
    <t>Twinleaf wins 41-30 on agg.</t>
  </si>
  <si>
    <t>D58 9/5</t>
  </si>
  <si>
    <t>{51.444-15.431}</t>
  </si>
  <si>
    <t>{42.497-15.386}</t>
  </si>
  <si>
    <t>Undella wins 47-34 on agg.</t>
  </si>
  <si>
    <t>{50.567-3.58}</t>
  </si>
  <si>
    <t>{17.129-10.672}</t>
  </si>
  <si>
    <t>Anistar wins 31-21 on agg.</t>
  </si>
  <si>
    <t>{24.602-16.522}</t>
  </si>
  <si>
    <t>{83.418-4.861}</t>
  </si>
  <si>
    <t>Paniola wins 29-21 on agg.</t>
  </si>
  <si>
    <t>{29.479-26.257}</t>
  </si>
  <si>
    <t>{39.085-22.583}</t>
  </si>
  <si>
    <t>Vaniville wins 45-38 on agg.</t>
  </si>
  <si>
    <t>{67.902-7.114}</t>
  </si>
  <si>
    <t>R#, C$, R# to end game</t>
  </si>
  <si>
    <t>{73.54-16.29}</t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</si>
  <si>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Cinnabar wins 44-40 on agg.</t>
    </r>
  </si>
  <si>
    <t>{33.527-10.854}</t>
  </si>
  <si>
    <t>{42.283-18.944}</t>
  </si>
  <si>
    <t>Oreburgh wins 38-25 on agg.</t>
  </si>
  <si>
    <t>[15-1]</t>
  </si>
  <si>
    <t>{1055.45-0}</t>
  </si>
  <si>
    <t>D-SCORE RECORD, Two-legged match between two top-5 teams</t>
  </si>
  <si>
    <t>{189.628-0.429}</t>
  </si>
  <si>
    <t>Max Agg D-Score, Agg D-Score Record (534.956), Kala'e wins 54-12 on agg.</t>
  </si>
  <si>
    <t>{39.26-10.142}</t>
  </si>
  <si>
    <t>{38.735-11.816}</t>
  </si>
  <si>
    <t>Lilycove wins 32-24 on agg.</t>
  </si>
  <si>
    <t>{177.066-2.398}</t>
  </si>
  <si>
    <t>{41.706-19.551}</t>
  </si>
  <si>
    <t>Most lopsided spread on record, Virbank wins 49-20 on agg.</t>
  </si>
  <si>
    <t>{192.198-0.932}</t>
  </si>
  <si>
    <t>Dewford: scoring record (36(25))</t>
  </si>
  <si>
    <t>{78.057-8.17}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</si>
  <si>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Dewford wins 66-26 on agg.</t>
    </r>
  </si>
  <si>
    <t>{52.573-26.088}</t>
  </si>
  <si>
    <t>{72.695-6.417}</t>
  </si>
  <si>
    <t>Geosenge wins 39-37 on agg.</t>
  </si>
  <si>
    <t>[8-1]</t>
  </si>
  <si>
    <t>{707.999-0}</t>
  </si>
  <si>
    <t>{31.463-6.463}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</si>
  <si>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Spikemuth wins 35-13 on agg.</t>
    </r>
  </si>
  <si>
    <t>Crystal Cup Quarterfinal</t>
  </si>
  <si>
    <t>[6-11]</t>
  </si>
  <si>
    <t>{32.131-21.991}</t>
  </si>
  <si>
    <t>D59 9/6</t>
  </si>
  <si>
    <t>{36.44-28.04}</t>
  </si>
  <si>
    <t>Olivine: GW 4pt @ 59:70</t>
  </si>
  <si>
    <t>{6.159-45.004}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</si>
  <si>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- 21[5-10], Saffron: GT 3pt @ 56:60</t>
    </r>
  </si>
  <si>
    <t>{43.817-9.709}</t>
  </si>
  <si>
    <t>Emerald Cup Quarterfinal</t>
  </si>
  <si>
    <t>{113.965-0}</t>
  </si>
  <si>
    <t>{43.784-24.092}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</si>
  <si>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- 13[8-7], Dewford: GW 4pt! @ 66:90</t>
    </r>
  </si>
  <si>
    <t>{66.6-4.423}</t>
  </si>
  <si>
    <t>{37.91-13.928}</t>
  </si>
  <si>
    <t>Platinum Cup Quarterfinal</t>
  </si>
  <si>
    <t>{38.823-8.745}</t>
  </si>
  <si>
    <t>{101.353-2.159}</t>
  </si>
  <si>
    <t>{195.732-0}</t>
  </si>
  <si>
    <t>{47.996-3}</t>
  </si>
  <si>
    <t>Gray Cup Quarterfinal</t>
  </si>
  <si>
    <t>{72.758-10.392}</t>
  </si>
  <si>
    <t>{36.507-25.79}</t>
  </si>
  <si>
    <t>D60 9/7</t>
  </si>
  <si>
    <t>{55.23-10.927}</t>
  </si>
  <si>
    <t>{95.435-0.661}</t>
  </si>
  <si>
    <t>Prism Cup Quarterfinal</t>
  </si>
  <si>
    <t>[2-8]</t>
  </si>
  <si>
    <t>{18.928-25.648}</t>
  </si>
  <si>
    <t>{14.704-32.008}</t>
  </si>
  <si>
    <t>{77.821-1.557}</t>
  </si>
  <si>
    <t>{43.03-0}</t>
  </si>
  <si>
    <t>D61 9/8</t>
  </si>
  <si>
    <t>Kahuna Cup Quarterfinal</t>
  </si>
  <si>
    <t>{36.086-29.92}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</si>
  <si>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- 18[8-10]</t>
    </r>
  </si>
  <si>
    <t>{120.93-4.723}</t>
  </si>
  <si>
    <t>Kala'e: fourth straight Max D-Score</t>
  </si>
  <si>
    <t>{28.701-15.735}</t>
  </si>
  <si>
    <t>{47.805-0.375}</t>
  </si>
  <si>
    <t>Gigantamax Cup Quarterfinal</t>
  </si>
  <si>
    <t>{93.206-4.908}</t>
  </si>
  <si>
    <t>{34.946-11.608}</t>
  </si>
  <si>
    <t>{113.835-2.801}</t>
  </si>
  <si>
    <t>Hulbury: 33(23) pts in 1st, scoring record (42(32))</t>
  </si>
  <si>
    <t>{186.849-3.733}</t>
  </si>
  <si>
    <t>Matchday Eight</t>
  </si>
  <si>
    <t>{91.278-4.232}</t>
  </si>
  <si>
    <t>New Spread Application Instituted</t>
  </si>
  <si>
    <t>{166.883-1.093}</t>
  </si>
  <si>
    <t>&amp; New Off/Def Bonuses Instituted</t>
  </si>
  <si>
    <t>{32.792-4.664}</t>
  </si>
  <si>
    <t>{39.863-6.883}</t>
  </si>
  <si>
    <t>Pacifidlog: GW 4pt @ 60:80</t>
  </si>
  <si>
    <t>{46.916-1.143}</t>
  </si>
  <si>
    <t>{174.229-0}</t>
  </si>
  <si>
    <t>{100.875-1.169}</t>
  </si>
  <si>
    <t>Halfway point in season (Game 651/1301.5)</t>
  </si>
  <si>
    <t>D62 9/10</t>
  </si>
  <si>
    <t>[10-15]</t>
  </si>
  <si>
    <t>{33.371-30.59}</t>
  </si>
  <si>
    <t>{66.455-0}</t>
  </si>
  <si>
    <t/>
  </si>
  <si>
    <t>{17.235-29.158}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</si>
  <si>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- 17[6-10]</t>
    </r>
  </si>
  <si>
    <t>{25.865-4.8}</t>
  </si>
  <si>
    <t>{69.419-4.294}</t>
  </si>
  <si>
    <t>{55.844-8.817}</t>
  </si>
  <si>
    <t>Closest spread on record (0.0006396)</t>
  </si>
  <si>
    <t>{72.208-6.984}</t>
  </si>
  <si>
    <t>{17.571-6.433}</t>
  </si>
  <si>
    <t>Vast Poni: GW 4pt! @ 54:10</t>
  </si>
  <si>
    <t>{42.333-21.254}</t>
  </si>
  <si>
    <t>D63 9/18</t>
  </si>
  <si>
    <t>{53.873-3.37}</t>
  </si>
  <si>
    <t>{509.628-0}</t>
  </si>
  <si>
    <t>{23.728-21.005}</t>
  </si>
  <si>
    <t>Celadon: GW 3pt+1 @ 61:70</t>
  </si>
  <si>
    <t>{34.768-23.812}</t>
  </si>
  <si>
    <t>D64 9/23</t>
  </si>
  <si>
    <t>{27.295-10.878}</t>
  </si>
  <si>
    <t>{39.694-17.476}</t>
  </si>
  <si>
    <t>[13-2]</t>
  </si>
  <si>
    <t>{307.464-0.454}</t>
  </si>
  <si>
    <t>{57.421-7.019}</t>
  </si>
  <si>
    <t>D65 9/24</t>
  </si>
  <si>
    <t>{75.538-16.019}</t>
  </si>
  <si>
    <t>{33.289-7.188}</t>
  </si>
  <si>
    <t>{244.599-0}</t>
  </si>
  <si>
    <t>{42.883-9.228}</t>
  </si>
  <si>
    <t>{62.834-8.025}</t>
  </si>
  <si>
    <t>[16-5]</t>
  </si>
  <si>
    <t>{97.117-8.201}</t>
  </si>
  <si>
    <t>{43.077-0.713}</t>
  </si>
  <si>
    <t>{21.284-19.214}</t>
  </si>
  <si>
    <t>D66 9/25</t>
  </si>
  <si>
    <t>{12.822-31.473}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</si>
  <si>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- 17[6-7]</t>
    </r>
  </si>
  <si>
    <t>{36.412-10.383}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</si>
  <si>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- 14[7-10]</t>
    </r>
  </si>
  <si>
    <t>[9-13]</t>
  </si>
  <si>
    <t>{20.929-19.479}</t>
  </si>
  <si>
    <t>{67.442-1.605}</t>
  </si>
  <si>
    <t>{87.579-2.514}</t>
  </si>
  <si>
    <t>{14.427-50.828}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</si>
  <si>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- 24[10-10]</t>
    </r>
  </si>
  <si>
    <t>{135.898-0.097}</t>
  </si>
  <si>
    <t>{87.041-0}</t>
  </si>
  <si>
    <t>No scoring after 26:90 in 2nd</t>
  </si>
  <si>
    <t>{54.76-0.806}</t>
  </si>
  <si>
    <t>First disaster game (6/8)</t>
  </si>
  <si>
    <t>{64.11-11.911}</t>
  </si>
  <si>
    <t>{31.361-13.692}</t>
  </si>
  <si>
    <t>Striaton: GW 1pt+1 @ 59:40</t>
  </si>
  <si>
    <t>{64.889-10.664}</t>
  </si>
  <si>
    <t>{74.986-4.061}</t>
  </si>
  <si>
    <t>{40.248-7.647}</t>
  </si>
  <si>
    <t>{34.91-13.32}</t>
  </si>
  <si>
    <t>{169.373-0}</t>
  </si>
  <si>
    <t>Olivine: 22(20) in 1st, second most pts 38(32)</t>
  </si>
  <si>
    <t>{102.426-0}</t>
  </si>
  <si>
    <t>{97.871-0.645}</t>
  </si>
  <si>
    <t>{38.108-12.072}</t>
  </si>
  <si>
    <t>{47.985-12.503}</t>
  </si>
  <si>
    <t>{53.185-15.042}</t>
  </si>
  <si>
    <t>{164.671-0}</t>
  </si>
  <si>
    <t>{29.229-25.979}</t>
  </si>
  <si>
    <t>Ever Grande: GW 4pt+1 @ 56:80</t>
  </si>
  <si>
    <t>{28.936-31.299}</t>
  </si>
  <si>
    <t>D67 9/27</t>
  </si>
  <si>
    <t>WCS Fourth Round - 1st Leg</t>
  </si>
  <si>
    <t>{21.574-8.198}</t>
  </si>
  <si>
    <t>WCS Fourth Round - 2nd Leg</t>
  </si>
  <si>
    <t>{38.679-32.204}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</si>
  <si>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- 20[8-11], Striaton wins 40-39 on agg.</t>
    </r>
  </si>
  <si>
    <t>{141.305-0}</t>
  </si>
  <si>
    <t>{31.487-14.428}</t>
  </si>
  <si>
    <t>Oldale wins 48-36 on agg.</t>
  </si>
  <si>
    <t>{90.102-4.325}</t>
  </si>
  <si>
    <t>{48.156-8.744}</t>
  </si>
  <si>
    <t>Vaniville wins 61-27 on agg.</t>
  </si>
  <si>
    <t>{26.118-5.575}</t>
  </si>
  <si>
    <t>{101.877-0}</t>
  </si>
  <si>
    <t>Mauville wins 39-19 on agg.</t>
  </si>
  <si>
    <t>D68 9/29</t>
  </si>
  <si>
    <t>{48.574-0}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</si>
  <si>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- 19[11-9]</t>
    </r>
  </si>
  <si>
    <t>{196.046-2.187}</t>
  </si>
  <si>
    <t>Snowpoint wins 53-34 on agg.</t>
  </si>
  <si>
    <t>{32.437-10.825}</t>
  </si>
  <si>
    <t>{36.273-15.109}</t>
  </si>
  <si>
    <t>Dewford wins 47-34 on agg.</t>
  </si>
  <si>
    <t>{38.297-10.508}</t>
  </si>
  <si>
    <t>{27.851-5.957}</t>
  </si>
  <si>
    <t>Fallarbor wins 49-31 on agg.</t>
  </si>
  <si>
    <t>{59.211-0}</t>
  </si>
  <si>
    <t>{22.523-19.712}</t>
  </si>
  <si>
    <t>Hammerlocke: MW 1pt @ 61:70, Hammerlocke wins 33-31 on agg.</t>
  </si>
  <si>
    <t>{44.392-9.096}</t>
  </si>
  <si>
    <t>{27.744-2.501}</t>
  </si>
  <si>
    <t>Lilycove wins 51-44 on agg.</t>
  </si>
  <si>
    <t>{101.585-0.11}</t>
  </si>
  <si>
    <t>{80.472-4.044}</t>
  </si>
  <si>
    <t>Kala'e wins 50-19 on agg.</t>
  </si>
  <si>
    <t>{124.561-2.198}</t>
  </si>
  <si>
    <t>{54.014-8.668}</t>
  </si>
  <si>
    <t>Fuchsia wins 63-21 on agg.</t>
  </si>
  <si>
    <t>{35.448-17.246}</t>
  </si>
  <si>
    <t>{41.443-0}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</si>
  <si>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- 32[12-17], Fortree wins 35-33[3-1] on agg.</t>
    </r>
  </si>
  <si>
    <t>D69 9/30</t>
  </si>
  <si>
    <t>{79.231-0}</t>
  </si>
  <si>
    <t>{79.176-7.686}</t>
  </si>
  <si>
    <t>South Lakes wins 31-27 on agg.</t>
  </si>
  <si>
    <t>{34.657-11.359}</t>
  </si>
  <si>
    <t>{47.387-3.235}</t>
  </si>
  <si>
    <t>Vermilion wins 27-26 on agg.</t>
  </si>
  <si>
    <t>{56.772-5.583}</t>
  </si>
  <si>
    <t>{60.239-2.009}</t>
  </si>
  <si>
    <t>Poni wins 32-29 on agg.</t>
  </si>
  <si>
    <t>{142.36-0}</t>
  </si>
  <si>
    <t>{41.535-2.506}</t>
  </si>
  <si>
    <t>Mahogany wins 37-15 on agg.</t>
  </si>
  <si>
    <t>D70 10/1</t>
  </si>
  <si>
    <t>{30.44-8.277}</t>
  </si>
  <si>
    <t>{44.191-6.616}</t>
  </si>
  <si>
    <t>Humilau wins 55-31 on agg.</t>
  </si>
  <si>
    <t>{23.256-10.573}</t>
  </si>
  <si>
    <t>{124.814-0}</t>
  </si>
  <si>
    <t>Heahea wins 37-28 on agg.</t>
  </si>
  <si>
    <t>{42.823-3.082}</t>
  </si>
  <si>
    <t>{27.968-13.91}</t>
  </si>
  <si>
    <t>Veilstone wins 57-35 on agg.</t>
  </si>
  <si>
    <t>{35.535-8.254}</t>
  </si>
  <si>
    <t>{38.808-8.371}</t>
  </si>
  <si>
    <t>Spikemuth wins 32-26 on agg.</t>
  </si>
  <si>
    <t>D71 10/3</t>
  </si>
  <si>
    <t>{129.454-0}</t>
  </si>
  <si>
    <t>All AggOT will now be played as two 10' halves, then single period extras if nec.</t>
  </si>
  <si>
    <t>{30.45-16.485}</t>
  </si>
  <si>
    <t>Anville wins 40-20 on agg.</t>
  </si>
  <si>
    <t>{20.178-0}</t>
  </si>
  <si>
    <t>{27.318-17.154}</t>
  </si>
  <si>
    <t>Celestic and Wedgehurst draw 23-23 on agg.</t>
  </si>
  <si>
    <t>{45.058-5.741}</t>
  </si>
  <si>
    <t>{28.411-34.803}</t>
  </si>
  <si>
    <t>Aquacorde and Olivine draw 43-43 on agg.</t>
  </si>
  <si>
    <t>{51.417-16.167}</t>
  </si>
  <si>
    <t>{109.915-0}</t>
  </si>
  <si>
    <t>Resort wins 42-22 on agg.</t>
  </si>
  <si>
    <t>D72 10/7</t>
  </si>
  <si>
    <t>{40.316-7.701}</t>
  </si>
  <si>
    <t>{101.193-6.046}</t>
  </si>
  <si>
    <t>Striaton wins 45-30 on agg.</t>
  </si>
  <si>
    <t>{88.607-3.835}</t>
  </si>
  <si>
    <t>{19.618-19.236}</t>
  </si>
  <si>
    <t>Malie wins 40-29 on agg.</t>
  </si>
  <si>
    <t>{34.049-7.013}</t>
  </si>
  <si>
    <t>{50.874-3.946}</t>
  </si>
  <si>
    <t>Fortree wins 30-28 on agg.</t>
  </si>
  <si>
    <t>{70.658-1.973}</t>
  </si>
  <si>
    <t>{22.241-13.512}</t>
  </si>
  <si>
    <t>Exeggutor and Hulbury draw 44-44 on agg.</t>
  </si>
  <si>
    <t>{105.659-0}</t>
  </si>
  <si>
    <t>{65.747-5.403}</t>
  </si>
  <si>
    <t>Hokulani wins 49-33 on agg.</t>
  </si>
  <si>
    <t>D73 10/8</t>
  </si>
  <si>
    <t>{45.41-13.437}</t>
  </si>
  <si>
    <t>{42.705-12.274}</t>
  </si>
  <si>
    <t>Laverre wins 65-33 on agg.</t>
  </si>
  <si>
    <t>{54.198-7.394}</t>
  </si>
  <si>
    <t>{102.904-6.017}</t>
  </si>
  <si>
    <t>Veilstone wins 60-25 on agg.</t>
  </si>
  <si>
    <t>{45.539-5.088}</t>
  </si>
  <si>
    <t>{45.05-0}</t>
  </si>
  <si>
    <t>Fallarbor wins 43-36 on agg.</t>
  </si>
  <si>
    <t>D74 10/10</t>
  </si>
  <si>
    <t>Matchday Nine</t>
  </si>
  <si>
    <t>{94.124-0.131}</t>
  </si>
  <si>
    <t>New D-Score Formula Instituted</t>
  </si>
  <si>
    <t>{39.053-11.426}</t>
  </si>
  <si>
    <t>(Time Led and Average Led By)</t>
  </si>
  <si>
    <t>{72.345-8.283}</t>
  </si>
  <si>
    <t>{12.741-31.289}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</si>
  <si>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- 18[9-6]</t>
    </r>
  </si>
  <si>
    <t>{30.934-8.486}</t>
  </si>
  <si>
    <t>{25.055-18.801}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</si>
  <si>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- 13[5-5], Lacunosa: GT 4pt+1 @ 55:50, Celadon: GW 2pt @ 63:20</t>
    </r>
  </si>
  <si>
    <t>{55.261-2.245}</t>
  </si>
  <si>
    <t>{17.762-15.249}</t>
  </si>
  <si>
    <t>{17.79-14.475}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</si>
  <si>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- 13[5-7]</t>
    </r>
  </si>
  <si>
    <t>{56.43-7.097}</t>
  </si>
  <si>
    <t>{27.603-5.874}</t>
  </si>
  <si>
    <t>{107.686-2.092}</t>
  </si>
  <si>
    <t>{41.108-12.326}</t>
  </si>
  <si>
    <t>{43.275-41.564}</t>
  </si>
  <si>
    <t>Possibly highest losing D-Score on record</t>
  </si>
  <si>
    <t>D75 10/13</t>
  </si>
  <si>
    <t>{47.474-25.08}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</si>
  <si>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- 20[8-13], Seafolk: GT 3pt# @ 66:70 in reg.</t>
    </r>
  </si>
  <si>
    <t>{35.53-8.822}</t>
  </si>
  <si>
    <t>{143.224-1.667}</t>
  </si>
  <si>
    <t>[4-11]</t>
  </si>
  <si>
    <t>{17.494-39.209}</t>
  </si>
  <si>
    <t>Second disaster game (first win) (8/12)</t>
  </si>
  <si>
    <t>{32.656-14.975}</t>
  </si>
  <si>
    <t>{28.84-20.753}</t>
  </si>
  <si>
    <t>Aether: GW 2pt! @ 62:50</t>
  </si>
  <si>
    <t>{45.051-14.197}</t>
  </si>
  <si>
    <t>{95.915-7.363}</t>
  </si>
  <si>
    <t>{76.827-7.623}</t>
  </si>
  <si>
    <t>{27.981-3.021}</t>
  </si>
  <si>
    <t>D76 10/14</t>
  </si>
  <si>
    <t>{166.403-0}</t>
  </si>
  <si>
    <t>{415.863-0}</t>
  </si>
  <si>
    <t>{18.396-16.816}</t>
  </si>
  <si>
    <t>{86.79-7.957}</t>
  </si>
  <si>
    <t>{52.802-18.481}</t>
  </si>
  <si>
    <t>Saffron: GW 2pt+1 @ 64:10</t>
  </si>
  <si>
    <t>{73.359-6.28}</t>
  </si>
  <si>
    <t>{57.747-6.367}</t>
  </si>
  <si>
    <t>{48.627-5.212}</t>
  </si>
  <si>
    <t>D77 10/15</t>
  </si>
  <si>
    <t>{85.512-2.783}</t>
  </si>
  <si>
    <t>{25.489-21.507}</t>
  </si>
  <si>
    <t>{77.646-7.288}</t>
  </si>
  <si>
    <t>D78 10/17</t>
  </si>
  <si>
    <t>{74.293-7.255}</t>
  </si>
  <si>
    <t>{70.279-6.047}</t>
  </si>
  <si>
    <t>{21.794-24.834}</t>
  </si>
  <si>
    <t>{99.125-2.947}</t>
  </si>
  <si>
    <t>{113.64-5.273}</t>
  </si>
  <si>
    <t>{145.501-4.105}</t>
  </si>
  <si>
    <t>{45.961-3.848}</t>
  </si>
  <si>
    <t>{47.887-16.551}</t>
  </si>
  <si>
    <t>{87.537-6.05}</t>
  </si>
  <si>
    <t>{67.367-0}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</si>
  <si>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- 14[5-5]</t>
    </r>
  </si>
  <si>
    <t>{42.942-26.912}</t>
  </si>
  <si>
    <t>Kala'e: GW 2pt @ 57:60 to avoid upset</t>
  </si>
  <si>
    <t>{81.943-7.094}</t>
  </si>
  <si>
    <t>{51.63-35.634}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</si>
  <si>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- 20[9-10], 20[9-10], no scoring in first overtime</t>
    </r>
  </si>
  <si>
    <t>D79 10/20</t>
  </si>
  <si>
    <t>{43.929-0}</t>
  </si>
  <si>
    <t>{62.293-8.123}</t>
  </si>
  <si>
    <t>Celestic: GW 1pt+1 @ 60:50</t>
  </si>
  <si>
    <t>{24.422-37.092}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</si>
  <si>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- 14[7-6]</t>
    </r>
  </si>
  <si>
    <t>{218.92-0.881}</t>
  </si>
  <si>
    <t>{91.086-3.511}</t>
  </si>
  <si>
    <t>{76.329-13.607}</t>
  </si>
  <si>
    <t>{106.724-3.775}</t>
  </si>
  <si>
    <t>{182.46-3.67}</t>
  </si>
  <si>
    <t>D80 10/21</t>
  </si>
  <si>
    <t>{137.523-4.001}</t>
  </si>
  <si>
    <t>{130.271-6.825}</t>
  </si>
  <si>
    <t>M+A</t>
  </si>
  <si>
    <t>Solaceon wins 65-24 on agg.</t>
  </si>
  <si>
    <t>{76.16-2.589}</t>
  </si>
  <si>
    <t>{132.467-7.229}</t>
  </si>
  <si>
    <t>Lumiose wins 34-24 on agg.</t>
  </si>
  <si>
    <t>{134.294-10.354}</t>
  </si>
  <si>
    <t>{350.738-2.063}</t>
  </si>
  <si>
    <t>Most lopsided spread on record, scoring record (47, 81), Castelia wins 81-22 on agg.</t>
  </si>
  <si>
    <t>{663.406-0}</t>
  </si>
  <si>
    <t>{44.222-3.034}</t>
  </si>
  <si>
    <t>AgM</t>
  </si>
  <si>
    <t>Slateport wins 50-12 on agg.</t>
  </si>
  <si>
    <t>{15.353-17.288}</t>
  </si>
  <si>
    <t>Viridian: GW 2pt+1 @ 60:00</t>
  </si>
  <si>
    <t>{88.338-1.844}</t>
  </si>
  <si>
    <t>Viridian wins 44-28 on agg.</t>
  </si>
  <si>
    <t>{19.279-26.018}</t>
  </si>
  <si>
    <t>Undella: GW 2pt @ 59:80</t>
  </si>
  <si>
    <t>{35.762-16.526}</t>
  </si>
  <si>
    <t>Anistar wins 35-31 on agg.</t>
  </si>
  <si>
    <t>D81 10/22</t>
  </si>
  <si>
    <t>{25.287-31.345}</t>
  </si>
  <si>
    <t>{29.051-17.158}</t>
  </si>
  <si>
    <t>Goldenrod wins 34-32 on agg.</t>
  </si>
  <si>
    <t>{169.302-2.29}</t>
  </si>
  <si>
    <t>{43.362-16.6}</t>
  </si>
  <si>
    <t>Sandgem: GW 3pt @ 59:80, Vaniville wins 40-25 on agg.</t>
  </si>
  <si>
    <t>D82 11/14</t>
  </si>
  <si>
    <t>{49.652-10.104}</t>
  </si>
  <si>
    <t>{36.497-20.826}</t>
  </si>
  <si>
    <t>Rustboro: GW 3pt# @ 61:40, Rustboro wins 31-23 on agg.</t>
  </si>
  <si>
    <t>{244.162-2.288}</t>
  </si>
  <si>
    <t>{161.441-8.605}</t>
  </si>
  <si>
    <t>Cinnabar wins 64-18 on agg.</t>
  </si>
  <si>
    <t>{51.808-23.518}</t>
  </si>
  <si>
    <t>{132.939-10.979}</t>
  </si>
  <si>
    <t>Postwick wins 57-28 on agg.</t>
  </si>
  <si>
    <t>{80.09-6.425}</t>
  </si>
  <si>
    <t>{56.151-21.368}</t>
  </si>
  <si>
    <t>Kala'e wins 48-31 on agg.</t>
  </si>
  <si>
    <t>{50.945-3.286}</t>
  </si>
  <si>
    <t>{100.765-7.634}</t>
  </si>
  <si>
    <t>Virbank wins 54-25 on agg.</t>
  </si>
  <si>
    <t>{169.816-1.992}</t>
  </si>
  <si>
    <t>{28.066-30.706}</t>
  </si>
  <si>
    <t>Dewford wins 60-31 on agg.</t>
  </si>
  <si>
    <t>{41.706-22.083}</t>
  </si>
  <si>
    <t>{140.509-0}</t>
  </si>
  <si>
    <t>Geosenge wins 35-25 on agg.</t>
  </si>
  <si>
    <t>{147.144-6.105}</t>
  </si>
  <si>
    <t>{56.01-8.378}</t>
  </si>
  <si>
    <t>Humilau wins 61-24 on agg.</t>
  </si>
  <si>
    <t>D83 12/1</t>
  </si>
  <si>
    <t>{72.355-2.13}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</si>
  <si>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- 11[5-4]</t>
    </r>
  </si>
  <si>
    <t>{115.597-9.07}</t>
  </si>
  <si>
    <t>Cinnabar wins 35-29 on agg.</t>
  </si>
  <si>
    <t>{66.316-17.786}</t>
  </si>
  <si>
    <t>{55.74-14.295}</t>
  </si>
  <si>
    <t>Cianwood wins 50-29 on agg.</t>
  </si>
  <si>
    <t>D84 12/2</t>
  </si>
  <si>
    <t>{71.877-8.712}</t>
  </si>
  <si>
    <t>{100.967-7.454}</t>
  </si>
  <si>
    <t>Dewford wins 37-32 on agg.</t>
  </si>
  <si>
    <t>{271.796-0.757}</t>
  </si>
  <si>
    <t>{73.079-11.599}</t>
  </si>
  <si>
    <t>Rustboro wins 49-23 on agg.</t>
  </si>
  <si>
    <t>{138.253-2.476}</t>
  </si>
  <si>
    <t>{101.211-7.086}</t>
  </si>
  <si>
    <t>Celestic wins 58-31 on agg.</t>
  </si>
  <si>
    <t>{42.717-28.11}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</si>
  <si>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- 20[7-11]</t>
    </r>
  </si>
  <si>
    <t>{44.401-17.067}</t>
  </si>
  <si>
    <t>Veilstone wins 43-42 on agg., Resort: Missed AgGA 1pt+1 @ 50+23' by one space</t>
  </si>
  <si>
    <t>D85 12/4</t>
  </si>
  <si>
    <t>{55.992-11.063}</t>
  </si>
  <si>
    <t>{41.958-0.782}</t>
  </si>
  <si>
    <t>Virbank wins 40-34 on agg., third disaster game (6/12)</t>
  </si>
  <si>
    <t>{41.794-19.425}</t>
  </si>
  <si>
    <t>{141.078-1.233}</t>
  </si>
  <si>
    <t>Humilau wins 29-16 on agg.</t>
  </si>
  <si>
    <t>{55.723-14.58}</t>
  </si>
  <si>
    <t>{60.4-13.608}</t>
  </si>
  <si>
    <t>Lumiose wins 40-27 on agg.</t>
  </si>
  <si>
    <t>{25.054-14.635}</t>
  </si>
  <si>
    <t>{180.53-3.402}</t>
  </si>
  <si>
    <t>Most lopsided spread on record, Vaniville wins 53-24 on agg.</t>
  </si>
  <si>
    <t>D86 12/8</t>
  </si>
  <si>
    <t>{82.329-4.167}</t>
  </si>
  <si>
    <t>{193.264-8.658}</t>
  </si>
  <si>
    <t>Kala'e wins 53-24 on agg., avenges W1 loss</t>
  </si>
  <si>
    <t>{261.668-0}</t>
  </si>
  <si>
    <t>{17.868-10.487}</t>
  </si>
  <si>
    <t>Hokulani wins 37-20 on agg.</t>
  </si>
  <si>
    <t>{99.416-6.067}</t>
  </si>
  <si>
    <t>D87 12/9</t>
  </si>
  <si>
    <t>{71.939-3.007}</t>
  </si>
  <si>
    <t>Hulbury wins 53-41 on agg.</t>
  </si>
  <si>
    <t>{65.144-28.866}</t>
  </si>
  <si>
    <t>{106.405-16.323}</t>
  </si>
  <si>
    <t>Postwick wins 58-38 on agg.</t>
  </si>
  <si>
    <t>D88 12/16</t>
  </si>
  <si>
    <t>Matchday Ten</t>
  </si>
  <si>
    <t>{23.706-9.837}</t>
  </si>
  <si>
    <t>Rankings revamp, added conf. str.</t>
  </si>
  <si>
    <t>{99.598-0.097}</t>
  </si>
  <si>
    <t>Fatigue now multiplied by both</t>
  </si>
  <si>
    <t>[4-9]</t>
  </si>
  <si>
    <t>{24.207-16.985}</t>
  </si>
  <si>
    <t>fourth disaster game (second win) (8/12)</t>
  </si>
  <si>
    <t>{129.977-2.653}</t>
  </si>
  <si>
    <t>{70.174-3.282}</t>
  </si>
  <si>
    <t>{35.9-9.217}</t>
  </si>
  <si>
    <t>{49.135-27.24}</t>
  </si>
  <si>
    <t>D89 12/17</t>
  </si>
  <si>
    <t>{69.588-5.904}</t>
  </si>
  <si>
    <t>{74.677-8.081}</t>
  </si>
  <si>
    <t>{64.452-2.193}</t>
  </si>
  <si>
    <t>{82.38-6.76}</t>
  </si>
  <si>
    <t>{18.373-24.665}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</si>
  <si>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- 15[4-7]</t>
    </r>
  </si>
  <si>
    <t>{27.663-34.836}</t>
  </si>
  <si>
    <t>{68.057-3.049}</t>
  </si>
  <si>
    <t>{62.684-7.031}</t>
  </si>
  <si>
    <t>{52.492-18.288}</t>
  </si>
  <si>
    <t>{40.866-9.586}</t>
  </si>
  <si>
    <t>fifth disaster game (8/9)</t>
  </si>
  <si>
    <t>{39.449-8.289}</t>
  </si>
  <si>
    <t>{288.511-0.986}</t>
  </si>
  <si>
    <t>{96.499-2.889}</t>
  </si>
  <si>
    <t>{40.986-19.972}</t>
  </si>
  <si>
    <t>{97.036-22.974}</t>
  </si>
  <si>
    <t>{32.506-16.722}</t>
  </si>
  <si>
    <t>{36.764-25.151}</t>
  </si>
  <si>
    <t>{55.812-6.469}</t>
  </si>
  <si>
    <t>{42.041-21.572}</t>
  </si>
  <si>
    <t>{45.565-6.481}</t>
  </si>
  <si>
    <t>{99.332-5.552}</t>
  </si>
  <si>
    <t>{43.201-19.302}</t>
  </si>
  <si>
    <t>{104.975-11.881}</t>
  </si>
  <si>
    <t>{230.047-0.756}</t>
  </si>
  <si>
    <t>{271.271-0.81}</t>
  </si>
  <si>
    <t>{28.27-16.826}</t>
  </si>
  <si>
    <t>{201.522-0}</t>
  </si>
  <si>
    <t>{100.529-0.424}</t>
  </si>
  <si>
    <t>D90 12/19</t>
  </si>
  <si>
    <t>{28.891-5.892}</t>
  </si>
  <si>
    <t>{154.158-2.106}</t>
  </si>
  <si>
    <t>{161.564-0.69}</t>
  </si>
  <si>
    <t>{85.647-3.98}</t>
  </si>
  <si>
    <t>{78.577-0.768}</t>
  </si>
  <si>
    <t>{16.78-40.899}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</si>
  <si>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- 20[7-12]</t>
    </r>
  </si>
  <si>
    <t>{21.039-21.071}</t>
  </si>
  <si>
    <t>smallest inverted difference (0.032)</t>
  </si>
  <si>
    <t>D91 12/20</t>
  </si>
  <si>
    <t>{27.763-15.281}</t>
  </si>
  <si>
    <t>{161.193-0}</t>
  </si>
  <si>
    <t>{32.659-24.74}</t>
  </si>
  <si>
    <t>{36.527-16.319}</t>
  </si>
  <si>
    <t>{38.23-10.023}</t>
  </si>
  <si>
    <t>{81.919-16.548}</t>
  </si>
  <si>
    <t>{27.758-34.814}</t>
  </si>
  <si>
    <t>{56.756-22.022}</t>
  </si>
  <si>
    <t>{243.902-0}</t>
  </si>
  <si>
    <t>{175.074-5.055}</t>
  </si>
  <si>
    <t>{116.378-0}</t>
  </si>
  <si>
    <t>{37.512-13.361}</t>
  </si>
  <si>
    <t>{51.398-20.019}</t>
  </si>
  <si>
    <t>Dewford: GW 2pt+1 @ 57:00</t>
  </si>
  <si>
    <t>{50.25-20.931}</t>
  </si>
  <si>
    <t>Fallarbor: GW 2pt @ 62:20</t>
  </si>
  <si>
    <t>D92 12/22</t>
  </si>
  <si>
    <t>WCS Fifth Round - 1st Leg</t>
  </si>
  <si>
    <t>{31.266-14.29}</t>
  </si>
  <si>
    <t>{85.252-6.033}</t>
  </si>
  <si>
    <t>{47.919-14.589}</t>
  </si>
  <si>
    <t>{106.528-17.392}</t>
  </si>
  <si>
    <t>{127.781-17.495}</t>
  </si>
  <si>
    <t>{63.331-16.451}</t>
  </si>
  <si>
    <t>{26.889-16.302}</t>
  </si>
  <si>
    <t>{66.153-1.273}</t>
  </si>
  <si>
    <t>{64.763-20.178}</t>
  </si>
  <si>
    <t>{37.639-36.453}</t>
  </si>
  <si>
    <t>{71.822-8.792}</t>
  </si>
  <si>
    <t>{40.845-24.926}</t>
  </si>
  <si>
    <t>{121.797-2.706}</t>
  </si>
  <si>
    <t>D93 12/23</t>
  </si>
  <si>
    <t>{57.925-3.342}</t>
  </si>
  <si>
    <t>{90.206-11.017}</t>
  </si>
  <si>
    <t>{203.779-1.909}</t>
  </si>
  <si>
    <t>WCS Fifth Round - 2nd Leg</t>
  </si>
  <si>
    <t>{31.591-4.002}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</si>
  <si>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- 35[18-17], Viridian wins 43-38[5-3] on agg.</t>
    </r>
  </si>
  <si>
    <t>{151.952-2.371}</t>
  </si>
  <si>
    <t>Striaton wins 39-35 on agg.</t>
  </si>
  <si>
    <t>[13-16]</t>
  </si>
  <si>
    <t>{68.047-29.513}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</si>
  <si>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- 21[9-14], 25[10-16], Solaceon wins 52-38 on agg.</t>
    </r>
  </si>
  <si>
    <t>{87.594-11.891}</t>
  </si>
  <si>
    <t>Vermilion wins 49-45 on agg.</t>
  </si>
  <si>
    <t>{37.214-38.769}</t>
  </si>
  <si>
    <t>Cinnabar wins 59-40 on agg.</t>
  </si>
  <si>
    <t>{51.822-12.599}</t>
  </si>
  <si>
    <t>Humilau wins 47-34 on agg.</t>
  </si>
  <si>
    <t>{76.554-0.353}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</si>
  <si>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- 24[9-10], Ore: opened with four 4pts, Oreburgh wins 40-37 on agg.</t>
    </r>
  </si>
  <si>
    <t>{54.622-28.022}</t>
  </si>
  <si>
    <t>Veilstone wins 44-29 on agg.</t>
  </si>
  <si>
    <t>D94 12/24</t>
  </si>
  <si>
    <t>{110.34-23.188}</t>
  </si>
  <si>
    <t>Kala'e wins 59-33 on agg.</t>
  </si>
  <si>
    <t>{54.974-12.891}</t>
  </si>
  <si>
    <t>Lumiose wins 48-35 on agg.</t>
  </si>
  <si>
    <t>{66.44-7.546}</t>
  </si>
  <si>
    <t>Vaniville wins 47-43 on agg.</t>
  </si>
  <si>
    <t>{78.648-9.56}</t>
  </si>
  <si>
    <t>Hammerlocke wins 42-29 on agg.</t>
  </si>
  <si>
    <t>{64.054-8.762}</t>
  </si>
  <si>
    <t>Virbank wins 49-39 on agg.</t>
  </si>
  <si>
    <t>{17.304-26.283}</t>
  </si>
  <si>
    <t>Castelia wins 36-27 on agg.</t>
  </si>
  <si>
    <t>{70.077-13.72}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</si>
  <si>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- 18[9-9], Fuchsia wins 42-40 on agg.</t>
    </r>
  </si>
  <si>
    <t>{22.157-22.893}</t>
  </si>
  <si>
    <t>South Lakes wins 31-17 on agg.</t>
  </si>
  <si>
    <t>{60.947-17.176}</t>
  </si>
  <si>
    <t>{59.589-16.086}</t>
  </si>
  <si>
    <t>Celestic wins 44-39 on agg.</t>
  </si>
  <si>
    <t>{98.116-7.745}</t>
  </si>
  <si>
    <t>{38.191-20.27}</t>
  </si>
  <si>
    <t>Wedgehurst wins 34-25 on agg.</t>
  </si>
  <si>
    <t>{40.646-15.823}</t>
  </si>
  <si>
    <t>{205.912-5.889}</t>
  </si>
  <si>
    <t>Olivine wins 66-34 on agg.</t>
  </si>
  <si>
    <t>D95 12/25</t>
  </si>
  <si>
    <t>{156.048-7.315}</t>
  </si>
  <si>
    <t>{67.548-4.81}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</si>
  <si>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- 19[11-6], Resort wins 62-36 on agg.</t>
    </r>
  </si>
  <si>
    <t>{101.962-4.538}</t>
  </si>
  <si>
    <t>{67.917-7.08}</t>
  </si>
  <si>
    <t>Malie wins 44-24 on agg.</t>
  </si>
  <si>
    <t>{48.906-9.023}</t>
  </si>
  <si>
    <t>{143.131-0}</t>
  </si>
  <si>
    <t>Wyndon South wins 36-25 on agg.</t>
  </si>
  <si>
    <t>{16.66-30.118}</t>
  </si>
  <si>
    <t>{82.527-4.042}</t>
  </si>
  <si>
    <t>Fortree wins 47-35 on agg.</t>
  </si>
  <si>
    <t>{87.675-3.493}</t>
  </si>
  <si>
    <t>{312.735-0}</t>
  </si>
  <si>
    <t>Hulbury wins 40-29 on agg.</t>
  </si>
  <si>
    <t>{61.758-2.084}</t>
  </si>
  <si>
    <t>{44.38-15.99}</t>
  </si>
  <si>
    <t>Hokulani wins 28-20 on agg.</t>
  </si>
  <si>
    <t>{42.593-3.167}</t>
  </si>
  <si>
    <t>{58.154-4.227}</t>
  </si>
  <si>
    <t>Azalea wins 43-25 on agg.</t>
  </si>
  <si>
    <t>{46.77-16.462}</t>
  </si>
  <si>
    <t>{142.213-0.896}</t>
  </si>
  <si>
    <t>Fallarbor wins 31-24 on agg.</t>
  </si>
  <si>
    <t>{43.982-14.302}</t>
  </si>
  <si>
    <t>{161.919-0}</t>
  </si>
  <si>
    <t>Saffron wins 51-33 on agg.</t>
  </si>
  <si>
    <t>D96 2/3</t>
  </si>
  <si>
    <t>Matchday Eleven</t>
  </si>
  <si>
    <t>{46.756-18.402}</t>
  </si>
  <si>
    <t>{33.911-26.35}</t>
  </si>
  <si>
    <t>Canalave: GW 3pt+1 @ 69:00</t>
  </si>
  <si>
    <t>{46.612-10.499}</t>
  </si>
  <si>
    <t>{37.391-14.82}</t>
  </si>
  <si>
    <t>Mossdeep: GW 1pt+1 @ 58:90</t>
  </si>
  <si>
    <t>{23.407-41.055}</t>
  </si>
  <si>
    <t>D97 2/4</t>
  </si>
  <si>
    <t>{15.7-16.602}</t>
  </si>
  <si>
    <t>sixth disaster game (third win) (8/11)</t>
  </si>
  <si>
    <t>{33.287-19.642}</t>
  </si>
  <si>
    <t>D98 2/11</t>
  </si>
  <si>
    <t>{71.969-1.245}</t>
  </si>
  <si>
    <t>{55.625-6.238}</t>
  </si>
  <si>
    <t>{154.599-3.048}</t>
  </si>
  <si>
    <t>{54.295-11.058}</t>
  </si>
  <si>
    <t>[6-2]</t>
  </si>
  <si>
    <t>{27.829-2.199}</t>
  </si>
  <si>
    <t>seventh disaster game (4/8)</t>
  </si>
  <si>
    <t>{35.28-12.228}</t>
  </si>
  <si>
    <t>{112.489-4.835}</t>
  </si>
  <si>
    <t>D99 2/18</t>
  </si>
  <si>
    <t>{32.922-6.926}</t>
  </si>
  <si>
    <t>Skipping to #70</t>
  </si>
  <si>
    <t>{146.572-0}</t>
  </si>
  <si>
    <t>{164.323-0}</t>
  </si>
  <si>
    <t>{57.649-25.976}</t>
  </si>
  <si>
    <t>{128.353-5.382}</t>
  </si>
  <si>
    <t>{44.218-6.077}</t>
  </si>
  <si>
    <t>Ambrette: GW 4pt! @ 58:70</t>
  </si>
  <si>
    <t>{17.076-11.907}</t>
  </si>
  <si>
    <t>D100 2/20</t>
  </si>
  <si>
    <t>{118.869-5.115}</t>
  </si>
  <si>
    <t>{29.857-10.513}</t>
  </si>
  <si>
    <t>{88.964-2.818}</t>
  </si>
  <si>
    <t>{75.303-4.764}</t>
  </si>
  <si>
    <t>{34.481-24.936}</t>
  </si>
  <si>
    <t>Anistar: GW 2pt+1 @ 59:40</t>
  </si>
  <si>
    <t>{38.908-19.332}</t>
  </si>
  <si>
    <t>{19.898-25.243}</t>
  </si>
  <si>
    <t>{33.306-37.981}</t>
  </si>
  <si>
    <t>Skip back</t>
  </si>
  <si>
    <t>{138.398-1.298}</t>
  </si>
  <si>
    <t>eighth disaster game (4/6)</t>
  </si>
  <si>
    <t>{89.439-8.754}</t>
  </si>
  <si>
    <t>{102.736-0}</t>
  </si>
  <si>
    <t>D101 2/21</t>
  </si>
  <si>
    <t>{95.491-9.279}</t>
  </si>
  <si>
    <t>{157.176-4.814}</t>
  </si>
  <si>
    <t>{78.856-5.03}</t>
  </si>
  <si>
    <t>{20.209-16.472}</t>
  </si>
  <si>
    <t>{118.102-13.167}</t>
  </si>
  <si>
    <t>{13.937-27.944}</t>
  </si>
  <si>
    <t>{91.869-11.482}</t>
  </si>
  <si>
    <t>{45.542-7.179}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</si>
  <si>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- 12[5-8], Nimbasa: GT 2pt+1! @ 56:00</t>
    </r>
  </si>
  <si>
    <t>D102 2/28</t>
  </si>
  <si>
    <t>{40.203-18.71}</t>
  </si>
  <si>
    <t>{577.168-0.536}</t>
  </si>
  <si>
    <t>{28.737-7.297}</t>
  </si>
  <si>
    <t>expected point of jump</t>
  </si>
  <si>
    <t>{65.722-26.593}</t>
  </si>
  <si>
    <t>{50.125-4.375}</t>
  </si>
  <si>
    <t>actual point of jump</t>
  </si>
  <si>
    <t>D103 3/3</t>
  </si>
  <si>
    <t>{97.761-12.595}</t>
  </si>
  <si>
    <t>{74.17-13.431}</t>
  </si>
  <si>
    <t>{47.126-17.253}</t>
  </si>
  <si>
    <t>{50.935-16.819}</t>
  </si>
  <si>
    <t>{50.658-8.543}</t>
  </si>
  <si>
    <t>{28.747-15.739}</t>
  </si>
  <si>
    <t>Nacrene: GW 2pt @ 60:30</t>
  </si>
  <si>
    <t>{84.587-8.482}</t>
  </si>
  <si>
    <t>{58.223-19.732}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</si>
  <si>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- 15[7-5], Ever Grande: GA 4pt! @ 60:50</t>
    </r>
  </si>
  <si>
    <t>{51.595-4.899}</t>
  </si>
  <si>
    <t>{65.835-0}</t>
  </si>
  <si>
    <t>Cianwood: GW 3pt# @ 60:30</t>
  </si>
  <si>
    <t>{92.998-0}</t>
  </si>
  <si>
    <t>D104 3/4</t>
  </si>
  <si>
    <t>UTL Round of 20 - 1st Leg</t>
  </si>
  <si>
    <t>{34.857-7.573}</t>
  </si>
  <si>
    <t>{66.508-5.756}</t>
  </si>
  <si>
    <t>{27.532-9.362}</t>
  </si>
  <si>
    <t>{22.857-8.087}</t>
  </si>
  <si>
    <t>UTL Round of 20 - 2nd Leg</t>
  </si>
  <si>
    <t>{59.285-13.937}</t>
  </si>
  <si>
    <t>Fallarbor wins 41-32 on agg.</t>
  </si>
  <si>
    <t>{21.094-39.316}</t>
  </si>
  <si>
    <t>Twinleaf wins 35-30 on agg.</t>
  </si>
  <si>
    <t>{34.771-11.934}</t>
  </si>
  <si>
    <t>Lilycove wins 34-33 on agg.</t>
  </si>
  <si>
    <t>{56.092-4.037}</t>
  </si>
  <si>
    <t>Oreburgh wins 31-29 on agg.</t>
  </si>
  <si>
    <t>D105 3/5</t>
  </si>
  <si>
    <t>MRL Round of 16 - 1st Leg</t>
  </si>
  <si>
    <t>{98.032-7.076}</t>
  </si>
  <si>
    <t>{24.29-33.889}</t>
  </si>
  <si>
    <t>Postwick: GW 3pt#+1 @ 62:20</t>
  </si>
  <si>
    <t>{71.289-8.13}</t>
  </si>
  <si>
    <t>Most lopsided spread on record, ninth disaster game (fourth win) (12/17)</t>
  </si>
  <si>
    <t>{89.037-30.032}</t>
  </si>
  <si>
    <t>[17-16]</t>
  </si>
  <si>
    <t>{42.038-48.692}</t>
  </si>
  <si>
    <r>
      <rPr>
        <b/>
        <sz val="11"/>
        <color theme="1"/>
        <rFont val="Calibri"/>
        <family val="2"/>
        <scheme val="minor"/>
      </rPr>
      <t>4OT</t>
    </r>
    <r>
      <rPr>
        <sz val="11"/>
        <color theme="1"/>
        <rFont val="Calibri"/>
        <family val="2"/>
        <scheme val="minor"/>
      </rPr>
      <t xml:space="preserve"> - 19[9-10], 20[10-11], 23[12-12], 26[14-13], first non-playoff #1 vs #2 match</t>
    </r>
  </si>
  <si>
    <t>{49.258-12.15}</t>
  </si>
  <si>
    <t>&gt;&gt;&gt;First 4OT game, Lumiose: GW 3pt! @ 97:30, highest losing D-Score (48.692)</t>
  </si>
  <si>
    <t>{67.597-11.27}</t>
  </si>
  <si>
    <t>&gt;&gt;&gt;most goals (17) [tied], total goals (33), losing score (32), total score (65)</t>
  </si>
  <si>
    <t>{30.723-16.974}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</si>
  <si>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- 16[5-9], Virbank: GT 3pt! @ 59:60</t>
    </r>
  </si>
  <si>
    <t>D106 3/7</t>
  </si>
  <si>
    <t>MRL Round of 16 - 2nd Leg</t>
  </si>
  <si>
    <t>{48.194-19.333}</t>
  </si>
  <si>
    <t>Rustboro wins 36-33 on agg.</t>
  </si>
  <si>
    <t>{211.068-0}</t>
  </si>
  <si>
    <t>Castelia wins 40-25 on agg.</t>
  </si>
  <si>
    <t>[6-13]</t>
  </si>
  <si>
    <t>{26.473-41.393}</t>
  </si>
  <si>
    <t>Dewford wins 54-39 on agg., tenth disaster game (fifth win) (12/13)</t>
  </si>
  <si>
    <t>{153.21-5.913}</t>
  </si>
  <si>
    <t>Vaniville wins 62-34 on agg.</t>
  </si>
  <si>
    <t>{52.475-13.438}</t>
  </si>
  <si>
    <t>Lumiose wins 56-48 on agg.</t>
  </si>
  <si>
    <t>{244.104-5.374}</t>
  </si>
  <si>
    <t>Kala'e wins 48-22 on agg.</t>
  </si>
  <si>
    <t>{98.807-6.327}</t>
  </si>
  <si>
    <t>Humilau wins 50-32 on agg.</t>
  </si>
  <si>
    <t>{71.477-17.147}</t>
  </si>
  <si>
    <t>Virbank wins 47-32 on agg.</t>
  </si>
  <si>
    <t>D107 3/17</t>
  </si>
  <si>
    <t>Crystal Cup Final - 1st Leg</t>
  </si>
  <si>
    <t>{140.739-1.941}</t>
  </si>
  <si>
    <t>Emerald Cup Final - 1st Leg</t>
  </si>
  <si>
    <t>{63.199-11.926}</t>
  </si>
  <si>
    <t>Platinum Cup Final - 1st Leg</t>
  </si>
  <si>
    <t>{570.828-0}</t>
  </si>
  <si>
    <t>Gray Cup Final - 1st Leg</t>
  </si>
  <si>
    <t>{80.103-13.713}</t>
  </si>
  <si>
    <t>Prism Cup Final - 1st Leg</t>
  </si>
  <si>
    <t>{55.234-17.763}</t>
  </si>
  <si>
    <t>two-legged tie between top-five teams</t>
  </si>
  <si>
    <t>Kahuna Cup Final - 1st Leg</t>
  </si>
  <si>
    <t>{66.951-35.7}</t>
  </si>
  <si>
    <t>second-highest total score (63)</t>
  </si>
  <si>
    <t>Gigantamax Cup Final - 1st Leg</t>
  </si>
  <si>
    <t>{52.372-11.768}</t>
  </si>
  <si>
    <t>Crystal Cup Final - 2nd Leg</t>
  </si>
  <si>
    <t>{84.366-0}</t>
  </si>
  <si>
    <t>Cinnabar wins 37-33 on agg.</t>
  </si>
  <si>
    <t>Emerald Cup Final - 2nd Leg</t>
  </si>
  <si>
    <t>{100.044-0}</t>
  </si>
  <si>
    <t>Rustboro wins 38-22 on agg.</t>
  </si>
  <si>
    <t>Platinum Cup Final - 2nd Leg</t>
  </si>
  <si>
    <t>{107.435-16.847}</t>
  </si>
  <si>
    <t>Veilstone wins 55-19 on agg.</t>
  </si>
  <si>
    <t>Gray Cup Final - 2nd Leg</t>
  </si>
  <si>
    <t>{100.615-18.525}</t>
  </si>
  <si>
    <t>Virbank wins 56-38 on agg.</t>
  </si>
  <si>
    <t>Prism Cup Final - 2nd Leg</t>
  </si>
  <si>
    <t>{34.93-24.812}</t>
  </si>
  <si>
    <t>Lumiose wins 41-37 on agg., Lumiose: 4 straight 100+EXP games</t>
  </si>
  <si>
    <t>Kahuna Cup Final - 2nd Leg</t>
  </si>
  <si>
    <t>{133.811-13.26}</t>
  </si>
  <si>
    <t>Kala'e wins 71-42 on agg.</t>
  </si>
  <si>
    <t>Gigantamax Cup Final - 2nd Leg</t>
  </si>
  <si>
    <t>{117.689-0}</t>
  </si>
  <si>
    <t>D108 3/20</t>
  </si>
  <si>
    <t>Matchday Twelve</t>
  </si>
  <si>
    <t>{59.11-15.392}</t>
  </si>
  <si>
    <t>{63.365-17.205}</t>
  </si>
  <si>
    <t>{71.971-6.424}</t>
  </si>
  <si>
    <t>{81.717-4.582}</t>
  </si>
  <si>
    <t>{52.282-2.356}</t>
  </si>
  <si>
    <t>{60.608-7.442}</t>
  </si>
  <si>
    <t>{43.996-7.866}</t>
  </si>
  <si>
    <t>{60.256-15.856}</t>
  </si>
  <si>
    <t>{31.18-24.047}</t>
  </si>
  <si>
    <t>Pastoria: GW 4pt+1 @ 60:90</t>
  </si>
  <si>
    <t>{101.789-0}</t>
  </si>
  <si>
    <t>{120.687-0.914}</t>
  </si>
  <si>
    <t>{167.123-0}</t>
  </si>
  <si>
    <t>{42.107-11.567}</t>
  </si>
  <si>
    <t>{67.361-9.935}</t>
  </si>
  <si>
    <t>{92.279-1.805}</t>
  </si>
  <si>
    <t>{64.184-10.229}</t>
  </si>
  <si>
    <t>{48.353-7.103}</t>
  </si>
  <si>
    <t>{108.159-2.302}</t>
  </si>
  <si>
    <t>{110.62-0}</t>
  </si>
  <si>
    <t>D109 3/21</t>
  </si>
  <si>
    <t>{177.848-1.944}</t>
  </si>
  <si>
    <t>{46.28-16.937}</t>
  </si>
  <si>
    <t>D110 3/23</t>
  </si>
  <si>
    <t>{24.16-27.74}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</si>
  <si>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- 13[7-6]</t>
    </r>
  </si>
  <si>
    <t>{59.559-11.524}</t>
  </si>
  <si>
    <t>D111 3/24</t>
  </si>
  <si>
    <t>{50.477-13.063}</t>
  </si>
  <si>
    <t>{58.757-5.362}</t>
  </si>
  <si>
    <t>{34.868-19.999}</t>
  </si>
  <si>
    <t>{60.386-2.395}</t>
  </si>
  <si>
    <t>{28.029-9.597}</t>
  </si>
  <si>
    <t>{55.12-5.302}</t>
  </si>
  <si>
    <t>{45.512-23.645}</t>
  </si>
  <si>
    <t>{41.874-7.016}</t>
  </si>
  <si>
    <t>{21.927-30.157}</t>
  </si>
  <si>
    <t>eleventh disaster game (sixth win) (8/9)</t>
  </si>
  <si>
    <t>D112 3/28</t>
  </si>
  <si>
    <t>{30.276-21.582}</t>
  </si>
  <si>
    <t>{57.285-8.159}</t>
  </si>
  <si>
    <t>{49.823-7.561}</t>
  </si>
  <si>
    <t>{34.931-18.114}</t>
  </si>
  <si>
    <t>{19.693-10.66}</t>
  </si>
  <si>
    <t>{45.92-22.011}</t>
  </si>
  <si>
    <t>Tapu: GA 4pt @ 58:00</t>
  </si>
  <si>
    <t>{46.566-6.836}</t>
  </si>
  <si>
    <t>{62.232-24.407}</t>
  </si>
  <si>
    <t>{30.642-19.744}</t>
  </si>
  <si>
    <t>{43.075-18.026}</t>
  </si>
  <si>
    <t>{58.009-7.431}</t>
  </si>
  <si>
    <t>{33.223-28.456}</t>
  </si>
  <si>
    <t>{73.714-3.737}</t>
  </si>
  <si>
    <t>actual jump</t>
  </si>
  <si>
    <t>{140.989-3.651}</t>
  </si>
  <si>
    <t>{158.779-5.621}</t>
  </si>
  <si>
    <t>{65.983-9.913}</t>
  </si>
  <si>
    <t>{54.618-9.638}</t>
  </si>
  <si>
    <t>D113 3/31</t>
  </si>
  <si>
    <t>{73.931-9.524}</t>
  </si>
  <si>
    <t>{56.025-17.064}</t>
  </si>
  <si>
    <t>{75.313-13.216}</t>
  </si>
  <si>
    <t>{71.932-7.118}</t>
  </si>
  <si>
    <t>{91.867-0.546}</t>
  </si>
  <si>
    <t>{74.372-12.007}</t>
  </si>
  <si>
    <t>{50.232-10.126}</t>
  </si>
  <si>
    <t>WCS Round of 16 - 1st Leg</t>
  </si>
  <si>
    <t>{36.82-11.4}</t>
  </si>
  <si>
    <t>twelfth disaster game (seventh win) (10/16)</t>
  </si>
  <si>
    <t>{187.682-2.423}</t>
  </si>
  <si>
    <t>{27.068-26.89}</t>
  </si>
  <si>
    <t>{195.384-0.586}</t>
  </si>
  <si>
    <t>{57.941-11.115}</t>
  </si>
  <si>
    <t>{39.265-16.673}</t>
  </si>
  <si>
    <t>{25.463-25.786}</t>
  </si>
  <si>
    <t>{188.72-0}</t>
  </si>
  <si>
    <t>D114 4/1</t>
  </si>
  <si>
    <t>WCS Round of 16 - 2nd Leg</t>
  </si>
  <si>
    <t>{64.365-10.884}</t>
  </si>
  <si>
    <t>Kala'e wins 56-33 on agg., 13th disaster (8th win) (13/19), most lopsided spread/rcrd</t>
  </si>
  <si>
    <t>{29.495-46.29}</t>
  </si>
  <si>
    <t>Cinnabar wins 47-29 on agg.</t>
  </si>
  <si>
    <t>{85.471-2.749}</t>
  </si>
  <si>
    <t>South Lakes wins 35-24 on agg.</t>
  </si>
  <si>
    <t>{46.922-40.973}</t>
  </si>
  <si>
    <t>Lumiose wins 57-35 on agg.</t>
  </si>
  <si>
    <t>{118.41-0.076}</t>
  </si>
  <si>
    <t>Solaceon wins 39-32 on agg.</t>
  </si>
  <si>
    <t>{237.59-1.332}</t>
  </si>
  <si>
    <t>Vaniville wins 49-23 on agg.</t>
  </si>
  <si>
    <t>{62.09-7.239}</t>
  </si>
  <si>
    <t>Humilau wins 34-28 on agg.</t>
  </si>
  <si>
    <t>{52.358-4.844}</t>
  </si>
  <si>
    <t>Oreburgh wins 42-21 on agg.</t>
  </si>
  <si>
    <t>D115 4/4</t>
  </si>
  <si>
    <t>UTL Round of 16 - 1st Leg</t>
  </si>
  <si>
    <t>{36.807-8.934}</t>
  </si>
  <si>
    <t>{182.483-4.323}</t>
  </si>
  <si>
    <t>{37.715-25.554}</t>
  </si>
  <si>
    <t>Paniola: GW 4pt @ 58:40</t>
  </si>
  <si>
    <t>{149.67-8.092}</t>
  </si>
  <si>
    <t>{75.157-4.388}</t>
  </si>
  <si>
    <t>{35.503-9.999}</t>
  </si>
  <si>
    <t>{57.526-3.735}</t>
  </si>
  <si>
    <t>{30.091-17.582}</t>
  </si>
  <si>
    <t>UTL Round of 16 - 2nd Leg</t>
  </si>
  <si>
    <t>{97.345-1.44}</t>
  </si>
  <si>
    <t>Anville wins 31-22 on agg.</t>
  </si>
  <si>
    <t>{68.583-11.601}</t>
  </si>
  <si>
    <t>Laverre wins 44-23 on agg.</t>
  </si>
  <si>
    <t>{99.114-9.579}</t>
  </si>
  <si>
    <t>Malie wins 56-45 on agg.</t>
  </si>
  <si>
    <t>{44.345-25.453}</t>
  </si>
  <si>
    <t>Resort wins 51-29 on agg.</t>
  </si>
  <si>
    <t>{35.436-28.368}</t>
  </si>
  <si>
    <t>Oreburgh wins 33-29 on agg., Hokulani: GW 3pt#+1 @ 59:10</t>
  </si>
  <si>
    <t>{92.448-7.235}</t>
  </si>
  <si>
    <t>Veilstone wins 45-27 on agg.</t>
  </si>
  <si>
    <t>{114.62-1.584}</t>
  </si>
  <si>
    <t>Olivine wins 40-34 on agg.</t>
  </si>
  <si>
    <t>{20.695-16.559}</t>
  </si>
  <si>
    <t>Lilycove wins 35-33 on agg.</t>
  </si>
  <si>
    <t>Matchday Thirteen</t>
  </si>
  <si>
    <t>{511.414-0.134}</t>
  </si>
  <si>
    <t>Rivalry Week</t>
  </si>
  <si>
    <t>{26.881-14.893}</t>
  </si>
  <si>
    <t>{28.022-11.689}</t>
  </si>
  <si>
    <t>Santalune's first win this season</t>
  </si>
  <si>
    <t>{58.528-13.201}</t>
  </si>
  <si>
    <t>[16-11]</t>
  </si>
  <si>
    <t>{48.481-15.902}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</si>
  <si>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- 19[10-8], 21[11-9], 25[14-11], Viridian's first win this season</t>
    </r>
  </si>
  <si>
    <t>{40.274-13.694}</t>
  </si>
  <si>
    <t>{82.363-3.56}</t>
  </si>
  <si>
    <t>{115.154-3.564}</t>
  </si>
  <si>
    <t>{91.506-9.643}</t>
  </si>
  <si>
    <t>{25.442-6.185}</t>
  </si>
  <si>
    <t>Poni Derby</t>
  </si>
  <si>
    <t>{40.807-13.344}</t>
  </si>
  <si>
    <t>Rusturf Derby</t>
  </si>
  <si>
    <t>{52.293-8.476}</t>
  </si>
  <si>
    <t>{65.709-6.855}</t>
  </si>
  <si>
    <t>{334.927-0.78}</t>
  </si>
  <si>
    <t>{66.921-0}</t>
  </si>
  <si>
    <t>{48.388-11.671}</t>
  </si>
  <si>
    <t>Hammerlocke: GW 3pt#+1 @ 59:00</t>
  </si>
  <si>
    <t>D116 4/5</t>
  </si>
  <si>
    <t>{33.474-29.561}</t>
  </si>
  <si>
    <t>Mistralton: GW 1pt+1 @ 60:30</t>
  </si>
  <si>
    <t>{26.704-13.514}</t>
  </si>
  <si>
    <t>{58.019-11.338}</t>
  </si>
  <si>
    <t>{196.274-4.262}</t>
  </si>
  <si>
    <t>Ever Grande: clinches Delta championship game</t>
  </si>
  <si>
    <t>{49.254-4.981}</t>
  </si>
  <si>
    <t>{44.594-14.991}</t>
  </si>
  <si>
    <t>D117 4/6</t>
  </si>
  <si>
    <t>{68.713-13.094}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</si>
  <si>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- 14[8-5], Accumula: GT 1pt! @ 59:20 in reg.</t>
    </r>
  </si>
  <si>
    <t>{37.428-26.58}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</si>
  <si>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- 24[11-10], Virbank: clinches HFA in Vertress championship game</t>
    </r>
  </si>
  <si>
    <t>{81.165-1.261}</t>
  </si>
  <si>
    <t>14th disaster (4/5), Castelia: clinches Vertress championship game</t>
  </si>
  <si>
    <t>{40.958-14.073}</t>
  </si>
  <si>
    <t>{164.564-2.618}</t>
  </si>
  <si>
    <t>{396.021-0.586}</t>
  </si>
  <si>
    <t>Battle Zone Derby</t>
  </si>
  <si>
    <t>{24.476-18.666}</t>
  </si>
  <si>
    <t>SB, 15th disaster (9th win) (10/11), Resort: clinches HFA in Lily Valley champ. game</t>
  </si>
  <si>
    <t>Chimney Derby</t>
  </si>
  <si>
    <t>{160.849-4.761}</t>
  </si>
  <si>
    <t>Circhester Derby</t>
  </si>
  <si>
    <t>{41.563-9.295}</t>
  </si>
  <si>
    <t>{31.39-10.7}</t>
  </si>
  <si>
    <t>{82.649-10.342}</t>
  </si>
  <si>
    <t>Hulbury: clinches Dynamax championship game</t>
  </si>
  <si>
    <t>{43.107-20.12}</t>
  </si>
  <si>
    <t>{76.613-1.539}</t>
  </si>
  <si>
    <t>16th disaster (6/9)</t>
  </si>
  <si>
    <t>{64.311-13.937}</t>
  </si>
  <si>
    <t>{112.933-9.189}</t>
  </si>
  <si>
    <t>Veilstone: clinches Lily Valley championship game</t>
  </si>
  <si>
    <t>{260.332-1.124}</t>
  </si>
  <si>
    <t>{144.509-7.45}</t>
  </si>
  <si>
    <t>South Lakes: clinches HFA in Dynamax championship game</t>
  </si>
  <si>
    <t>{168.851-5.507}</t>
  </si>
  <si>
    <t>Thud!!! Derby</t>
  </si>
  <si>
    <t>{58.628-2.162}</t>
  </si>
  <si>
    <t>{92.148-11.009}</t>
  </si>
  <si>
    <t>{60.993-3.842}</t>
  </si>
  <si>
    <t>{22.613-24.83}</t>
  </si>
  <si>
    <t>{69.649-4.277}</t>
  </si>
  <si>
    <t>Skyarrow Derby</t>
  </si>
  <si>
    <t>{31.327-13.048}</t>
  </si>
  <si>
    <t>(Castelia: clinches Vertress championship game)</t>
  </si>
  <si>
    <t>{121.23-0.753}</t>
  </si>
  <si>
    <t>{45.832-7.143}</t>
  </si>
  <si>
    <t>{55.865-6.363}</t>
  </si>
  <si>
    <t>{49.77-7.812}</t>
  </si>
  <si>
    <t>Delta: Ever Grande and Fallarbor clinch championship game</t>
  </si>
  <si>
    <t>Wyndon Derby</t>
  </si>
  <si>
    <t>{69.535-14.376}</t>
  </si>
  <si>
    <t>{48.592-2.142}</t>
  </si>
  <si>
    <t>Lanakila: Ultra Megalopolis and Kala'e clinch championship game</t>
  </si>
  <si>
    <t>{87.083-0}</t>
  </si>
  <si>
    <t>Lumiose City finishes 13-0 (9-0)</t>
  </si>
  <si>
    <t>{41.648-42.144}</t>
  </si>
  <si>
    <t>Lumiose: GW 4pt!/63:20, clinches HFA in Kalosite champ. game; Laverre: GA 4pt/60'</t>
  </si>
  <si>
    <t>Seafoam Derby</t>
  </si>
  <si>
    <t>{157.548-2.253}</t>
  </si>
  <si>
    <t>Cinnabar: clinches HFA in Indigo championship game, 9-0 in conference play</t>
  </si>
  <si>
    <t>Whirl Island Derby</t>
  </si>
  <si>
    <t>{56.4-13.305}</t>
  </si>
  <si>
    <t>Olivine: clinches Indigo championship game</t>
  </si>
  <si>
    <t>D118 4/8</t>
  </si>
  <si>
    <t>UTL Quarterfinal - 1st Leg</t>
  </si>
  <si>
    <t>{54.588-5.889}</t>
  </si>
  <si>
    <t>{120.472-3.746}</t>
  </si>
  <si>
    <t>{70.674-19.015}</t>
  </si>
  <si>
    <t>{52.623-9.687}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</si>
  <si>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- 17[8-6]</t>
    </r>
  </si>
  <si>
    <t>UTL Quarterfinal - 2nd Leg</t>
  </si>
  <si>
    <t>{37.385-24.27}</t>
  </si>
  <si>
    <t>Laverre wins 31-29 on agg.</t>
  </si>
  <si>
    <t>{59.415-21.679}</t>
  </si>
  <si>
    <t>Resort wins 50-30 on agg.</t>
  </si>
  <si>
    <t>{198.558-8.572}</t>
  </si>
  <si>
    <t>Veilstone wins 71-29 on agg.</t>
  </si>
  <si>
    <t>{50.626-5.248}</t>
  </si>
  <si>
    <t>Olivine wins 40-35 on agg.</t>
  </si>
  <si>
    <t>MRL Quarterfinal - 1st Leg</t>
  </si>
  <si>
    <t>{237.426-0}</t>
  </si>
  <si>
    <t>{46.501-3.986}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</si>
  <si>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- 12[8-8]</t>
    </r>
  </si>
  <si>
    <t>{63.149-13.665}</t>
  </si>
  <si>
    <t>{42.708-16.97}</t>
  </si>
  <si>
    <t>MRL Quarterfinal - 2nd Leg</t>
  </si>
  <si>
    <t>{135.001-1.119}</t>
  </si>
  <si>
    <t>Castelia wins 50-19 on agg.</t>
  </si>
  <si>
    <t>{103.621-2.847}</t>
  </si>
  <si>
    <t>Vaniville wins 31-24 on agg.</t>
  </si>
  <si>
    <t>{37.95-8.64}</t>
  </si>
  <si>
    <t>Lumiose wins 33-24 on agg.</t>
  </si>
  <si>
    <t>{83.282-15.845}</t>
  </si>
  <si>
    <t>Virbank wins 47-38 on agg.</t>
  </si>
  <si>
    <t>WCS Quarterfinal - 1st Leg</t>
  </si>
  <si>
    <t>{129.949-22.804}</t>
  </si>
  <si>
    <t>{48-17.421}</t>
  </si>
  <si>
    <t>{24.291-12.246}</t>
  </si>
  <si>
    <t>{89-15.059}</t>
  </si>
  <si>
    <t>D119 4/9</t>
  </si>
  <si>
    <t>WCS Quarterfinal - 2nd Leg</t>
  </si>
  <si>
    <t>{24.993-49.691}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</si>
  <si>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- 14[6-6], Cinnabar wins 56-41 on agg.</t>
    </r>
  </si>
  <si>
    <t>{86.191-12.842}</t>
  </si>
  <si>
    <t>South Lakes wins 40-24 on agg.</t>
  </si>
  <si>
    <t>{49.731-18.545}</t>
  </si>
  <si>
    <t>{73.266-7.708}</t>
  </si>
  <si>
    <t>Kala'e wins 38-21 on agg.</t>
  </si>
  <si>
    <t>D120 4/11</t>
  </si>
  <si>
    <t>UTL Semifinal - 1st Leg</t>
  </si>
  <si>
    <t>{62.123-25.515}</t>
  </si>
  <si>
    <t>{78.805-2.247}</t>
  </si>
  <si>
    <t>UTL Semifinal - 2nd Leg</t>
  </si>
  <si>
    <t>{160.402-4.699}</t>
  </si>
  <si>
    <t>Resort wins 62-35 on agg.</t>
  </si>
  <si>
    <t>{58.694-26.738}</t>
  </si>
  <si>
    <t>Olivine wins 39-27 on agg., Veilstone: no points in second half (20-13)</t>
  </si>
  <si>
    <t>MRL Semifinal - 1st Leg</t>
  </si>
  <si>
    <t>{72.756-11.139}</t>
  </si>
  <si>
    <t>Vaniville: no points in second half (16-4)</t>
  </si>
  <si>
    <t>{58.304-11.301}</t>
  </si>
  <si>
    <t>MRL Semifinal - 2nd Leg</t>
  </si>
  <si>
    <t>{109.551-19.206}</t>
  </si>
  <si>
    <t>Castelia wins 45-44 on agg., Castelia: MW 1pt @ 61:80</t>
  </si>
  <si>
    <t>{48.25-24.206}</t>
  </si>
  <si>
    <t>Virbank wins 39-34 on agg.</t>
  </si>
  <si>
    <t>WCS Semifinal - 1st Leg</t>
  </si>
  <si>
    <t>{50.201-12.968}</t>
  </si>
  <si>
    <t>{41.665-8.156}</t>
  </si>
  <si>
    <t>WCS Semifinal - 2nd Leg</t>
  </si>
  <si>
    <t>{61.7-0}</t>
  </si>
  <si>
    <t>Cinnabar wins 42-32 on agg., 17th disaster (8/10)</t>
  </si>
  <si>
    <t>{108.673-0}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</si>
  <si>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- 26[11-15], Kala'e wins 35-33[9-7] on agg., Kala'e: MW 2pt+1 @ 75:70</t>
    </r>
  </si>
  <si>
    <t>{128.024-1.567}</t>
  </si>
  <si>
    <t>{75.244-3.024}</t>
  </si>
  <si>
    <t>Castelia: third straight conference championship (perfect)</t>
  </si>
  <si>
    <t>{159.499-4.601}</t>
  </si>
  <si>
    <t>Cinnabar: conference double</t>
  </si>
  <si>
    <t>D121 4/12</t>
  </si>
  <si>
    <t>{49.536-17.451}</t>
  </si>
  <si>
    <t>Lumiose: conference double</t>
  </si>
  <si>
    <t>Dynamax Conference Championship</t>
  </si>
  <si>
    <t>{139.231-8.682}</t>
  </si>
  <si>
    <t>South Lakes: first Dynamax Conference champions</t>
  </si>
  <si>
    <t>{47.437-20.671}</t>
  </si>
  <si>
    <t>{22.398-51.708}</t>
  </si>
  <si>
    <t>Kala'e: GW 2pt @ 59:40 to avoid upset, Kala'e: conference double</t>
  </si>
  <si>
    <t>D121 4/13</t>
  </si>
  <si>
    <t>{95.999-11.581}</t>
  </si>
  <si>
    <t>{25.932-23.286}</t>
  </si>
  <si>
    <t>Resort Area wins Ultra League, 50-30 on agg.</t>
  </si>
  <si>
    <t>{85.502-11.967}</t>
  </si>
  <si>
    <t>D122 4/14</t>
  </si>
  <si>
    <t>{24.867-23.275}</t>
  </si>
  <si>
    <t>Castelia City wins Master League, 43-33 on agg.</t>
  </si>
  <si>
    <t>{42.486-29.801}</t>
  </si>
  <si>
    <t>{71.686-15.787}</t>
  </si>
  <si>
    <t>Cinnabar Island wins WCS, 38-27 on agg.</t>
  </si>
  <si>
    <t>D123 4/17</t>
  </si>
  <si>
    <t>Play-In Round - Match X - 1st Leg</t>
  </si>
  <si>
    <t>{88.923-12.934}</t>
  </si>
  <si>
    <t>Play-In Round - Match Y - 1st Leg</t>
  </si>
  <si>
    <t>{41.753-11.338}</t>
  </si>
  <si>
    <t>Play-In Round - Match X - 2nd Leg</t>
  </si>
  <si>
    <t>{255.872-1.525}</t>
  </si>
  <si>
    <t>Slateport City wins #11 seed, 49-18 on agg.</t>
  </si>
  <si>
    <t>Play-In Round - Match Y - 2nd Leg</t>
  </si>
  <si>
    <t>{47.115-24.997}</t>
  </si>
  <si>
    <t>Dewford advances to Match Z, 33-32 on agg.</t>
  </si>
  <si>
    <t>Play-in Round - Match Z - 1st Leg</t>
  </si>
  <si>
    <t>{218.552-0.815}</t>
  </si>
  <si>
    <t>Play-in Round - Match Z - 2nd Leg</t>
  </si>
  <si>
    <t>{102.54-11.913}</t>
  </si>
  <si>
    <t>Olivine wins #12 seed, 36-30 on agg.</t>
  </si>
  <si>
    <t>Opening Round - 1st Leg</t>
  </si>
  <si>
    <t>{42.774-24.985}</t>
  </si>
  <si>
    <t>{47.814-8.454}</t>
  </si>
  <si>
    <t>{55.21-21.974}</t>
  </si>
  <si>
    <t>{45.518-22.812}</t>
  </si>
  <si>
    <t>Opening Round - 2nd Leg</t>
  </si>
  <si>
    <t>{68.265-14.867}</t>
  </si>
  <si>
    <t>Virbank City wins 37-28 on agg.</t>
  </si>
  <si>
    <t>{147.538-6.009}</t>
  </si>
  <si>
    <t>Kala'e Bay wins 49-24 on agg.</t>
  </si>
  <si>
    <t>{65.915-7.009}</t>
  </si>
  <si>
    <t>Castelia City wins 28-25 on agg.</t>
  </si>
  <si>
    <t>{50.785-15.398}</t>
  </si>
  <si>
    <t>Veilstone City wins 39-35 on agg.</t>
  </si>
  <si>
    <t>D124 4/18</t>
  </si>
  <si>
    <t>Winners - Quarterfinal - 1st Leg</t>
  </si>
  <si>
    <t>{138.27-4.607}</t>
  </si>
  <si>
    <t>{97.783-5.415}</t>
  </si>
  <si>
    <t>[3-5]</t>
  </si>
  <si>
    <t>{52.07-6.767}</t>
  </si>
  <si>
    <t>{59.089-13.122}</t>
  </si>
  <si>
    <t>Winners - Quarterfinal - 2nd Leg</t>
  </si>
  <si>
    <t>{446.909-4.48}</t>
  </si>
  <si>
    <t>Cinnabar Island wins 66-20 on agg.</t>
  </si>
  <si>
    <t>{33.535-18.141}</t>
  </si>
  <si>
    <t>Kala'e Bay wins 34-29 on agg.</t>
  </si>
  <si>
    <t>{116.189-4.648}</t>
  </si>
  <si>
    <t>Lumiose City wins 33-15 on agg.</t>
  </si>
  <si>
    <t>{62.375-6.984}</t>
  </si>
  <si>
    <t>Resort Area wins 33-32 on agg.</t>
  </si>
  <si>
    <t>Lower - First Round - 1st Leg</t>
  </si>
  <si>
    <t>{86.843-4.928}</t>
  </si>
  <si>
    <t>{375.893-0}</t>
  </si>
  <si>
    <t>{33.894-16.249}</t>
  </si>
  <si>
    <t>{31.298-17.235}</t>
  </si>
  <si>
    <t>Lower - First Round - 2nd Leg</t>
  </si>
  <si>
    <t>{74.077-0}</t>
  </si>
  <si>
    <t>South Lakes wins 42-27 on agg.</t>
  </si>
  <si>
    <t>{52.522-10.251}</t>
  </si>
  <si>
    <t>Virbank City wins 43-27 on agg.</t>
  </si>
  <si>
    <t>{65.664-0}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</si>
  <si>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- 29[17-15], Ever Grande City wins 31-29[2-0] on agg.</t>
    </r>
  </si>
  <si>
    <t>{250.516-1.457}</t>
  </si>
  <si>
    <t>Olivine City wins 44-28 on agg.</t>
  </si>
  <si>
    <t>D125 4/24</t>
  </si>
  <si>
    <t>Lower - Second Round - 1st Leg</t>
  </si>
  <si>
    <t>{72.846-6.798}</t>
  </si>
  <si>
    <t>{60.543-2.267}</t>
  </si>
  <si>
    <t>Lower - Second Round - 2nd Leg</t>
  </si>
  <si>
    <t>{74.649-15.717}</t>
  </si>
  <si>
    <t>Virbank City wins 42-28 on agg.</t>
  </si>
  <si>
    <t>{116.251-8.125}</t>
  </si>
  <si>
    <t>Ever Grande City wins 39-33 on agg.</t>
  </si>
  <si>
    <t>Winners - Semifinal - 1st Leg</t>
  </si>
  <si>
    <t>{48.859-15.793}</t>
  </si>
  <si>
    <t>{54.552-16.865}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</si>
  <si>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- 18[8-11]</t>
    </r>
  </si>
  <si>
    <t>Winners - Semifinal - 2nd Leg</t>
  </si>
  <si>
    <t>{62.72-7.065}</t>
  </si>
  <si>
    <t>Kala'e Bay wins 37-30 on agg., highest EXP score</t>
  </si>
  <si>
    <t>{245.967-4.509}</t>
  </si>
  <si>
    <t>Resort Area wins 43-29 on agg.</t>
  </si>
  <si>
    <t>Lower - Quarterfinal - 1st Leg</t>
  </si>
  <si>
    <t>{77.282-12.399}</t>
  </si>
  <si>
    <t>{109.232-4.001}</t>
  </si>
  <si>
    <t>Lower - Quarterfinal - 2nd Leg</t>
  </si>
  <si>
    <t>{71.754-6.787}</t>
  </si>
  <si>
    <t>Lumiose City wins 35-33 on agg., Virbank: led 14-0(28-20) after 44'</t>
  </si>
  <si>
    <t>{62.683-4.336}</t>
  </si>
  <si>
    <t>Cinnabar Island wins 50-39 on agg., largest game upset this season, highest EXP score</t>
  </si>
  <si>
    <t>D126 4/29</t>
  </si>
  <si>
    <t>Lower - Semifinal - 1st Leg</t>
  </si>
  <si>
    <t>{250.688-4.046}</t>
  </si>
  <si>
    <t>18th disaster (4/5)</t>
  </si>
  <si>
    <t>Lower - Semifinal - 2nd Leg</t>
  </si>
  <si>
    <t>{63.198-38.796}</t>
  </si>
  <si>
    <t>Lumiose City wins 51-33 on agg.</t>
  </si>
  <si>
    <t>Winners - Final - 1st Leg</t>
  </si>
  <si>
    <t>{29.87-12.758}</t>
  </si>
  <si>
    <t>Winners - Final - 2nd Leg</t>
  </si>
  <si>
    <t>{36.39-16.942}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</si>
  <si>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- 14[7-8], Kala'e Bay wins 36-32 on agg.</t>
    </r>
  </si>
  <si>
    <t>Lower - Final - 1st Leg</t>
  </si>
  <si>
    <t>{26.632-16.648}</t>
  </si>
  <si>
    <t>Lower - Final - 2nd Leg</t>
  </si>
  <si>
    <t>{36.358-13.837}</t>
  </si>
  <si>
    <r>
      <rPr>
        <b/>
        <sz val="11"/>
        <color theme="1"/>
        <rFont val="Calibri"/>
        <family val="2"/>
        <scheme val="minor"/>
      </rPr>
      <t xml:space="preserve">AggOT </t>
    </r>
    <r>
      <rPr>
        <sz val="11"/>
        <color theme="1"/>
        <rFont val="Calibri"/>
        <family val="2"/>
        <scheme val="minor"/>
      </rPr>
      <t>- 29[15-15], Resort Area wins 36-33[5-3] on agg.</t>
    </r>
  </si>
  <si>
    <t>GRAND FINAL - GAME ONE</t>
  </si>
  <si>
    <t>{61.946-23.633}</t>
  </si>
  <si>
    <t>Resort Area leads 1-0</t>
  </si>
  <si>
    <t>GRAND FINAL - GAME TWO</t>
  </si>
  <si>
    <t>{27.163-18.355}</t>
  </si>
  <si>
    <t>Resort Area forces reset, 2-0 (42-34)</t>
  </si>
  <si>
    <t>GRAND FINAL RESET - GAME ONE</t>
  </si>
  <si>
    <t>{152.426-0}</t>
  </si>
  <si>
    <t>Kala'e Bay leads 1-0</t>
  </si>
  <si>
    <t>GRAND FINAL RESET - GAME TWO</t>
  </si>
  <si>
    <t>{124.881-16.781}</t>
  </si>
  <si>
    <t>Series tied 1-1 (38-36)</t>
  </si>
  <si>
    <t>GRAND FINAL RESET - GAME THREE</t>
  </si>
  <si>
    <t>{23.507-19.551}</t>
  </si>
  <si>
    <t>Resort Area wins 2-1 (55-51)</t>
  </si>
  <si>
    <t>RESORT AREA: WORLD CHAMPIONS</t>
  </si>
  <si>
    <t>W68</t>
  </si>
  <si>
    <t>W66</t>
  </si>
  <si>
    <t>W55</t>
  </si>
  <si>
    <t>W77</t>
  </si>
  <si>
    <t>W51</t>
  </si>
  <si>
    <t>W52</t>
  </si>
  <si>
    <t>W53</t>
  </si>
  <si>
    <t>W81</t>
  </si>
  <si>
    <t>W54</t>
  </si>
  <si>
    <t>W56</t>
  </si>
  <si>
    <t>W57</t>
  </si>
  <si>
    <t>W78</t>
  </si>
  <si>
    <t>W58</t>
  </si>
  <si>
    <t>W59</t>
  </si>
  <si>
    <t>W60</t>
  </si>
  <si>
    <t>W61</t>
  </si>
  <si>
    <t>W62</t>
  </si>
  <si>
    <t>W63</t>
  </si>
  <si>
    <t>W64</t>
  </si>
  <si>
    <t>W65</t>
  </si>
  <si>
    <t>W67</t>
  </si>
  <si>
    <t>"</t>
  </si>
  <si>
    <t>W69</t>
  </si>
  <si>
    <t>W70</t>
  </si>
  <si>
    <t>W74</t>
  </si>
  <si>
    <t>W71</t>
  </si>
  <si>
    <t>W72</t>
  </si>
  <si>
    <t>W73</t>
  </si>
  <si>
    <t>W86</t>
  </si>
  <si>
    <t>W75</t>
  </si>
  <si>
    <t>W76</t>
  </si>
  <si>
    <t>W79</t>
  </si>
  <si>
    <t>W80</t>
  </si>
  <si>
    <t>W82</t>
  </si>
  <si>
    <t>W83</t>
  </si>
  <si>
    <t>W84</t>
  </si>
  <si>
    <t>W85</t>
  </si>
  <si>
    <t>VLOOKUP(A2, Sheet7!$C$62:$F$173, 4, FALSE)</t>
  </si>
  <si>
    <t>1st Leg</t>
  </si>
  <si>
    <t>2nd Leg</t>
  </si>
  <si>
    <t>3=30</t>
  </si>
  <si>
    <t>6=33</t>
  </si>
  <si>
    <t>9=36</t>
  </si>
  <si>
    <t>12=39</t>
  </si>
  <si>
    <t>15=40.5</t>
  </si>
  <si>
    <t>18=42</t>
  </si>
  <si>
    <t>4=24</t>
  </si>
  <si>
    <t>10=30</t>
  </si>
  <si>
    <t>16=36</t>
  </si>
  <si>
    <t>22=42</t>
  </si>
  <si>
    <t>28=48</t>
  </si>
  <si>
    <t>34=54</t>
  </si>
  <si>
    <t>40=60</t>
  </si>
  <si>
    <t>1=21</t>
  </si>
  <si>
    <t>VLOOKUP(A2, Sheet7!$C$46:$F$125, 4, FALSE)</t>
  </si>
  <si>
    <t>W0</t>
  </si>
  <si>
    <t>24=Regular // 32=WCS Rounds 1-5, MRL/UTL Group, CCC R1+R2 // 40=WCS/MRL/UTL Last 16, CCC Last 8 // 48=Playoffs</t>
  </si>
  <si>
    <t>S4 Revised</t>
  </si>
  <si>
    <t>Conference Semifinalist</t>
  </si>
  <si>
    <t>[50]</t>
  </si>
  <si>
    <t>Next highest ranked team or WCS winner if #14 is MRL winner</t>
  </si>
  <si>
    <t>6 wins</t>
  </si>
  <si>
    <t>5 wins</t>
  </si>
  <si>
    <t>4 wins</t>
  </si>
  <si>
    <t>3 wins</t>
  </si>
  <si>
    <t>2 wins</t>
  </si>
  <si>
    <t>1 win</t>
  </si>
  <si>
    <t>0 wins</t>
  </si>
  <si>
    <t>8 wins</t>
  </si>
  <si>
    <t>7 wins</t>
  </si>
  <si>
    <t>F/Su</t>
  </si>
  <si>
    <t>T/R</t>
  </si>
  <si>
    <t>8 or 16</t>
  </si>
  <si>
    <t>2 or 3</t>
  </si>
  <si>
    <t>btwn 0-3</t>
  </si>
  <si>
    <t>between 52-64</t>
  </si>
  <si>
    <t>OR G1</t>
  </si>
  <si>
    <t>OR G2*</t>
  </si>
  <si>
    <t>WQF/LR1</t>
  </si>
  <si>
    <t>WSF/LR2</t>
  </si>
  <si>
    <t>WF/LSF</t>
  </si>
  <si>
    <t>Reset</t>
  </si>
  <si>
    <t>T-R-Su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</si>
</sst>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#&quot;#"/>
    <numFmt numFmtId="166" formatCode="0.000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rgb="FFFF3399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left" vertical="center"/>
    </xf>
    <xf numFmtId="16" fontId="0" fillId="0" borderId="0" xfId="0" applyNumberFormat="1"/>
    <xf numFmtId="0" fontId="0" fillId="0" borderId="2" xfId="0" applyBorder="1"/>
    <xf numFmtId="0" fontId="0" fillId="0" borderId="0" xfId="0" applyFill="1" applyBorder="1"/>
    <xf numFmtId="0" fontId="0" fillId="0" borderId="2" xfId="0" applyFill="1" applyBorder="1"/>
    <xf numFmtId="0" fontId="2" fillId="0" borderId="0" xfId="0" applyFont="1" applyFill="1" applyBorder="1"/>
    <xf numFmtId="0" fontId="13" fillId="0" borderId="0" xfId="0" applyFont="1"/>
    <xf numFmtId="0" fontId="2" fillId="0" borderId="2" xfId="0" applyFont="1" applyBorder="1"/>
    <xf numFmtId="0" fontId="0" fillId="0" borderId="0" xfId="0" applyAlignment="1">
      <alignment horizontal="center"/>
    </xf>
    <xf numFmtId="166" fontId="0" fillId="0" borderId="0" xfId="0" applyNumberFormat="1"/>
    <xf numFmtId="1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Border="1"/>
    <xf numFmtId="0" fontId="0" fillId="0" borderId="0" xfId="0" quotePrefix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 applyAlignment="1">
      <alignment horizontal="center"/>
    </xf>
    <xf numFmtId="166" fontId="2" fillId="6" borderId="0" xfId="0" applyNumberFormat="1" applyFont="1" applyFill="1" applyAlignment="1">
      <alignment horizontal="right"/>
    </xf>
    <xf numFmtId="1" fontId="4" fillId="6" borderId="0" xfId="0" applyNumberFormat="1" applyFont="1" applyFill="1" applyAlignment="1">
      <alignment horizontal="center"/>
    </xf>
    <xf numFmtId="166" fontId="2" fillId="6" borderId="0" xfId="0" applyNumberFormat="1" applyFont="1" applyFill="1" applyAlignment="1">
      <alignment horizontal="center"/>
    </xf>
    <xf numFmtId="0" fontId="2" fillId="6" borderId="0" xfId="0" applyNumberFormat="1" applyFont="1" applyFill="1" applyAlignment="1">
      <alignment horizontal="center" vertic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0" borderId="0" xfId="0" applyFont="1" applyAlignment="1"/>
    <xf numFmtId="1" fontId="4" fillId="0" borderId="0" xfId="0" applyNumberFormat="1" applyFont="1" applyAlignment="1">
      <alignment horizontal="center"/>
    </xf>
    <xf numFmtId="0" fontId="0" fillId="0" borderId="0" xfId="0" applyAlignment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2" fillId="0" borderId="2" xfId="0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 applyAlignment="1"/>
    <xf numFmtId="0" fontId="2" fillId="0" borderId="2" xfId="0" applyFont="1" applyBorder="1" applyAlignment="1"/>
    <xf numFmtId="0" fontId="0" fillId="0" borderId="0" xfId="0" applyFont="1" applyFill="1" applyBorder="1"/>
    <xf numFmtId="0" fontId="0" fillId="0" borderId="0" xfId="0" applyFill="1" applyBorder="1" applyAlignment="1"/>
    <xf numFmtId="166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center"/>
    </xf>
    <xf numFmtId="0" fontId="0" fillId="0" borderId="2" xfId="0" applyFill="1" applyBorder="1" applyAlignment="1"/>
    <xf numFmtId="0" fontId="0" fillId="0" borderId="0" xfId="0" applyFont="1" applyAlignment="1"/>
    <xf numFmtId="0" fontId="2" fillId="0" borderId="0" xfId="0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2" fillId="0" borderId="2" xfId="0" applyFont="1" applyFill="1" applyBorder="1"/>
    <xf numFmtId="0" fontId="7" fillId="0" borderId="0" xfId="0" applyFont="1" applyFill="1" applyBorder="1"/>
    <xf numFmtId="0" fontId="4" fillId="0" borderId="2" xfId="0" applyFont="1" applyBorder="1" applyAlignment="1"/>
    <xf numFmtId="0" fontId="0" fillId="0" borderId="0" xfId="0" applyFont="1" applyAlignment="1">
      <alignment horizontal="right"/>
    </xf>
    <xf numFmtId="0" fontId="17" fillId="0" borderId="0" xfId="0" applyFont="1" applyFill="1" applyBorder="1"/>
    <xf numFmtId="0" fontId="4" fillId="0" borderId="2" xfId="0" applyFont="1" applyBorder="1"/>
    <xf numFmtId="1" fontId="5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 indent="2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right"/>
    </xf>
    <xf numFmtId="1" fontId="5" fillId="0" borderId="2" xfId="0" applyNumberFormat="1" applyFont="1" applyBorder="1" applyAlignment="1">
      <alignment horizontal="center"/>
    </xf>
    <xf numFmtId="166" fontId="2" fillId="0" borderId="0" xfId="0" applyNumberFormat="1" applyFont="1" applyAlignment="1"/>
    <xf numFmtId="1" fontId="0" fillId="0" borderId="0" xfId="0" applyNumberFormat="1" applyAlignment="1">
      <alignment horizontal="center"/>
    </xf>
    <xf numFmtId="0" fontId="2" fillId="0" borderId="0" xfId="0" applyFont="1" applyFill="1" applyBorder="1" applyAlignme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Fill="1" applyBorder="1" applyAlignment="1">
      <alignment horizontal="left"/>
    </xf>
    <xf numFmtId="0" fontId="2" fillId="0" borderId="0" xfId="0" quotePrefix="1" applyFont="1" applyAlignment="1">
      <alignment horizontal="left"/>
    </xf>
    <xf numFmtId="166" fontId="2" fillId="0" borderId="0" xfId="0" applyNumberFormat="1" applyFont="1" applyBorder="1" applyAlignment="1">
      <alignment horizontal="right"/>
    </xf>
    <xf numFmtId="1" fontId="4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ce%20G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boardNCAA"/>
      <sheetName val="Archive"/>
      <sheetName val="Rankings"/>
      <sheetName val="Bracket"/>
      <sheetName val="Conf Standings"/>
      <sheetName val="Divisions"/>
      <sheetName val="WCS"/>
      <sheetName val="Master"/>
      <sheetName val="Ultra"/>
      <sheetName val="CCC"/>
      <sheetName val="SoC"/>
      <sheetName val="Legacy"/>
      <sheetName val="Future"/>
      <sheetName val="Weather"/>
      <sheetName val="Derby"/>
      <sheetName val="MRL"/>
      <sheetName val="UTL"/>
      <sheetName val="OldRanks"/>
      <sheetName val="OldOldRnks"/>
      <sheetName val="XArc"/>
      <sheetName val="XRnk"/>
      <sheetName val="S2 Archive"/>
      <sheetName val="S2 Rankings"/>
      <sheetName val="S2 Conf. Stand"/>
      <sheetName val="S2 Divisions"/>
      <sheetName val="S1 Archive"/>
      <sheetName val="S1 Rankings"/>
      <sheetName val="S1 Conf. Stand"/>
      <sheetName val="S1 InterC"/>
    </sheetNames>
    <sheetDataSet>
      <sheetData sheetId="0">
        <row r="1">
          <cell r="J1">
            <v>1314.7271373875856</v>
          </cell>
        </row>
        <row r="2">
          <cell r="B2" t="str">
            <v>Resort Area</v>
          </cell>
          <cell r="N2" t="str">
            <v>Cinnabar Island</v>
          </cell>
        </row>
        <row r="4">
          <cell r="I4">
            <v>3</v>
          </cell>
          <cell r="J4">
            <v>0</v>
          </cell>
          <cell r="L4">
            <v>110.65642532809592</v>
          </cell>
          <cell r="M4">
            <v>1</v>
          </cell>
        </row>
        <row r="6">
          <cell r="F6">
            <v>0</v>
          </cell>
          <cell r="N6">
            <v>4</v>
          </cell>
          <cell r="Q6" t="str">
            <v>2*2</v>
          </cell>
        </row>
        <row r="7">
          <cell r="Q7" t="str">
            <v>2*4</v>
          </cell>
        </row>
        <row r="17">
          <cell r="J17">
            <v>1934.2704458438859</v>
          </cell>
          <cell r="L17">
            <v>-1934.2704458438859</v>
          </cell>
        </row>
        <row r="18">
          <cell r="J18">
            <v>-4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V155"/>
  <sheetViews>
    <sheetView tabSelected="1" topLeftCell="A118" workbookViewId="0">
      <selection activeCell="E107" sqref="E107:V155"/>
    </sheetView>
  </sheetViews>
  <sheetFormatPr defaultRowHeight="14.5" x14ac:dyDescent="0.35"/>
  <cols>
    <col min="1" max="1" width="7.36328125" customWidth="1"/>
    <col min="2" max="2" width="16.6328125" customWidth="1"/>
    <col min="15" max="15" width="26.6328125" customWidth="1"/>
  </cols>
  <sheetData>
    <row r="2" spans="2:20" x14ac:dyDescent="0.35">
      <c r="K2" t="s">
        <v>2</v>
      </c>
      <c r="P2" t="s">
        <v>3</v>
      </c>
      <c r="Q2" t="s">
        <v>4</v>
      </c>
      <c r="S2" t="s">
        <v>29</v>
      </c>
      <c r="T2" t="s">
        <v>37</v>
      </c>
    </row>
    <row r="3" spans="2:20" x14ac:dyDescent="0.35">
      <c r="K3" t="s">
        <v>1</v>
      </c>
      <c r="O3" t="s">
        <v>7</v>
      </c>
      <c r="P3">
        <v>4</v>
      </c>
      <c r="Q3">
        <f>P3*2</f>
        <v>8</v>
      </c>
      <c r="S3" t="s">
        <v>29</v>
      </c>
      <c r="T3" t="s">
        <v>35</v>
      </c>
    </row>
    <row r="4" spans="2:20" x14ac:dyDescent="0.35">
      <c r="O4" t="s">
        <v>5</v>
      </c>
      <c r="P4">
        <v>2</v>
      </c>
      <c r="Q4">
        <f>P4*2</f>
        <v>4</v>
      </c>
      <c r="S4" t="s">
        <v>30</v>
      </c>
      <c r="T4" s="7" t="s">
        <v>35</v>
      </c>
    </row>
    <row r="5" spans="2:20" x14ac:dyDescent="0.35">
      <c r="B5" s="3">
        <v>12</v>
      </c>
      <c r="D5">
        <v>5</v>
      </c>
      <c r="F5">
        <v>1</v>
      </c>
      <c r="O5" t="s">
        <v>28</v>
      </c>
      <c r="P5">
        <v>4</v>
      </c>
      <c r="Q5">
        <f t="shared" ref="Q5:Q14" si="0">P5*2</f>
        <v>8</v>
      </c>
      <c r="S5" t="s">
        <v>30</v>
      </c>
      <c r="T5" s="7" t="s">
        <v>35</v>
      </c>
    </row>
    <row r="6" spans="2:20" x14ac:dyDescent="0.35">
      <c r="B6" s="3">
        <v>13</v>
      </c>
      <c r="D6">
        <v>12</v>
      </c>
      <c r="F6">
        <v>8</v>
      </c>
      <c r="O6" t="s">
        <v>6</v>
      </c>
      <c r="P6">
        <v>2</v>
      </c>
      <c r="Q6">
        <f t="shared" si="0"/>
        <v>4</v>
      </c>
      <c r="S6" t="s">
        <v>31</v>
      </c>
      <c r="T6" t="s">
        <v>36</v>
      </c>
    </row>
    <row r="7" spans="2:20" x14ac:dyDescent="0.35">
      <c r="O7" t="s">
        <v>8</v>
      </c>
      <c r="P7">
        <v>2</v>
      </c>
      <c r="Q7">
        <f>P7*2</f>
        <v>4</v>
      </c>
      <c r="S7" t="s">
        <v>31</v>
      </c>
      <c r="T7" s="7" t="s">
        <v>35</v>
      </c>
    </row>
    <row r="8" spans="2:20" x14ac:dyDescent="0.35">
      <c r="O8" t="s">
        <v>27</v>
      </c>
      <c r="P8">
        <v>2</v>
      </c>
      <c r="Q8">
        <f t="shared" si="0"/>
        <v>4</v>
      </c>
      <c r="S8" t="s">
        <v>31</v>
      </c>
      <c r="T8" s="7" t="s">
        <v>35</v>
      </c>
    </row>
    <row r="9" spans="2:20" x14ac:dyDescent="0.35">
      <c r="B9" s="3">
        <v>9</v>
      </c>
      <c r="D9">
        <v>8</v>
      </c>
      <c r="F9">
        <v>4</v>
      </c>
      <c r="H9">
        <v>1</v>
      </c>
      <c r="O9" t="s">
        <v>10</v>
      </c>
      <c r="P9">
        <v>2</v>
      </c>
      <c r="Q9">
        <f t="shared" si="0"/>
        <v>4</v>
      </c>
      <c r="S9" t="s">
        <v>32</v>
      </c>
      <c r="T9" t="s">
        <v>36</v>
      </c>
    </row>
    <row r="10" spans="2:20" x14ac:dyDescent="0.35">
      <c r="B10" s="3">
        <v>16</v>
      </c>
      <c r="D10">
        <v>9</v>
      </c>
      <c r="F10">
        <v>5</v>
      </c>
      <c r="H10">
        <v>4</v>
      </c>
      <c r="O10" t="s">
        <v>9</v>
      </c>
      <c r="P10">
        <v>1</v>
      </c>
      <c r="Q10">
        <f t="shared" si="0"/>
        <v>2</v>
      </c>
      <c r="S10" t="s">
        <v>32</v>
      </c>
      <c r="T10" s="7" t="s">
        <v>35</v>
      </c>
    </row>
    <row r="11" spans="2:20" x14ac:dyDescent="0.35">
      <c r="B11" s="3"/>
      <c r="J11">
        <v>1</v>
      </c>
      <c r="O11" t="s">
        <v>11</v>
      </c>
      <c r="P11">
        <v>1</v>
      </c>
      <c r="Q11">
        <f t="shared" si="0"/>
        <v>2</v>
      </c>
      <c r="S11" t="s">
        <v>32</v>
      </c>
      <c r="T11" s="7" t="s">
        <v>35</v>
      </c>
    </row>
    <row r="12" spans="2:20" x14ac:dyDescent="0.35">
      <c r="J12">
        <v>2</v>
      </c>
      <c r="O12" t="s">
        <v>25</v>
      </c>
      <c r="P12">
        <v>1</v>
      </c>
      <c r="Q12">
        <f t="shared" si="0"/>
        <v>2</v>
      </c>
      <c r="S12" t="s">
        <v>33</v>
      </c>
      <c r="T12" t="s">
        <v>36</v>
      </c>
    </row>
    <row r="13" spans="2:20" x14ac:dyDescent="0.35">
      <c r="B13" s="3">
        <v>10</v>
      </c>
      <c r="D13">
        <v>7</v>
      </c>
      <c r="F13">
        <v>3</v>
      </c>
      <c r="H13">
        <v>2</v>
      </c>
      <c r="O13" t="s">
        <v>12</v>
      </c>
      <c r="P13">
        <v>1</v>
      </c>
      <c r="Q13">
        <f t="shared" si="0"/>
        <v>2</v>
      </c>
      <c r="S13" t="s">
        <v>33</v>
      </c>
      <c r="T13" t="s">
        <v>35</v>
      </c>
    </row>
    <row r="14" spans="2:20" x14ac:dyDescent="0.35">
      <c r="B14" s="3">
        <v>15</v>
      </c>
      <c r="D14">
        <v>10</v>
      </c>
      <c r="F14">
        <v>6</v>
      </c>
      <c r="H14">
        <v>3</v>
      </c>
      <c r="O14" t="s">
        <v>26</v>
      </c>
      <c r="P14">
        <v>1</v>
      </c>
      <c r="Q14">
        <f t="shared" si="0"/>
        <v>2</v>
      </c>
      <c r="S14" t="s">
        <v>34</v>
      </c>
      <c r="T14" t="s">
        <v>36</v>
      </c>
    </row>
    <row r="16" spans="2:20" x14ac:dyDescent="0.35">
      <c r="L16">
        <v>1</v>
      </c>
      <c r="M16">
        <v>1</v>
      </c>
      <c r="P16">
        <f>SUM(P3:P14)</f>
        <v>23</v>
      </c>
      <c r="Q16">
        <f>SUM(Q3:Q14)</f>
        <v>46</v>
      </c>
    </row>
    <row r="17" spans="2:13" x14ac:dyDescent="0.35">
      <c r="B17" s="3">
        <v>11</v>
      </c>
      <c r="D17">
        <v>6</v>
      </c>
      <c r="F17">
        <v>2</v>
      </c>
      <c r="L17">
        <v>2</v>
      </c>
      <c r="M17">
        <v>2</v>
      </c>
    </row>
    <row r="18" spans="2:13" x14ac:dyDescent="0.35">
      <c r="B18" s="3">
        <v>14</v>
      </c>
      <c r="D18">
        <v>11</v>
      </c>
      <c r="F18">
        <v>7</v>
      </c>
    </row>
    <row r="20" spans="2:13" x14ac:dyDescent="0.35">
      <c r="D20" t="s">
        <v>19</v>
      </c>
      <c r="F20" t="s">
        <v>20</v>
      </c>
      <c r="H20" t="s">
        <v>21</v>
      </c>
      <c r="J20" t="s">
        <v>22</v>
      </c>
      <c r="L20" t="s">
        <v>23</v>
      </c>
      <c r="M20" t="s">
        <v>24</v>
      </c>
    </row>
    <row r="21" spans="2:13" x14ac:dyDescent="0.35">
      <c r="D21" s="5"/>
    </row>
    <row r="22" spans="2:13" x14ac:dyDescent="0.35"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</row>
    <row r="23" spans="2:13" x14ac:dyDescent="0.35">
      <c r="D23" s="3">
        <v>13</v>
      </c>
      <c r="E23" s="3">
        <v>11</v>
      </c>
      <c r="F23">
        <v>9</v>
      </c>
      <c r="G23">
        <v>7</v>
      </c>
      <c r="H23">
        <v>5</v>
      </c>
      <c r="I23">
        <v>3</v>
      </c>
      <c r="J23">
        <v>3</v>
      </c>
      <c r="K23">
        <v>2</v>
      </c>
    </row>
    <row r="24" spans="2:13" x14ac:dyDescent="0.35">
      <c r="D24" s="3">
        <v>16</v>
      </c>
      <c r="E24" s="3">
        <v>13</v>
      </c>
      <c r="F24">
        <v>11</v>
      </c>
      <c r="G24">
        <v>9</v>
      </c>
      <c r="H24">
        <v>7</v>
      </c>
      <c r="I24">
        <v>5</v>
      </c>
      <c r="J24">
        <v>4</v>
      </c>
      <c r="K24">
        <v>3</v>
      </c>
    </row>
    <row r="25" spans="2:13" x14ac:dyDescent="0.35">
      <c r="D25" s="3"/>
      <c r="E25" s="3"/>
    </row>
    <row r="26" spans="2:13" x14ac:dyDescent="0.35">
      <c r="D26" s="3">
        <v>14</v>
      </c>
      <c r="E26" s="3">
        <v>12</v>
      </c>
      <c r="F26">
        <v>10</v>
      </c>
      <c r="G26">
        <v>8</v>
      </c>
      <c r="H26">
        <v>6</v>
      </c>
      <c r="I26">
        <v>4</v>
      </c>
    </row>
    <row r="27" spans="2:13" x14ac:dyDescent="0.35">
      <c r="D27" s="3">
        <v>15</v>
      </c>
      <c r="E27" s="3">
        <v>14</v>
      </c>
      <c r="F27">
        <v>12</v>
      </c>
      <c r="G27">
        <v>10</v>
      </c>
      <c r="H27">
        <v>8</v>
      </c>
      <c r="I27">
        <v>6</v>
      </c>
    </row>
    <row r="29" spans="2:13" x14ac:dyDescent="0.35">
      <c r="F29" t="s">
        <v>96</v>
      </c>
      <c r="G29" t="s">
        <v>95</v>
      </c>
      <c r="H29" t="s">
        <v>94</v>
      </c>
      <c r="I29" t="s">
        <v>93</v>
      </c>
      <c r="J29" t="s">
        <v>92</v>
      </c>
      <c r="K29" t="s">
        <v>91</v>
      </c>
      <c r="L29" t="s">
        <v>90</v>
      </c>
    </row>
    <row r="33" spans="2:20" x14ac:dyDescent="0.35">
      <c r="K33" t="s">
        <v>184</v>
      </c>
      <c r="P33" t="s">
        <v>3</v>
      </c>
      <c r="Q33" t="s">
        <v>4</v>
      </c>
    </row>
    <row r="34" spans="2:20" x14ac:dyDescent="0.35">
      <c r="K34" t="s">
        <v>183</v>
      </c>
      <c r="O34" t="s">
        <v>7</v>
      </c>
      <c r="P34">
        <v>4</v>
      </c>
      <c r="Q34">
        <f t="shared" ref="Q34:Q39" si="1">P34*2</f>
        <v>8</v>
      </c>
      <c r="S34" t="s">
        <v>29</v>
      </c>
      <c r="T34" t="s">
        <v>35</v>
      </c>
    </row>
    <row r="35" spans="2:20" x14ac:dyDescent="0.35">
      <c r="O35" t="s">
        <v>5</v>
      </c>
      <c r="P35">
        <v>2</v>
      </c>
      <c r="Q35">
        <f t="shared" si="1"/>
        <v>4</v>
      </c>
      <c r="S35" t="s">
        <v>30</v>
      </c>
      <c r="T35" s="7" t="s">
        <v>35</v>
      </c>
    </row>
    <row r="36" spans="2:20" x14ac:dyDescent="0.35">
      <c r="B36" s="3">
        <v>12</v>
      </c>
      <c r="D36">
        <v>5</v>
      </c>
      <c r="F36">
        <v>1</v>
      </c>
      <c r="O36" t="s">
        <v>153</v>
      </c>
      <c r="P36">
        <v>4</v>
      </c>
      <c r="Q36">
        <f t="shared" si="1"/>
        <v>8</v>
      </c>
      <c r="S36" t="s">
        <v>30</v>
      </c>
      <c r="T36" s="7" t="s">
        <v>35</v>
      </c>
    </row>
    <row r="37" spans="2:20" x14ac:dyDescent="0.35">
      <c r="B37" s="3">
        <v>13</v>
      </c>
      <c r="D37">
        <v>12</v>
      </c>
      <c r="F37">
        <v>8</v>
      </c>
      <c r="O37" t="s">
        <v>6</v>
      </c>
      <c r="P37">
        <v>2</v>
      </c>
      <c r="Q37">
        <f t="shared" si="1"/>
        <v>4</v>
      </c>
      <c r="S37" t="s">
        <v>31</v>
      </c>
      <c r="T37" t="s">
        <v>36</v>
      </c>
    </row>
    <row r="38" spans="2:20" x14ac:dyDescent="0.35">
      <c r="O38" t="s">
        <v>8</v>
      </c>
      <c r="P38">
        <v>2</v>
      </c>
      <c r="Q38">
        <f t="shared" si="1"/>
        <v>4</v>
      </c>
      <c r="S38" t="s">
        <v>31</v>
      </c>
      <c r="T38" s="7" t="s">
        <v>35</v>
      </c>
    </row>
    <row r="39" spans="2:20" x14ac:dyDescent="0.35">
      <c r="O39" t="s">
        <v>28</v>
      </c>
      <c r="P39">
        <v>4</v>
      </c>
      <c r="Q39">
        <f t="shared" si="1"/>
        <v>8</v>
      </c>
      <c r="S39" t="s">
        <v>31</v>
      </c>
      <c r="T39" s="7" t="s">
        <v>35</v>
      </c>
    </row>
    <row r="40" spans="2:20" x14ac:dyDescent="0.35">
      <c r="B40" s="3">
        <v>9</v>
      </c>
      <c r="D40">
        <v>8</v>
      </c>
      <c r="F40">
        <v>4</v>
      </c>
      <c r="H40">
        <v>1</v>
      </c>
      <c r="O40" t="s">
        <v>154</v>
      </c>
      <c r="P40">
        <v>2</v>
      </c>
      <c r="Q40">
        <f t="shared" ref="Q40:Q46" si="2">P40*2</f>
        <v>4</v>
      </c>
      <c r="S40" t="s">
        <v>32</v>
      </c>
      <c r="T40" t="s">
        <v>36</v>
      </c>
    </row>
    <row r="41" spans="2:20" x14ac:dyDescent="0.35">
      <c r="B41" s="3">
        <v>16</v>
      </c>
      <c r="D41">
        <v>9</v>
      </c>
      <c r="F41">
        <v>5</v>
      </c>
      <c r="H41">
        <v>4</v>
      </c>
      <c r="O41" t="s">
        <v>155</v>
      </c>
      <c r="P41">
        <v>2</v>
      </c>
      <c r="Q41">
        <f t="shared" si="2"/>
        <v>4</v>
      </c>
      <c r="S41" t="s">
        <v>32</v>
      </c>
      <c r="T41" s="7" t="s">
        <v>35</v>
      </c>
    </row>
    <row r="42" spans="2:20" x14ac:dyDescent="0.35">
      <c r="B42" s="3"/>
      <c r="J42">
        <v>1</v>
      </c>
      <c r="O42" t="s">
        <v>27</v>
      </c>
      <c r="P42">
        <v>2</v>
      </c>
      <c r="Q42">
        <f t="shared" si="2"/>
        <v>4</v>
      </c>
      <c r="S42" t="s">
        <v>32</v>
      </c>
      <c r="T42" s="7" t="s">
        <v>35</v>
      </c>
    </row>
    <row r="43" spans="2:20" x14ac:dyDescent="0.35">
      <c r="J43">
        <v>2</v>
      </c>
      <c r="O43" t="s">
        <v>10</v>
      </c>
      <c r="P43">
        <v>2</v>
      </c>
      <c r="Q43">
        <f t="shared" si="2"/>
        <v>4</v>
      </c>
      <c r="S43" t="s">
        <v>33</v>
      </c>
      <c r="T43" t="s">
        <v>36</v>
      </c>
    </row>
    <row r="44" spans="2:20" x14ac:dyDescent="0.35">
      <c r="B44" s="3">
        <v>10</v>
      </c>
      <c r="D44">
        <v>7</v>
      </c>
      <c r="F44">
        <v>3</v>
      </c>
      <c r="H44">
        <v>2</v>
      </c>
      <c r="O44" t="s">
        <v>9</v>
      </c>
      <c r="P44">
        <v>1</v>
      </c>
      <c r="Q44">
        <f t="shared" si="2"/>
        <v>2</v>
      </c>
      <c r="S44" t="s">
        <v>33</v>
      </c>
      <c r="T44" s="7" t="s">
        <v>35</v>
      </c>
    </row>
    <row r="45" spans="2:20" x14ac:dyDescent="0.35">
      <c r="B45" s="3">
        <v>15</v>
      </c>
      <c r="D45">
        <v>10</v>
      </c>
      <c r="F45">
        <v>6</v>
      </c>
      <c r="H45">
        <v>3</v>
      </c>
      <c r="O45" t="s">
        <v>11</v>
      </c>
      <c r="P45">
        <v>1</v>
      </c>
      <c r="Q45">
        <f t="shared" si="2"/>
        <v>2</v>
      </c>
      <c r="S45" t="s">
        <v>33</v>
      </c>
      <c r="T45" s="7" t="s">
        <v>35</v>
      </c>
    </row>
    <row r="46" spans="2:20" x14ac:dyDescent="0.35">
      <c r="O46" t="s">
        <v>25</v>
      </c>
      <c r="P46">
        <v>1</v>
      </c>
      <c r="Q46">
        <f t="shared" si="2"/>
        <v>2</v>
      </c>
      <c r="S46" t="s">
        <v>34</v>
      </c>
      <c r="T46" t="s">
        <v>35</v>
      </c>
    </row>
    <row r="47" spans="2:20" x14ac:dyDescent="0.35">
      <c r="L47">
        <v>1</v>
      </c>
      <c r="M47">
        <v>1</v>
      </c>
      <c r="O47" t="s">
        <v>12</v>
      </c>
      <c r="P47">
        <v>1</v>
      </c>
      <c r="Q47">
        <v>3</v>
      </c>
      <c r="S47" t="s">
        <v>46</v>
      </c>
      <c r="T47" t="s">
        <v>156</v>
      </c>
    </row>
    <row r="48" spans="2:20" x14ac:dyDescent="0.35">
      <c r="B48" s="3">
        <v>11</v>
      </c>
      <c r="D48">
        <v>6</v>
      </c>
      <c r="F48">
        <v>2</v>
      </c>
      <c r="L48">
        <v>2</v>
      </c>
      <c r="M48">
        <v>2</v>
      </c>
      <c r="O48" t="s">
        <v>26</v>
      </c>
      <c r="P48">
        <v>1</v>
      </c>
      <c r="Q48">
        <v>3</v>
      </c>
      <c r="S48" t="s">
        <v>47</v>
      </c>
      <c r="T48" t="s">
        <v>156</v>
      </c>
    </row>
    <row r="49" spans="2:17" x14ac:dyDescent="0.35">
      <c r="B49" s="3">
        <v>14</v>
      </c>
      <c r="D49">
        <v>11</v>
      </c>
      <c r="F49">
        <v>7</v>
      </c>
    </row>
    <row r="50" spans="2:17" x14ac:dyDescent="0.35">
      <c r="P50">
        <f>SUM(P34:P48)</f>
        <v>31</v>
      </c>
      <c r="Q50">
        <f>SUM(Q34:Q48)</f>
        <v>64</v>
      </c>
    </row>
    <row r="51" spans="2:17" x14ac:dyDescent="0.35">
      <c r="B51" t="s">
        <v>19</v>
      </c>
      <c r="D51" t="s">
        <v>149</v>
      </c>
      <c r="F51" t="s">
        <v>20</v>
      </c>
      <c r="H51" t="s">
        <v>21</v>
      </c>
      <c r="J51" t="s">
        <v>22</v>
      </c>
      <c r="L51" t="s">
        <v>23</v>
      </c>
      <c r="M51" t="s">
        <v>24</v>
      </c>
    </row>
    <row r="53" spans="2:17" x14ac:dyDescent="0.35">
      <c r="D53" t="s">
        <v>13</v>
      </c>
      <c r="E53" t="s">
        <v>14</v>
      </c>
      <c r="F53" t="s">
        <v>15</v>
      </c>
      <c r="G53" t="s">
        <v>151</v>
      </c>
      <c r="H53" t="s">
        <v>152</v>
      </c>
      <c r="I53" t="s">
        <v>16</v>
      </c>
      <c r="J53" t="s">
        <v>17</v>
      </c>
      <c r="K53" t="s">
        <v>18</v>
      </c>
    </row>
    <row r="54" spans="2:17" x14ac:dyDescent="0.35">
      <c r="D54" s="3">
        <v>13</v>
      </c>
      <c r="E54" s="3">
        <v>11</v>
      </c>
      <c r="F54">
        <v>9</v>
      </c>
      <c r="G54">
        <v>7</v>
      </c>
      <c r="H54">
        <v>5</v>
      </c>
      <c r="I54">
        <v>3</v>
      </c>
      <c r="J54">
        <v>3</v>
      </c>
      <c r="K54">
        <v>2</v>
      </c>
    </row>
    <row r="55" spans="2:17" x14ac:dyDescent="0.35">
      <c r="D55" s="3">
        <v>16</v>
      </c>
      <c r="E55" s="3">
        <v>13</v>
      </c>
      <c r="F55">
        <v>11</v>
      </c>
      <c r="G55">
        <v>9</v>
      </c>
      <c r="H55">
        <v>7</v>
      </c>
      <c r="I55">
        <v>5</v>
      </c>
      <c r="J55">
        <v>4</v>
      </c>
      <c r="K55">
        <v>3</v>
      </c>
    </row>
    <row r="56" spans="2:17" x14ac:dyDescent="0.35">
      <c r="D56" s="3"/>
      <c r="E56" s="3"/>
    </row>
    <row r="57" spans="2:17" x14ac:dyDescent="0.35">
      <c r="D57" s="3">
        <v>14</v>
      </c>
      <c r="E57" s="3">
        <v>12</v>
      </c>
      <c r="F57">
        <v>10</v>
      </c>
      <c r="G57">
        <v>8</v>
      </c>
      <c r="H57">
        <v>6</v>
      </c>
      <c r="I57">
        <v>4</v>
      </c>
    </row>
    <row r="58" spans="2:17" x14ac:dyDescent="0.35">
      <c r="D58" s="3">
        <v>15</v>
      </c>
      <c r="E58" s="3">
        <v>14</v>
      </c>
      <c r="F58">
        <v>12</v>
      </c>
      <c r="G58">
        <v>10</v>
      </c>
      <c r="H58">
        <v>8</v>
      </c>
      <c r="I58">
        <v>6</v>
      </c>
    </row>
    <row r="60" spans="2:17" x14ac:dyDescent="0.35">
      <c r="D60" t="s">
        <v>158</v>
      </c>
      <c r="E60" t="s">
        <v>157</v>
      </c>
      <c r="F60" t="s">
        <v>96</v>
      </c>
      <c r="G60" t="s">
        <v>95</v>
      </c>
      <c r="H60" t="s">
        <v>94</v>
      </c>
      <c r="I60" t="s">
        <v>93</v>
      </c>
      <c r="J60" t="s">
        <v>92</v>
      </c>
      <c r="K60" t="s">
        <v>91</v>
      </c>
      <c r="L60" t="s">
        <v>90</v>
      </c>
    </row>
    <row r="73" spans="1:20" x14ac:dyDescent="0.35">
      <c r="A73" t="s">
        <v>271</v>
      </c>
      <c r="B73" t="s">
        <v>294</v>
      </c>
      <c r="C73" s="3"/>
      <c r="D73">
        <v>8</v>
      </c>
      <c r="E73">
        <v>1</v>
      </c>
      <c r="L73" t="s">
        <v>452</v>
      </c>
    </row>
    <row r="74" spans="1:20" x14ac:dyDescent="0.35">
      <c r="A74" t="s">
        <v>272</v>
      </c>
      <c r="B74" t="s">
        <v>295</v>
      </c>
      <c r="C74" s="3"/>
      <c r="D74">
        <v>9</v>
      </c>
      <c r="E74">
        <v>8</v>
      </c>
      <c r="L74" t="s">
        <v>453</v>
      </c>
      <c r="P74" t="s">
        <v>3</v>
      </c>
      <c r="Q74" t="s">
        <v>4</v>
      </c>
    </row>
    <row r="75" spans="1:20" x14ac:dyDescent="0.35">
      <c r="A75" t="s">
        <v>273</v>
      </c>
      <c r="B75" t="s">
        <v>296</v>
      </c>
      <c r="C75" s="3"/>
      <c r="G75">
        <v>1</v>
      </c>
      <c r="O75" t="s">
        <v>381</v>
      </c>
      <c r="P75">
        <v>3</v>
      </c>
      <c r="Q75">
        <f t="shared" ref="Q75:Q84" si="3">P75*2</f>
        <v>6</v>
      </c>
      <c r="S75" t="s">
        <v>29</v>
      </c>
      <c r="T75" t="s">
        <v>382</v>
      </c>
    </row>
    <row r="76" spans="1:20" x14ac:dyDescent="0.35">
      <c r="A76" t="s">
        <v>274</v>
      </c>
      <c r="B76" t="s">
        <v>297</v>
      </c>
      <c r="C76" s="3">
        <v>11</v>
      </c>
      <c r="D76">
        <v>5</v>
      </c>
      <c r="E76">
        <v>4</v>
      </c>
      <c r="G76">
        <v>4</v>
      </c>
      <c r="O76" t="s">
        <v>7</v>
      </c>
      <c r="P76">
        <v>4</v>
      </c>
      <c r="Q76">
        <f t="shared" si="3"/>
        <v>8</v>
      </c>
      <c r="S76" t="s">
        <v>30</v>
      </c>
      <c r="T76" t="s">
        <v>36</v>
      </c>
    </row>
    <row r="77" spans="1:20" x14ac:dyDescent="0.35">
      <c r="A77" t="s">
        <v>275</v>
      </c>
      <c r="B77" t="s">
        <v>298</v>
      </c>
      <c r="C77" s="3">
        <v>12</v>
      </c>
      <c r="D77">
        <v>12</v>
      </c>
      <c r="E77">
        <v>5</v>
      </c>
      <c r="O77" t="s">
        <v>186</v>
      </c>
      <c r="P77">
        <v>4</v>
      </c>
      <c r="Q77">
        <f t="shared" si="3"/>
        <v>8</v>
      </c>
      <c r="S77" t="s">
        <v>30</v>
      </c>
      <c r="T77" s="7" t="s">
        <v>35</v>
      </c>
    </row>
    <row r="78" spans="1:20" x14ac:dyDescent="0.35">
      <c r="A78" t="s">
        <v>276</v>
      </c>
      <c r="B78" t="s">
        <v>299</v>
      </c>
      <c r="C78" s="3"/>
      <c r="O78" t="s">
        <v>185</v>
      </c>
      <c r="P78">
        <v>4</v>
      </c>
      <c r="Q78">
        <f t="shared" si="3"/>
        <v>8</v>
      </c>
      <c r="S78" t="s">
        <v>31</v>
      </c>
      <c r="T78" t="s">
        <v>36</v>
      </c>
    </row>
    <row r="79" spans="1:20" x14ac:dyDescent="0.35">
      <c r="A79" t="s">
        <v>277</v>
      </c>
      <c r="B79" t="s">
        <v>300</v>
      </c>
      <c r="C79" s="3">
        <v>12</v>
      </c>
      <c r="I79">
        <v>1</v>
      </c>
      <c r="K79">
        <v>1</v>
      </c>
      <c r="L79">
        <v>1</v>
      </c>
      <c r="O79" t="s">
        <v>187</v>
      </c>
      <c r="P79">
        <v>2</v>
      </c>
      <c r="Q79">
        <f t="shared" si="3"/>
        <v>4</v>
      </c>
      <c r="S79" t="s">
        <v>31</v>
      </c>
      <c r="T79" s="7" t="s">
        <v>35</v>
      </c>
    </row>
    <row r="80" spans="1:20" x14ac:dyDescent="0.35">
      <c r="A80" t="s">
        <v>278</v>
      </c>
      <c r="B80" t="s">
        <v>301</v>
      </c>
      <c r="C80" s="3">
        <v>13</v>
      </c>
      <c r="I80">
        <v>2</v>
      </c>
      <c r="K80">
        <v>2</v>
      </c>
      <c r="L80">
        <v>2</v>
      </c>
      <c r="O80" t="s">
        <v>188</v>
      </c>
      <c r="P80">
        <v>2</v>
      </c>
      <c r="Q80">
        <f t="shared" si="3"/>
        <v>4</v>
      </c>
      <c r="S80" t="s">
        <v>31</v>
      </c>
      <c r="T80" s="7" t="s">
        <v>35</v>
      </c>
    </row>
    <row r="81" spans="1:20" x14ac:dyDescent="0.35">
      <c r="A81" t="s">
        <v>279</v>
      </c>
      <c r="B81" s="3" t="s">
        <v>309</v>
      </c>
      <c r="C81" s="3"/>
      <c r="O81" t="s">
        <v>189</v>
      </c>
      <c r="P81">
        <v>2</v>
      </c>
      <c r="Q81">
        <f t="shared" si="3"/>
        <v>4</v>
      </c>
      <c r="S81" t="s">
        <v>32</v>
      </c>
      <c r="T81" t="s">
        <v>36</v>
      </c>
    </row>
    <row r="82" spans="1:20" x14ac:dyDescent="0.35">
      <c r="A82" t="s">
        <v>280</v>
      </c>
      <c r="B82" s="3" t="s">
        <v>311</v>
      </c>
      <c r="C82" s="3">
        <v>13</v>
      </c>
      <c r="D82">
        <v>6</v>
      </c>
      <c r="E82">
        <v>3</v>
      </c>
      <c r="O82" t="s">
        <v>190</v>
      </c>
      <c r="P82">
        <v>1</v>
      </c>
      <c r="Q82">
        <f t="shared" si="3"/>
        <v>2</v>
      </c>
      <c r="S82" t="s">
        <v>32</v>
      </c>
      <c r="T82" s="7" t="s">
        <v>35</v>
      </c>
    </row>
    <row r="83" spans="1:20" x14ac:dyDescent="0.35">
      <c r="A83" t="s">
        <v>281</v>
      </c>
      <c r="B83" s="3" t="s">
        <v>310</v>
      </c>
      <c r="C83" s="3">
        <v>14</v>
      </c>
      <c r="D83">
        <v>11</v>
      </c>
      <c r="E83">
        <v>6</v>
      </c>
      <c r="G83">
        <v>2</v>
      </c>
      <c r="O83" t="s">
        <v>191</v>
      </c>
      <c r="P83">
        <v>1</v>
      </c>
      <c r="Q83">
        <f t="shared" si="3"/>
        <v>2</v>
      </c>
      <c r="S83" t="s">
        <v>32</v>
      </c>
      <c r="T83" s="7" t="s">
        <v>35</v>
      </c>
    </row>
    <row r="84" spans="1:20" x14ac:dyDescent="0.35">
      <c r="A84" t="s">
        <v>282</v>
      </c>
      <c r="B84" s="3" t="s">
        <v>312</v>
      </c>
      <c r="C84" s="3"/>
      <c r="G84">
        <v>3</v>
      </c>
      <c r="O84" t="s">
        <v>192</v>
      </c>
      <c r="P84">
        <v>1</v>
      </c>
      <c r="Q84">
        <f t="shared" si="3"/>
        <v>2</v>
      </c>
      <c r="S84" t="s">
        <v>33</v>
      </c>
      <c r="T84" t="s">
        <v>35</v>
      </c>
    </row>
    <row r="85" spans="1:20" x14ac:dyDescent="0.35">
      <c r="A85" t="s">
        <v>283</v>
      </c>
      <c r="B85" s="3" t="s">
        <v>304</v>
      </c>
      <c r="C85" s="3"/>
      <c r="D85">
        <v>7</v>
      </c>
      <c r="E85">
        <v>2</v>
      </c>
      <c r="O85" t="s">
        <v>12</v>
      </c>
      <c r="P85">
        <v>1</v>
      </c>
      <c r="Q85">
        <v>3</v>
      </c>
      <c r="S85" t="s">
        <v>34</v>
      </c>
      <c r="T85" t="s">
        <v>156</v>
      </c>
    </row>
    <row r="86" spans="1:20" x14ac:dyDescent="0.35">
      <c r="A86" t="s">
        <v>284</v>
      </c>
      <c r="B86" s="3" t="s">
        <v>305</v>
      </c>
      <c r="C86" s="3"/>
      <c r="D86">
        <v>10</v>
      </c>
      <c r="E86">
        <v>7</v>
      </c>
      <c r="O86" t="s">
        <v>26</v>
      </c>
      <c r="P86">
        <v>1</v>
      </c>
      <c r="Q86">
        <v>3</v>
      </c>
      <c r="S86" t="s">
        <v>46</v>
      </c>
      <c r="T86" t="s">
        <v>156</v>
      </c>
    </row>
    <row r="87" spans="1:20" x14ac:dyDescent="0.35">
      <c r="A87" t="s">
        <v>285</v>
      </c>
      <c r="B87" t="s">
        <v>302</v>
      </c>
      <c r="C87" t="s">
        <v>193</v>
      </c>
      <c r="D87" t="s">
        <v>149</v>
      </c>
      <c r="E87" t="s">
        <v>20</v>
      </c>
      <c r="G87" t="s">
        <v>21</v>
      </c>
      <c r="I87" t="s">
        <v>22</v>
      </c>
      <c r="K87" t="s">
        <v>23</v>
      </c>
      <c r="L87" t="s">
        <v>24</v>
      </c>
    </row>
    <row r="88" spans="1:20" x14ac:dyDescent="0.35">
      <c r="A88" t="s">
        <v>286</v>
      </c>
      <c r="B88" t="s">
        <v>303</v>
      </c>
      <c r="P88">
        <f>SUM(P75:P86)</f>
        <v>26</v>
      </c>
      <c r="Q88">
        <f>SUM(Q75:Q86)</f>
        <v>54</v>
      </c>
    </row>
    <row r="89" spans="1:20" x14ac:dyDescent="0.35">
      <c r="A89" t="s">
        <v>287</v>
      </c>
      <c r="B89" s="3" t="s">
        <v>306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</row>
    <row r="90" spans="1:20" x14ac:dyDescent="0.35">
      <c r="A90" t="s">
        <v>288</v>
      </c>
      <c r="B90" s="3" t="s">
        <v>307</v>
      </c>
      <c r="E90" s="3"/>
      <c r="F90">
        <v>7</v>
      </c>
      <c r="L90" t="s">
        <v>194</v>
      </c>
      <c r="O90" t="s">
        <v>7</v>
      </c>
      <c r="P90">
        <v>4</v>
      </c>
      <c r="Q90">
        <f t="shared" ref="Q90:Q98" si="4">P90*2</f>
        <v>8</v>
      </c>
      <c r="S90" t="s">
        <v>29</v>
      </c>
      <c r="T90" t="s">
        <v>36</v>
      </c>
    </row>
    <row r="91" spans="1:20" x14ac:dyDescent="0.35">
      <c r="A91" t="s">
        <v>289</v>
      </c>
      <c r="B91" s="3" t="s">
        <v>308</v>
      </c>
      <c r="E91" s="3"/>
      <c r="F91">
        <v>9</v>
      </c>
      <c r="G91">
        <v>6</v>
      </c>
      <c r="H91">
        <v>4</v>
      </c>
      <c r="L91" t="s">
        <v>195</v>
      </c>
      <c r="O91" t="s">
        <v>186</v>
      </c>
      <c r="P91">
        <v>4</v>
      </c>
      <c r="Q91">
        <f t="shared" si="4"/>
        <v>8</v>
      </c>
      <c r="S91" t="s">
        <v>29</v>
      </c>
      <c r="T91" t="s">
        <v>35</v>
      </c>
    </row>
    <row r="92" spans="1:20" x14ac:dyDescent="0.35">
      <c r="A92" t="s">
        <v>290</v>
      </c>
      <c r="B92" t="s">
        <v>313</v>
      </c>
      <c r="E92" s="3"/>
      <c r="G92">
        <v>7</v>
      </c>
      <c r="H92">
        <v>6</v>
      </c>
      <c r="O92" t="s">
        <v>185</v>
      </c>
      <c r="P92">
        <v>4</v>
      </c>
      <c r="Q92">
        <f t="shared" si="4"/>
        <v>8</v>
      </c>
      <c r="S92" t="s">
        <v>30</v>
      </c>
      <c r="T92" t="s">
        <v>36</v>
      </c>
    </row>
    <row r="93" spans="1:20" x14ac:dyDescent="0.35">
      <c r="A93" t="s">
        <v>291</v>
      </c>
      <c r="B93" s="3" t="s">
        <v>314</v>
      </c>
      <c r="F93">
        <v>6</v>
      </c>
      <c r="O93" t="s">
        <v>187</v>
      </c>
      <c r="P93">
        <v>2</v>
      </c>
      <c r="Q93">
        <f t="shared" si="4"/>
        <v>4</v>
      </c>
      <c r="S93" t="s">
        <v>30</v>
      </c>
      <c r="T93" s="7" t="s">
        <v>35</v>
      </c>
    </row>
    <row r="94" spans="1:20" x14ac:dyDescent="0.35">
      <c r="A94" t="s">
        <v>292</v>
      </c>
      <c r="B94" s="3" t="s">
        <v>315</v>
      </c>
      <c r="F94">
        <v>12</v>
      </c>
      <c r="I94">
        <v>3</v>
      </c>
      <c r="J94">
        <v>2</v>
      </c>
      <c r="O94" t="s">
        <v>188</v>
      </c>
      <c r="P94">
        <v>2</v>
      </c>
      <c r="Q94">
        <f t="shared" si="4"/>
        <v>4</v>
      </c>
      <c r="S94" t="s">
        <v>30</v>
      </c>
      <c r="T94" s="7" t="s">
        <v>35</v>
      </c>
    </row>
    <row r="95" spans="1:20" x14ac:dyDescent="0.35">
      <c r="A95" t="s">
        <v>293</v>
      </c>
      <c r="B95" s="3" t="s">
        <v>316</v>
      </c>
      <c r="E95" s="3"/>
      <c r="I95">
        <v>4</v>
      </c>
      <c r="J95">
        <v>3</v>
      </c>
      <c r="O95" t="s">
        <v>189</v>
      </c>
      <c r="P95">
        <v>2</v>
      </c>
      <c r="Q95">
        <f t="shared" si="4"/>
        <v>4</v>
      </c>
      <c r="S95" t="s">
        <v>31</v>
      </c>
      <c r="T95" t="s">
        <v>36</v>
      </c>
    </row>
    <row r="96" spans="1:20" x14ac:dyDescent="0.35">
      <c r="E96" s="3"/>
      <c r="F96">
        <v>5</v>
      </c>
      <c r="O96" t="s">
        <v>190</v>
      </c>
      <c r="P96">
        <v>1</v>
      </c>
      <c r="Q96">
        <f t="shared" si="4"/>
        <v>2</v>
      </c>
      <c r="S96" t="s">
        <v>31</v>
      </c>
      <c r="T96" s="7" t="s">
        <v>35</v>
      </c>
    </row>
    <row r="97" spans="5:22" x14ac:dyDescent="0.35">
      <c r="E97" s="3"/>
      <c r="F97">
        <v>11</v>
      </c>
      <c r="G97">
        <v>5</v>
      </c>
      <c r="H97">
        <v>3</v>
      </c>
      <c r="O97" t="s">
        <v>191</v>
      </c>
      <c r="P97">
        <v>1</v>
      </c>
      <c r="Q97">
        <f t="shared" si="4"/>
        <v>2</v>
      </c>
      <c r="S97" t="s">
        <v>31</v>
      </c>
      <c r="T97" s="7" t="s">
        <v>35</v>
      </c>
    </row>
    <row r="98" spans="5:22" x14ac:dyDescent="0.35">
      <c r="E98" s="3"/>
      <c r="G98">
        <v>8</v>
      </c>
      <c r="H98">
        <v>5</v>
      </c>
      <c r="O98" t="s">
        <v>192</v>
      </c>
      <c r="P98">
        <v>1</v>
      </c>
      <c r="Q98">
        <f t="shared" si="4"/>
        <v>2</v>
      </c>
      <c r="S98" t="s">
        <v>32</v>
      </c>
      <c r="T98" t="s">
        <v>35</v>
      </c>
    </row>
    <row r="99" spans="5:22" x14ac:dyDescent="0.35">
      <c r="E99" s="3"/>
      <c r="F99">
        <v>8</v>
      </c>
      <c r="O99" t="s">
        <v>12</v>
      </c>
      <c r="P99">
        <v>1</v>
      </c>
      <c r="Q99">
        <v>3</v>
      </c>
      <c r="S99" t="s">
        <v>33</v>
      </c>
      <c r="T99" t="s">
        <v>156</v>
      </c>
    </row>
    <row r="100" spans="5:22" x14ac:dyDescent="0.35">
      <c r="E100" s="3"/>
      <c r="F100">
        <v>10</v>
      </c>
      <c r="O100" t="s">
        <v>26</v>
      </c>
      <c r="P100">
        <v>1</v>
      </c>
      <c r="Q100">
        <v>3</v>
      </c>
      <c r="S100" t="s">
        <v>34</v>
      </c>
      <c r="T100" t="s">
        <v>156</v>
      </c>
    </row>
    <row r="102" spans="5:22" x14ac:dyDescent="0.35">
      <c r="P102">
        <f>SUM(P90:P100)</f>
        <v>23</v>
      </c>
      <c r="Q102">
        <f>SUM(Q90:Q100)</f>
        <v>48</v>
      </c>
    </row>
    <row r="107" spans="5:22" x14ac:dyDescent="0.35">
      <c r="E107" t="s">
        <v>3470</v>
      </c>
      <c r="G107" t="s">
        <v>3469</v>
      </c>
      <c r="I107" t="s">
        <v>3470</v>
      </c>
      <c r="K107" t="s">
        <v>3469</v>
      </c>
      <c r="M107" t="s">
        <v>3470</v>
      </c>
      <c r="P107" t="s">
        <v>3469</v>
      </c>
      <c r="R107" t="s">
        <v>3469</v>
      </c>
      <c r="T107" t="s">
        <v>3481</v>
      </c>
      <c r="V107" t="s">
        <v>3481</v>
      </c>
    </row>
    <row r="109" spans="5:22" x14ac:dyDescent="0.35">
      <c r="E109">
        <v>1</v>
      </c>
    </row>
    <row r="110" spans="5:22" x14ac:dyDescent="0.35">
      <c r="E110">
        <v>16</v>
      </c>
    </row>
    <row r="112" spans="5:22" x14ac:dyDescent="0.35">
      <c r="E112">
        <v>8</v>
      </c>
    </row>
    <row r="113" spans="5:22" x14ac:dyDescent="0.35">
      <c r="E113">
        <v>9</v>
      </c>
    </row>
    <row r="115" spans="5:22" x14ac:dyDescent="0.35">
      <c r="E115">
        <v>5</v>
      </c>
      <c r="G115">
        <v>1</v>
      </c>
    </row>
    <row r="116" spans="5:22" x14ac:dyDescent="0.35">
      <c r="E116">
        <v>12</v>
      </c>
      <c r="G116">
        <v>8</v>
      </c>
    </row>
    <row r="118" spans="5:22" x14ac:dyDescent="0.35">
      <c r="E118">
        <v>4</v>
      </c>
      <c r="G118">
        <v>5</v>
      </c>
      <c r="K118">
        <v>1</v>
      </c>
    </row>
    <row r="119" spans="5:22" x14ac:dyDescent="0.35">
      <c r="E119">
        <v>13</v>
      </c>
      <c r="G119">
        <v>4</v>
      </c>
      <c r="K119">
        <v>4</v>
      </c>
      <c r="P119">
        <v>1</v>
      </c>
    </row>
    <row r="120" spans="5:22" x14ac:dyDescent="0.35">
      <c r="P120">
        <v>2</v>
      </c>
    </row>
    <row r="121" spans="5:22" x14ac:dyDescent="0.35">
      <c r="E121">
        <v>3</v>
      </c>
      <c r="G121">
        <v>3</v>
      </c>
      <c r="K121">
        <v>3</v>
      </c>
    </row>
    <row r="122" spans="5:22" x14ac:dyDescent="0.35">
      <c r="E122">
        <v>14</v>
      </c>
      <c r="G122">
        <v>6</v>
      </c>
      <c r="K122">
        <v>2</v>
      </c>
    </row>
    <row r="124" spans="5:22" x14ac:dyDescent="0.35">
      <c r="E124">
        <v>6</v>
      </c>
      <c r="G124">
        <v>7</v>
      </c>
    </row>
    <row r="125" spans="5:22" x14ac:dyDescent="0.35">
      <c r="E125">
        <v>11</v>
      </c>
      <c r="G125">
        <v>2</v>
      </c>
    </row>
    <row r="127" spans="5:22" x14ac:dyDescent="0.35">
      <c r="E127">
        <v>7</v>
      </c>
      <c r="T127">
        <v>1</v>
      </c>
      <c r="V127">
        <v>2</v>
      </c>
    </row>
    <row r="128" spans="5:22" x14ac:dyDescent="0.35">
      <c r="E128">
        <v>10</v>
      </c>
      <c r="T128">
        <v>2</v>
      </c>
      <c r="V128">
        <v>1</v>
      </c>
    </row>
    <row r="130" spans="5:18" x14ac:dyDescent="0.35">
      <c r="E130">
        <v>2</v>
      </c>
      <c r="I130">
        <v>5678</v>
      </c>
      <c r="K130">
        <v>34</v>
      </c>
    </row>
    <row r="131" spans="5:18" x14ac:dyDescent="0.35">
      <c r="E131">
        <v>15</v>
      </c>
    </row>
    <row r="133" spans="5:18" x14ac:dyDescent="0.35">
      <c r="G133">
        <v>16</v>
      </c>
      <c r="I133">
        <v>7</v>
      </c>
    </row>
    <row r="134" spans="5:18" x14ac:dyDescent="0.35">
      <c r="G134">
        <v>9</v>
      </c>
      <c r="I134">
        <v>9</v>
      </c>
    </row>
    <row r="136" spans="5:18" x14ac:dyDescent="0.35">
      <c r="G136">
        <v>14</v>
      </c>
      <c r="I136">
        <v>11</v>
      </c>
      <c r="K136">
        <v>7</v>
      </c>
      <c r="M136">
        <v>3</v>
      </c>
    </row>
    <row r="137" spans="5:18" x14ac:dyDescent="0.35">
      <c r="G137">
        <v>11</v>
      </c>
      <c r="I137">
        <v>5</v>
      </c>
      <c r="K137">
        <v>5</v>
      </c>
      <c r="M137">
        <v>5</v>
      </c>
      <c r="P137">
        <v>3</v>
      </c>
      <c r="R137">
        <v>2</v>
      </c>
    </row>
    <row r="138" spans="5:18" x14ac:dyDescent="0.35">
      <c r="P138">
        <v>4</v>
      </c>
      <c r="R138">
        <v>3</v>
      </c>
    </row>
    <row r="139" spans="5:18" x14ac:dyDescent="0.35">
      <c r="G139">
        <v>12</v>
      </c>
      <c r="I139">
        <v>12</v>
      </c>
      <c r="K139">
        <v>6</v>
      </c>
      <c r="M139">
        <v>6</v>
      </c>
    </row>
    <row r="140" spans="5:18" x14ac:dyDescent="0.35">
      <c r="G140">
        <v>13</v>
      </c>
      <c r="I140">
        <v>6</v>
      </c>
      <c r="K140">
        <v>8</v>
      </c>
      <c r="M140">
        <v>4</v>
      </c>
    </row>
    <row r="142" spans="5:18" x14ac:dyDescent="0.35">
      <c r="G142">
        <v>10</v>
      </c>
      <c r="I142">
        <v>10</v>
      </c>
    </row>
    <row r="143" spans="5:18" x14ac:dyDescent="0.35">
      <c r="G143">
        <v>15</v>
      </c>
      <c r="I143">
        <v>8</v>
      </c>
    </row>
    <row r="145" spans="5:22" x14ac:dyDescent="0.35">
      <c r="E145" t="s">
        <v>3471</v>
      </c>
      <c r="G145">
        <v>16</v>
      </c>
      <c r="I145">
        <v>8</v>
      </c>
      <c r="K145">
        <v>8</v>
      </c>
      <c r="M145">
        <v>4</v>
      </c>
      <c r="P145">
        <v>4</v>
      </c>
      <c r="R145">
        <v>2</v>
      </c>
      <c r="T145" t="s">
        <v>3472</v>
      </c>
      <c r="V145" t="s">
        <v>3473</v>
      </c>
    </row>
    <row r="146" spans="5:22" x14ac:dyDescent="0.35">
      <c r="O146" t="s">
        <v>3474</v>
      </c>
    </row>
    <row r="149" spans="5:22" x14ac:dyDescent="0.35">
      <c r="H149" t="s">
        <v>70</v>
      </c>
      <c r="I149" t="s">
        <v>71</v>
      </c>
      <c r="J149" t="s">
        <v>81</v>
      </c>
      <c r="K149" t="s">
        <v>82</v>
      </c>
    </row>
    <row r="150" spans="5:22" x14ac:dyDescent="0.35">
      <c r="H150" t="s">
        <v>3475</v>
      </c>
      <c r="I150" t="s">
        <v>3476</v>
      </c>
      <c r="J150" t="s">
        <v>3477</v>
      </c>
      <c r="K150" t="s">
        <v>3477</v>
      </c>
    </row>
    <row r="151" spans="5:22" x14ac:dyDescent="0.35">
      <c r="H151" t="s">
        <v>14</v>
      </c>
      <c r="I151" t="s">
        <v>14</v>
      </c>
      <c r="J151" t="s">
        <v>3478</v>
      </c>
      <c r="K151" t="s">
        <v>3478</v>
      </c>
    </row>
    <row r="152" spans="5:22" x14ac:dyDescent="0.35">
      <c r="H152" t="s">
        <v>15</v>
      </c>
      <c r="I152" t="s">
        <v>15</v>
      </c>
      <c r="J152" t="s">
        <v>3479</v>
      </c>
      <c r="K152" t="s">
        <v>3479</v>
      </c>
    </row>
    <row r="153" spans="5:22" x14ac:dyDescent="0.35">
      <c r="J153" t="s">
        <v>18</v>
      </c>
      <c r="K153" t="s">
        <v>18</v>
      </c>
    </row>
    <row r="154" spans="5:22" x14ac:dyDescent="0.35">
      <c r="H154" t="s">
        <v>23</v>
      </c>
      <c r="I154" t="s">
        <v>23</v>
      </c>
      <c r="K154" t="s">
        <v>23</v>
      </c>
    </row>
    <row r="155" spans="5:22" x14ac:dyDescent="0.35">
      <c r="H155" t="s">
        <v>3480</v>
      </c>
      <c r="I155" t="s">
        <v>3480</v>
      </c>
      <c r="K155" t="s">
        <v>3480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49"/>
  <sheetViews>
    <sheetView topLeftCell="A13" workbookViewId="0">
      <selection activeCell="A21" sqref="A21"/>
    </sheetView>
  </sheetViews>
  <sheetFormatPr defaultRowHeight="14.5" x14ac:dyDescent="0.35"/>
  <cols>
    <col min="3" max="3" width="17.81640625" customWidth="1"/>
    <col min="5" max="5" width="4.90625" style="11" customWidth="1"/>
    <col min="6" max="6" width="17.81640625" customWidth="1"/>
    <col min="8" max="8" width="17.81640625" customWidth="1"/>
    <col min="10" max="10" width="4.90625" style="11" customWidth="1"/>
    <col min="11" max="11" width="17.81640625" customWidth="1"/>
    <col min="13" max="13" width="17.81640625" customWidth="1"/>
    <col min="15" max="15" width="4.90625" style="11" customWidth="1"/>
    <col min="16" max="16" width="17.81640625" customWidth="1"/>
  </cols>
  <sheetData>
    <row r="2" spans="4:16" x14ac:dyDescent="0.35">
      <c r="D2" t="s">
        <v>248</v>
      </c>
      <c r="E2" s="11" t="s">
        <v>243</v>
      </c>
      <c r="H2" t="s">
        <v>7</v>
      </c>
      <c r="I2" t="s">
        <v>386</v>
      </c>
      <c r="J2" s="11" t="s">
        <v>354</v>
      </c>
      <c r="M2" t="s">
        <v>381</v>
      </c>
      <c r="N2" t="s">
        <v>458</v>
      </c>
      <c r="O2" s="11" t="s">
        <v>358</v>
      </c>
    </row>
    <row r="3" spans="4:16" x14ac:dyDescent="0.35">
      <c r="E3" s="11" t="s">
        <v>244</v>
      </c>
      <c r="J3" s="11" t="s">
        <v>355</v>
      </c>
      <c r="O3" s="11" t="s">
        <v>353</v>
      </c>
    </row>
    <row r="4" spans="4:16" x14ac:dyDescent="0.35">
      <c r="E4" s="11" t="s">
        <v>362</v>
      </c>
      <c r="I4" t="s">
        <v>387</v>
      </c>
      <c r="J4" s="11" t="s">
        <v>356</v>
      </c>
      <c r="N4" t="s">
        <v>459</v>
      </c>
      <c r="O4" s="11" t="s">
        <v>384</v>
      </c>
    </row>
    <row r="5" spans="4:16" x14ac:dyDescent="0.35">
      <c r="E5" s="11" t="s">
        <v>361</v>
      </c>
      <c r="J5" s="11" t="s">
        <v>353</v>
      </c>
      <c r="K5" t="s">
        <v>461</v>
      </c>
      <c r="O5" s="11" t="s">
        <v>385</v>
      </c>
    </row>
    <row r="6" spans="4:16" x14ac:dyDescent="0.35">
      <c r="E6" s="11" t="s">
        <v>356</v>
      </c>
      <c r="I6" t="s">
        <v>388</v>
      </c>
      <c r="J6" s="11" t="s">
        <v>357</v>
      </c>
      <c r="N6" t="s">
        <v>460</v>
      </c>
      <c r="P6" t="s">
        <v>463</v>
      </c>
    </row>
    <row r="7" spans="4:16" x14ac:dyDescent="0.35">
      <c r="E7" s="11" t="s">
        <v>357</v>
      </c>
      <c r="J7" s="11" t="s">
        <v>358</v>
      </c>
      <c r="K7" t="s">
        <v>462</v>
      </c>
      <c r="P7" t="s">
        <v>464</v>
      </c>
    </row>
    <row r="8" spans="4:16" x14ac:dyDescent="0.35">
      <c r="E8" s="11" t="s">
        <v>359</v>
      </c>
      <c r="I8" t="s">
        <v>389</v>
      </c>
      <c r="J8" s="11" t="s">
        <v>359</v>
      </c>
    </row>
    <row r="9" spans="4:16" x14ac:dyDescent="0.35">
      <c r="E9" s="11" t="s">
        <v>354</v>
      </c>
      <c r="J9" s="11" t="s">
        <v>360</v>
      </c>
    </row>
    <row r="10" spans="4:16" x14ac:dyDescent="0.35">
      <c r="E10" s="11" t="s">
        <v>355</v>
      </c>
    </row>
    <row r="11" spans="4:16" x14ac:dyDescent="0.35">
      <c r="E11" s="11" t="s">
        <v>360</v>
      </c>
      <c r="H11" t="s">
        <v>364</v>
      </c>
      <c r="I11" t="s">
        <v>390</v>
      </c>
      <c r="J11" s="11" t="s">
        <v>243</v>
      </c>
    </row>
    <row r="12" spans="4:16" x14ac:dyDescent="0.35">
      <c r="E12" s="11" t="s">
        <v>358</v>
      </c>
      <c r="K12" t="s">
        <v>391</v>
      </c>
    </row>
    <row r="13" spans="4:16" x14ac:dyDescent="0.35">
      <c r="E13" s="11" t="s">
        <v>353</v>
      </c>
      <c r="I13" t="s">
        <v>392</v>
      </c>
      <c r="J13" s="11" t="s">
        <v>361</v>
      </c>
    </row>
    <row r="14" spans="4:16" x14ac:dyDescent="0.35">
      <c r="E14" s="11" t="s">
        <v>384</v>
      </c>
      <c r="K14" t="s">
        <v>393</v>
      </c>
    </row>
    <row r="15" spans="4:16" x14ac:dyDescent="0.35">
      <c r="E15" s="11" t="s">
        <v>385</v>
      </c>
      <c r="I15" t="s">
        <v>394</v>
      </c>
      <c r="J15" s="11" t="s">
        <v>362</v>
      </c>
    </row>
    <row r="16" spans="4:16" x14ac:dyDescent="0.35">
      <c r="K16" t="s">
        <v>395</v>
      </c>
    </row>
    <row r="17" spans="1:11" x14ac:dyDescent="0.35">
      <c r="I17" t="s">
        <v>396</v>
      </c>
      <c r="J17" s="11" t="s">
        <v>244</v>
      </c>
    </row>
    <row r="18" spans="1:11" x14ac:dyDescent="0.35">
      <c r="K18" t="s">
        <v>397</v>
      </c>
    </row>
    <row r="20" spans="1:11" x14ac:dyDescent="0.35">
      <c r="C20" t="s">
        <v>363</v>
      </c>
      <c r="D20" t="s">
        <v>398</v>
      </c>
      <c r="F20" t="s">
        <v>399</v>
      </c>
    </row>
    <row r="21" spans="1:11" x14ac:dyDescent="0.35">
      <c r="F21" t="s">
        <v>400</v>
      </c>
    </row>
    <row r="22" spans="1:11" x14ac:dyDescent="0.35">
      <c r="A22">
        <v>12</v>
      </c>
      <c r="D22" t="s">
        <v>401</v>
      </c>
      <c r="F22" t="s">
        <v>402</v>
      </c>
    </row>
    <row r="23" spans="1:11" x14ac:dyDescent="0.35">
      <c r="A23">
        <v>11</v>
      </c>
      <c r="F23" t="s">
        <v>403</v>
      </c>
    </row>
    <row r="24" spans="1:11" x14ac:dyDescent="0.35">
      <c r="A24">
        <v>10</v>
      </c>
      <c r="D24" t="s">
        <v>404</v>
      </c>
      <c r="F24" t="s">
        <v>405</v>
      </c>
    </row>
    <row r="25" spans="1:11" x14ac:dyDescent="0.35">
      <c r="A25">
        <v>9</v>
      </c>
      <c r="F25" t="s">
        <v>406</v>
      </c>
    </row>
    <row r="26" spans="1:11" x14ac:dyDescent="0.35">
      <c r="D26" t="s">
        <v>407</v>
      </c>
      <c r="F26" t="s">
        <v>408</v>
      </c>
    </row>
    <row r="27" spans="1:11" x14ac:dyDescent="0.35">
      <c r="F27" t="s">
        <v>409</v>
      </c>
    </row>
    <row r="29" spans="1:11" x14ac:dyDescent="0.35">
      <c r="C29" t="s">
        <v>366</v>
      </c>
      <c r="D29" t="s">
        <v>410</v>
      </c>
      <c r="F29" t="s">
        <v>411</v>
      </c>
      <c r="H29" t="s">
        <v>365</v>
      </c>
      <c r="I29" t="s">
        <v>412</v>
      </c>
      <c r="K29" t="s">
        <v>413</v>
      </c>
    </row>
    <row r="30" spans="1:11" x14ac:dyDescent="0.35">
      <c r="A30">
        <v>8</v>
      </c>
      <c r="F30" t="s">
        <v>414</v>
      </c>
      <c r="K30" t="s">
        <v>415</v>
      </c>
    </row>
    <row r="31" spans="1:11" x14ac:dyDescent="0.35">
      <c r="A31">
        <v>7</v>
      </c>
      <c r="D31" t="s">
        <v>416</v>
      </c>
      <c r="F31" t="s">
        <v>417</v>
      </c>
      <c r="I31" t="s">
        <v>418</v>
      </c>
      <c r="K31" t="s">
        <v>419</v>
      </c>
    </row>
    <row r="32" spans="1:11" x14ac:dyDescent="0.35">
      <c r="F32" t="s">
        <v>420</v>
      </c>
      <c r="K32" t="s">
        <v>421</v>
      </c>
    </row>
    <row r="34" spans="1:11" x14ac:dyDescent="0.35">
      <c r="C34" t="s">
        <v>367</v>
      </c>
      <c r="D34" t="s">
        <v>422</v>
      </c>
      <c r="F34" t="s">
        <v>423</v>
      </c>
    </row>
    <row r="35" spans="1:11" x14ac:dyDescent="0.35">
      <c r="A35">
        <v>6</v>
      </c>
      <c r="F35" t="s">
        <v>424</v>
      </c>
    </row>
    <row r="36" spans="1:11" x14ac:dyDescent="0.35">
      <c r="A36">
        <v>5</v>
      </c>
      <c r="D36" t="s">
        <v>425</v>
      </c>
      <c r="F36" t="s">
        <v>426</v>
      </c>
    </row>
    <row r="37" spans="1:11" x14ac:dyDescent="0.35">
      <c r="F37" t="s">
        <v>427</v>
      </c>
    </row>
    <row r="39" spans="1:11" x14ac:dyDescent="0.35">
      <c r="A39">
        <v>4</v>
      </c>
      <c r="C39" t="s">
        <v>368</v>
      </c>
      <c r="D39" t="s">
        <v>428</v>
      </c>
      <c r="F39" t="s">
        <v>429</v>
      </c>
      <c r="H39" t="s">
        <v>369</v>
      </c>
      <c r="I39" t="s">
        <v>430</v>
      </c>
      <c r="K39" t="s">
        <v>431</v>
      </c>
    </row>
    <row r="40" spans="1:11" x14ac:dyDescent="0.35">
      <c r="F40" t="s">
        <v>432</v>
      </c>
      <c r="K40" t="s">
        <v>433</v>
      </c>
    </row>
    <row r="42" spans="1:11" x14ac:dyDescent="0.35">
      <c r="A42">
        <v>3</v>
      </c>
      <c r="C42" t="s">
        <v>192</v>
      </c>
      <c r="D42" t="s">
        <v>434</v>
      </c>
      <c r="F42" t="s">
        <v>435</v>
      </c>
    </row>
    <row r="43" spans="1:11" x14ac:dyDescent="0.35">
      <c r="F43" t="s">
        <v>436</v>
      </c>
    </row>
    <row r="45" spans="1:11" x14ac:dyDescent="0.35">
      <c r="H45" t="s">
        <v>12</v>
      </c>
      <c r="I45" t="s">
        <v>437</v>
      </c>
      <c r="K45" t="s">
        <v>438</v>
      </c>
    </row>
    <row r="46" spans="1:11" x14ac:dyDescent="0.35">
      <c r="K46" t="s">
        <v>439</v>
      </c>
    </row>
    <row r="47" spans="1:11" x14ac:dyDescent="0.35">
      <c r="A47">
        <v>2</v>
      </c>
    </row>
    <row r="48" spans="1:11" x14ac:dyDescent="0.35">
      <c r="A48">
        <v>1</v>
      </c>
      <c r="C48" t="s">
        <v>370</v>
      </c>
      <c r="D48" t="s">
        <v>440</v>
      </c>
      <c r="F48" t="s">
        <v>441</v>
      </c>
    </row>
    <row r="49" spans="6:6" x14ac:dyDescent="0.35">
      <c r="F49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V113"/>
  <sheetViews>
    <sheetView topLeftCell="A47" workbookViewId="0">
      <selection activeCell="D61" sqref="D61:G73"/>
    </sheetView>
  </sheetViews>
  <sheetFormatPr defaultRowHeight="14.5" x14ac:dyDescent="0.35"/>
  <cols>
    <col min="3" max="3" width="8.90625" style="11"/>
  </cols>
  <sheetData>
    <row r="2" spans="3:22" x14ac:dyDescent="0.35">
      <c r="L2" s="15">
        <v>0.99815418573712111</v>
      </c>
      <c r="M2">
        <v>112</v>
      </c>
      <c r="O2">
        <f>L2*M2</f>
        <v>111.79326880255756</v>
      </c>
      <c r="P2">
        <f>ROUNDDOWN(O2,0)+1</f>
        <v>112</v>
      </c>
      <c r="Q2">
        <f>ROUND(O2, 0)</f>
        <v>112</v>
      </c>
      <c r="S2">
        <v>128</v>
      </c>
      <c r="T2">
        <f>L2*S2</f>
        <v>127.7637357743515</v>
      </c>
      <c r="U2">
        <f>ROUND(T2, 0)</f>
        <v>128</v>
      </c>
      <c r="V2">
        <v>121</v>
      </c>
    </row>
    <row r="3" spans="3:22" x14ac:dyDescent="0.35">
      <c r="D3" t="s">
        <v>97</v>
      </c>
      <c r="E3" t="s">
        <v>68</v>
      </c>
      <c r="F3" t="s">
        <v>66</v>
      </c>
      <c r="G3" t="s">
        <v>0</v>
      </c>
      <c r="H3" t="s">
        <v>67</v>
      </c>
      <c r="I3" t="s">
        <v>105</v>
      </c>
      <c r="L3" s="15">
        <v>0.95589641699323113</v>
      </c>
      <c r="M3">
        <v>111</v>
      </c>
      <c r="O3">
        <f t="shared" ref="O3:O66" si="0">L3*M3</f>
        <v>106.10450228624866</v>
      </c>
      <c r="P3">
        <f t="shared" ref="P3:P33" si="1">ROUNDDOWN(O3,0)+1</f>
        <v>107</v>
      </c>
      <c r="Q3">
        <f t="shared" ref="Q3:Q66" si="2">ROUND(O3, 0)</f>
        <v>106</v>
      </c>
      <c r="S3">
        <v>127</v>
      </c>
      <c r="T3">
        <f t="shared" ref="T3:T66" si="3">L3*S3</f>
        <v>121.39884495814036</v>
      </c>
      <c r="U3">
        <f t="shared" ref="U3:U66" si="4">ROUND(T3, 0)</f>
        <v>121</v>
      </c>
      <c r="V3">
        <v>113</v>
      </c>
    </row>
    <row r="4" spans="3:22" x14ac:dyDescent="0.35">
      <c r="C4" s="11">
        <v>1</v>
      </c>
      <c r="D4" s="13">
        <v>24</v>
      </c>
      <c r="E4" s="13">
        <v>16</v>
      </c>
      <c r="F4" s="13">
        <v>24</v>
      </c>
      <c r="G4" s="13">
        <v>32</v>
      </c>
      <c r="H4" s="13">
        <v>48</v>
      </c>
      <c r="I4" s="13">
        <v>64</v>
      </c>
      <c r="L4" s="15">
        <v>0.94989295732327617</v>
      </c>
      <c r="M4">
        <v>110</v>
      </c>
      <c r="O4">
        <f t="shared" si="0"/>
        <v>104.48822530556038</v>
      </c>
      <c r="P4">
        <f t="shared" si="1"/>
        <v>105</v>
      </c>
      <c r="Q4">
        <f t="shared" si="2"/>
        <v>104</v>
      </c>
      <c r="S4">
        <v>126</v>
      </c>
      <c r="T4">
        <f t="shared" si="3"/>
        <v>119.68651262273279</v>
      </c>
      <c r="U4">
        <f t="shared" si="4"/>
        <v>120</v>
      </c>
      <c r="V4">
        <v>105</v>
      </c>
    </row>
    <row r="5" spans="3:22" x14ac:dyDescent="0.35">
      <c r="C5" s="11">
        <v>2</v>
      </c>
      <c r="D5" s="13">
        <v>16</v>
      </c>
      <c r="E5" s="13">
        <v>8</v>
      </c>
      <c r="F5" s="13">
        <v>16</v>
      </c>
      <c r="G5" s="13">
        <v>24</v>
      </c>
      <c r="H5" s="13">
        <v>32</v>
      </c>
      <c r="I5" s="13">
        <v>48</v>
      </c>
      <c r="L5" s="15">
        <v>0.9130338693004576</v>
      </c>
      <c r="M5">
        <v>109</v>
      </c>
      <c r="O5">
        <f t="shared" si="0"/>
        <v>99.520691753749873</v>
      </c>
      <c r="P5">
        <f t="shared" si="1"/>
        <v>100</v>
      </c>
      <c r="Q5">
        <f t="shared" si="2"/>
        <v>100</v>
      </c>
      <c r="S5">
        <v>125</v>
      </c>
      <c r="T5">
        <f t="shared" si="3"/>
        <v>114.1292336625572</v>
      </c>
      <c r="U5">
        <f t="shared" si="4"/>
        <v>114</v>
      </c>
      <c r="V5">
        <v>97</v>
      </c>
    </row>
    <row r="6" spans="3:22" x14ac:dyDescent="0.35">
      <c r="C6" s="11">
        <v>3</v>
      </c>
      <c r="D6" s="14"/>
      <c r="E6" s="122">
        <v>4</v>
      </c>
      <c r="F6" s="122">
        <v>8</v>
      </c>
      <c r="G6" s="122">
        <v>16</v>
      </c>
      <c r="H6" s="122">
        <v>24</v>
      </c>
      <c r="I6" s="13">
        <v>40</v>
      </c>
      <c r="L6" s="15">
        <v>0.89541494119186815</v>
      </c>
      <c r="M6">
        <v>108</v>
      </c>
      <c r="O6">
        <f t="shared" si="0"/>
        <v>96.704813648721768</v>
      </c>
      <c r="P6">
        <f t="shared" si="1"/>
        <v>97</v>
      </c>
      <c r="Q6">
        <f t="shared" si="2"/>
        <v>97</v>
      </c>
      <c r="S6">
        <v>124</v>
      </c>
      <c r="T6">
        <f t="shared" si="3"/>
        <v>111.03145270779166</v>
      </c>
      <c r="U6">
        <f t="shared" si="4"/>
        <v>111</v>
      </c>
      <c r="V6">
        <v>89</v>
      </c>
    </row>
    <row r="7" spans="3:22" x14ac:dyDescent="0.35">
      <c r="C7" s="11">
        <v>4</v>
      </c>
      <c r="D7" s="14"/>
      <c r="E7" s="122"/>
      <c r="F7" s="122"/>
      <c r="G7" s="122"/>
      <c r="H7" s="122"/>
      <c r="I7" s="13">
        <v>32</v>
      </c>
      <c r="L7" s="15">
        <v>0.84842567381754563</v>
      </c>
      <c r="M7">
        <v>107</v>
      </c>
      <c r="O7">
        <f t="shared" si="0"/>
        <v>90.78154709847739</v>
      </c>
      <c r="P7">
        <f t="shared" si="1"/>
        <v>91</v>
      </c>
      <c r="Q7">
        <f t="shared" si="2"/>
        <v>91</v>
      </c>
      <c r="S7">
        <v>123</v>
      </c>
      <c r="T7">
        <f t="shared" si="3"/>
        <v>104.35635787955812</v>
      </c>
      <c r="U7">
        <f t="shared" si="4"/>
        <v>104</v>
      </c>
      <c r="V7">
        <v>81</v>
      </c>
    </row>
    <row r="8" spans="3:22" x14ac:dyDescent="0.35">
      <c r="C8" s="12" t="s">
        <v>98</v>
      </c>
      <c r="D8" s="14"/>
      <c r="E8" s="122">
        <v>2</v>
      </c>
      <c r="F8" s="122">
        <v>4</v>
      </c>
      <c r="G8" s="122">
        <v>8</v>
      </c>
      <c r="H8" s="122">
        <v>16</v>
      </c>
      <c r="I8" s="13">
        <v>28</v>
      </c>
      <c r="L8" s="15">
        <v>0.83368875582956181</v>
      </c>
      <c r="M8">
        <v>106</v>
      </c>
      <c r="O8">
        <f t="shared" si="0"/>
        <v>88.371008117933556</v>
      </c>
      <c r="P8">
        <f t="shared" si="1"/>
        <v>89</v>
      </c>
      <c r="Q8">
        <f t="shared" si="2"/>
        <v>88</v>
      </c>
      <c r="S8">
        <v>122</v>
      </c>
      <c r="T8">
        <f t="shared" si="3"/>
        <v>101.71002821120653</v>
      </c>
      <c r="U8">
        <f t="shared" si="4"/>
        <v>102</v>
      </c>
      <c r="V8">
        <v>73</v>
      </c>
    </row>
    <row r="9" spans="3:22" x14ac:dyDescent="0.35">
      <c r="C9" s="12" t="s">
        <v>99</v>
      </c>
      <c r="D9" s="14"/>
      <c r="E9" s="122"/>
      <c r="F9" s="122"/>
      <c r="G9" s="122"/>
      <c r="H9" s="122"/>
      <c r="I9" s="13">
        <v>24</v>
      </c>
      <c r="L9" s="15">
        <v>0.83294794504193614</v>
      </c>
      <c r="M9">
        <v>105</v>
      </c>
      <c r="O9">
        <f t="shared" si="0"/>
        <v>87.459534229403289</v>
      </c>
      <c r="P9">
        <f t="shared" si="1"/>
        <v>88</v>
      </c>
      <c r="Q9">
        <f t="shared" si="2"/>
        <v>87</v>
      </c>
      <c r="S9">
        <v>120</v>
      </c>
      <c r="T9">
        <f t="shared" si="3"/>
        <v>99.95375340503233</v>
      </c>
      <c r="U9">
        <f t="shared" si="4"/>
        <v>100</v>
      </c>
      <c r="V9">
        <v>65</v>
      </c>
    </row>
    <row r="10" spans="3:22" x14ac:dyDescent="0.35">
      <c r="C10" s="12" t="s">
        <v>100</v>
      </c>
      <c r="D10" s="14"/>
      <c r="E10" s="122">
        <v>1</v>
      </c>
      <c r="F10" s="122">
        <v>2</v>
      </c>
      <c r="G10" s="122">
        <v>4</v>
      </c>
      <c r="H10" s="122">
        <v>8</v>
      </c>
      <c r="I10" s="13">
        <v>20</v>
      </c>
      <c r="L10" s="15">
        <v>0.83142702819137626</v>
      </c>
      <c r="M10">
        <v>104</v>
      </c>
      <c r="O10">
        <f t="shared" si="0"/>
        <v>86.468410931903136</v>
      </c>
      <c r="P10">
        <f t="shared" si="1"/>
        <v>87</v>
      </c>
      <c r="Q10">
        <f t="shared" si="2"/>
        <v>86</v>
      </c>
      <c r="S10">
        <v>119</v>
      </c>
      <c r="T10">
        <f t="shared" si="3"/>
        <v>98.939816354773768</v>
      </c>
      <c r="U10">
        <f t="shared" si="4"/>
        <v>99</v>
      </c>
      <c r="V10">
        <v>57</v>
      </c>
    </row>
    <row r="11" spans="3:22" x14ac:dyDescent="0.35">
      <c r="C11" s="12" t="s">
        <v>101</v>
      </c>
      <c r="D11" s="14"/>
      <c r="E11" s="122"/>
      <c r="F11" s="122"/>
      <c r="G11" s="122"/>
      <c r="H11" s="122"/>
      <c r="I11" s="13">
        <v>16</v>
      </c>
      <c r="L11" s="15">
        <v>0.80994281320424599</v>
      </c>
      <c r="M11">
        <v>103</v>
      </c>
      <c r="O11">
        <f t="shared" si="0"/>
        <v>83.424109760037339</v>
      </c>
      <c r="P11">
        <f t="shared" si="1"/>
        <v>84</v>
      </c>
      <c r="Q11">
        <f t="shared" si="2"/>
        <v>83</v>
      </c>
      <c r="S11">
        <v>118</v>
      </c>
      <c r="T11">
        <f t="shared" si="3"/>
        <v>95.573251958101025</v>
      </c>
      <c r="U11">
        <f t="shared" si="4"/>
        <v>96</v>
      </c>
      <c r="V11">
        <v>49</v>
      </c>
    </row>
    <row r="12" spans="3:22" x14ac:dyDescent="0.35">
      <c r="C12" s="12" t="s">
        <v>102</v>
      </c>
      <c r="D12" s="14"/>
      <c r="E12" s="122">
        <v>0</v>
      </c>
      <c r="F12" s="122"/>
      <c r="G12" s="122"/>
      <c r="H12" s="122"/>
      <c r="I12" s="14"/>
      <c r="L12" s="15">
        <v>0.79043743499788444</v>
      </c>
      <c r="M12">
        <v>102</v>
      </c>
      <c r="O12">
        <f t="shared" si="0"/>
        <v>80.624618369784216</v>
      </c>
      <c r="P12">
        <f t="shared" si="1"/>
        <v>81</v>
      </c>
      <c r="Q12">
        <f t="shared" si="2"/>
        <v>81</v>
      </c>
      <c r="S12">
        <v>117</v>
      </c>
      <c r="T12">
        <f t="shared" si="3"/>
        <v>92.481179894752472</v>
      </c>
      <c r="U12">
        <f t="shared" si="4"/>
        <v>92</v>
      </c>
      <c r="V12">
        <v>41</v>
      </c>
    </row>
    <row r="13" spans="3:22" x14ac:dyDescent="0.35">
      <c r="C13" s="12" t="s">
        <v>103</v>
      </c>
      <c r="D13" s="14"/>
      <c r="E13" s="122"/>
      <c r="F13" s="122"/>
      <c r="G13" s="122"/>
      <c r="H13" s="122"/>
      <c r="I13" s="14"/>
      <c r="L13" s="15">
        <v>0.78630395951125576</v>
      </c>
      <c r="M13">
        <v>101</v>
      </c>
      <c r="O13">
        <f t="shared" si="0"/>
        <v>79.416699910636837</v>
      </c>
      <c r="P13">
        <f t="shared" si="1"/>
        <v>80</v>
      </c>
      <c r="Q13">
        <f t="shared" si="2"/>
        <v>79</v>
      </c>
      <c r="S13">
        <v>116</v>
      </c>
      <c r="T13">
        <f t="shared" si="3"/>
        <v>91.211259303305667</v>
      </c>
      <c r="U13">
        <f t="shared" si="4"/>
        <v>91</v>
      </c>
      <c r="V13">
        <v>33</v>
      </c>
    </row>
    <row r="14" spans="3:22" x14ac:dyDescent="0.35">
      <c r="C14" s="12" t="s">
        <v>104</v>
      </c>
      <c r="D14" s="14"/>
      <c r="E14" s="14"/>
      <c r="F14" s="13">
        <v>1</v>
      </c>
      <c r="G14" s="14"/>
      <c r="H14" s="14"/>
      <c r="I14" s="14"/>
      <c r="L14" s="15">
        <v>0.76555796084976657</v>
      </c>
      <c r="M14">
        <v>100</v>
      </c>
      <c r="O14">
        <f t="shared" si="0"/>
        <v>76.555796084976663</v>
      </c>
      <c r="P14">
        <f t="shared" si="1"/>
        <v>77</v>
      </c>
      <c r="Q14">
        <f t="shared" si="2"/>
        <v>77</v>
      </c>
      <c r="S14">
        <v>115</v>
      </c>
      <c r="T14">
        <f t="shared" si="3"/>
        <v>88.039165497723161</v>
      </c>
      <c r="U14">
        <f t="shared" si="4"/>
        <v>88</v>
      </c>
      <c r="V14">
        <v>25</v>
      </c>
    </row>
    <row r="15" spans="3:22" x14ac:dyDescent="0.35">
      <c r="L15" s="15">
        <v>0.76468114163757961</v>
      </c>
      <c r="M15">
        <v>99</v>
      </c>
      <c r="O15">
        <f t="shared" si="0"/>
        <v>75.703433022120379</v>
      </c>
      <c r="P15">
        <f t="shared" si="1"/>
        <v>76</v>
      </c>
      <c r="Q15">
        <f t="shared" si="2"/>
        <v>76</v>
      </c>
      <c r="S15">
        <v>114</v>
      </c>
      <c r="T15">
        <f t="shared" si="3"/>
        <v>87.173650146684082</v>
      </c>
      <c r="U15">
        <f t="shared" si="4"/>
        <v>87</v>
      </c>
      <c r="V15">
        <v>17</v>
      </c>
    </row>
    <row r="16" spans="3:22" x14ac:dyDescent="0.35">
      <c r="L16" s="15">
        <v>0.73693287510831862</v>
      </c>
      <c r="M16">
        <v>98</v>
      </c>
      <c r="O16">
        <f t="shared" si="0"/>
        <v>72.219421760615219</v>
      </c>
      <c r="P16">
        <f t="shared" si="1"/>
        <v>73</v>
      </c>
      <c r="Q16">
        <f t="shared" si="2"/>
        <v>72</v>
      </c>
      <c r="S16">
        <v>112</v>
      </c>
      <c r="T16">
        <f t="shared" si="3"/>
        <v>82.536482012131685</v>
      </c>
      <c r="U16">
        <f t="shared" si="4"/>
        <v>83</v>
      </c>
      <c r="V16">
        <v>9</v>
      </c>
    </row>
    <row r="17" spans="2:22" x14ac:dyDescent="0.35">
      <c r="L17" s="15">
        <v>0.73636681226654122</v>
      </c>
      <c r="M17">
        <v>97</v>
      </c>
      <c r="O17">
        <f t="shared" si="0"/>
        <v>71.427580789854503</v>
      </c>
      <c r="P17">
        <f t="shared" si="1"/>
        <v>72</v>
      </c>
      <c r="Q17">
        <f t="shared" si="2"/>
        <v>71</v>
      </c>
      <c r="S17">
        <v>111</v>
      </c>
      <c r="T17">
        <f t="shared" si="3"/>
        <v>81.736716161586074</v>
      </c>
      <c r="U17">
        <f t="shared" si="4"/>
        <v>82</v>
      </c>
      <c r="V17">
        <v>1</v>
      </c>
    </row>
    <row r="18" spans="2:22" x14ac:dyDescent="0.35">
      <c r="B18" s="1" t="s">
        <v>233</v>
      </c>
      <c r="D18" t="s">
        <v>97</v>
      </c>
      <c r="E18" t="s">
        <v>68</v>
      </c>
      <c r="F18" t="s">
        <v>160</v>
      </c>
      <c r="G18" t="s">
        <v>161</v>
      </c>
      <c r="H18" t="s">
        <v>67</v>
      </c>
      <c r="I18" t="s">
        <v>105</v>
      </c>
      <c r="L18" s="15">
        <v>0.73115550478501035</v>
      </c>
      <c r="M18">
        <v>96</v>
      </c>
      <c r="O18">
        <f t="shared" si="0"/>
        <v>70.19092845936099</v>
      </c>
      <c r="P18">
        <f t="shared" si="1"/>
        <v>71</v>
      </c>
      <c r="Q18">
        <f t="shared" si="2"/>
        <v>70</v>
      </c>
      <c r="S18">
        <v>110</v>
      </c>
      <c r="T18">
        <f t="shared" si="3"/>
        <v>80.427105526351141</v>
      </c>
      <c r="U18">
        <f t="shared" si="4"/>
        <v>80</v>
      </c>
    </row>
    <row r="19" spans="2:22" x14ac:dyDescent="0.35">
      <c r="C19" s="11">
        <v>1</v>
      </c>
      <c r="D19" s="16">
        <v>50</v>
      </c>
      <c r="E19" s="16">
        <v>30</v>
      </c>
      <c r="F19" s="16">
        <v>40</v>
      </c>
      <c r="G19" s="16">
        <v>50</v>
      </c>
      <c r="H19" s="16">
        <v>70</v>
      </c>
      <c r="I19" s="16">
        <v>100</v>
      </c>
      <c r="L19" s="15">
        <v>0.72898829140009713</v>
      </c>
      <c r="M19">
        <v>95</v>
      </c>
      <c r="O19">
        <f t="shared" si="0"/>
        <v>69.253887683009225</v>
      </c>
      <c r="P19">
        <f t="shared" si="1"/>
        <v>70</v>
      </c>
      <c r="Q19">
        <f t="shared" si="2"/>
        <v>69</v>
      </c>
      <c r="S19">
        <v>109</v>
      </c>
      <c r="T19">
        <f t="shared" si="3"/>
        <v>79.459723762610594</v>
      </c>
      <c r="U19">
        <f t="shared" si="4"/>
        <v>79</v>
      </c>
    </row>
    <row r="20" spans="2:22" x14ac:dyDescent="0.35">
      <c r="C20" s="11">
        <v>2</v>
      </c>
      <c r="D20" s="16">
        <v>30</v>
      </c>
      <c r="E20" s="16">
        <v>24</v>
      </c>
      <c r="F20" s="16">
        <v>35</v>
      </c>
      <c r="G20" s="16">
        <v>44</v>
      </c>
      <c r="H20" s="16">
        <v>63</v>
      </c>
      <c r="I20" s="16">
        <v>92</v>
      </c>
      <c r="J20" s="16"/>
      <c r="L20" s="15">
        <v>0.72033639667955618</v>
      </c>
      <c r="M20">
        <v>94</v>
      </c>
      <c r="O20">
        <f t="shared" si="0"/>
        <v>67.711621287878287</v>
      </c>
      <c r="P20">
        <f t="shared" si="1"/>
        <v>68</v>
      </c>
      <c r="Q20">
        <f t="shared" si="2"/>
        <v>68</v>
      </c>
      <c r="S20">
        <v>108</v>
      </c>
      <c r="T20">
        <f t="shared" si="3"/>
        <v>77.796330841392063</v>
      </c>
      <c r="U20">
        <f t="shared" si="4"/>
        <v>78</v>
      </c>
    </row>
    <row r="21" spans="2:22" x14ac:dyDescent="0.35">
      <c r="C21" s="11">
        <v>3</v>
      </c>
      <c r="D21" s="23" t="s">
        <v>342</v>
      </c>
      <c r="E21" s="122">
        <v>18</v>
      </c>
      <c r="F21" s="122">
        <v>30</v>
      </c>
      <c r="G21" s="122">
        <v>38</v>
      </c>
      <c r="H21" s="122">
        <v>56</v>
      </c>
      <c r="I21" s="16">
        <v>84</v>
      </c>
      <c r="L21" s="15">
        <v>0.71554018713408607</v>
      </c>
      <c r="M21">
        <v>93</v>
      </c>
      <c r="O21">
        <f t="shared" si="0"/>
        <v>66.545237403470011</v>
      </c>
      <c r="P21">
        <f t="shared" si="1"/>
        <v>67</v>
      </c>
      <c r="Q21">
        <f t="shared" si="2"/>
        <v>67</v>
      </c>
      <c r="S21">
        <v>107</v>
      </c>
      <c r="T21">
        <f t="shared" si="3"/>
        <v>76.562800023347208</v>
      </c>
      <c r="U21">
        <f t="shared" si="4"/>
        <v>77</v>
      </c>
    </row>
    <row r="22" spans="2:22" x14ac:dyDescent="0.35">
      <c r="C22" s="11">
        <v>4</v>
      </c>
      <c r="D22" s="23" t="s">
        <v>344</v>
      </c>
      <c r="E22" s="122"/>
      <c r="F22" s="122"/>
      <c r="G22" s="122"/>
      <c r="H22" s="122"/>
      <c r="I22" s="16">
        <v>76</v>
      </c>
      <c r="L22" s="15">
        <v>0.71016637264996019</v>
      </c>
      <c r="M22">
        <v>92</v>
      </c>
      <c r="O22">
        <f t="shared" si="0"/>
        <v>65.335306283796342</v>
      </c>
      <c r="P22">
        <f t="shared" si="1"/>
        <v>66</v>
      </c>
      <c r="Q22">
        <f t="shared" si="2"/>
        <v>65</v>
      </c>
      <c r="S22">
        <v>106</v>
      </c>
      <c r="T22">
        <f t="shared" si="3"/>
        <v>75.277635500895784</v>
      </c>
      <c r="U22">
        <f t="shared" si="4"/>
        <v>75</v>
      </c>
    </row>
    <row r="23" spans="2:22" x14ac:dyDescent="0.35">
      <c r="C23" s="12" t="s">
        <v>98</v>
      </c>
      <c r="D23" s="23" t="s">
        <v>345</v>
      </c>
      <c r="E23" s="122">
        <v>12</v>
      </c>
      <c r="F23" s="122">
        <v>25</v>
      </c>
      <c r="G23" s="122">
        <v>32</v>
      </c>
      <c r="H23" s="122">
        <v>49</v>
      </c>
      <c r="I23" s="16">
        <v>68</v>
      </c>
      <c r="L23" s="15">
        <v>0.70014330527397661</v>
      </c>
      <c r="M23">
        <v>91</v>
      </c>
      <c r="O23">
        <f t="shared" si="0"/>
        <v>63.713040779931873</v>
      </c>
      <c r="P23">
        <f t="shared" si="1"/>
        <v>64</v>
      </c>
      <c r="Q23">
        <f t="shared" si="2"/>
        <v>64</v>
      </c>
      <c r="S23">
        <v>104</v>
      </c>
      <c r="T23">
        <f t="shared" si="3"/>
        <v>72.814903748493563</v>
      </c>
      <c r="U23">
        <f t="shared" si="4"/>
        <v>73</v>
      </c>
    </row>
    <row r="24" spans="2:22" x14ac:dyDescent="0.35">
      <c r="C24" s="12" t="s">
        <v>99</v>
      </c>
      <c r="D24" s="14"/>
      <c r="E24" s="122"/>
      <c r="F24" s="122"/>
      <c r="G24" s="122"/>
      <c r="H24" s="122"/>
      <c r="I24" s="16">
        <v>60</v>
      </c>
      <c r="L24" s="15">
        <v>0.69749316023812946</v>
      </c>
      <c r="M24">
        <v>90</v>
      </c>
      <c r="O24">
        <f t="shared" si="0"/>
        <v>62.774384421431648</v>
      </c>
      <c r="P24">
        <f t="shared" si="1"/>
        <v>63</v>
      </c>
      <c r="Q24">
        <f t="shared" si="2"/>
        <v>63</v>
      </c>
      <c r="S24">
        <v>103</v>
      </c>
      <c r="T24">
        <f t="shared" si="3"/>
        <v>71.84179550452734</v>
      </c>
      <c r="U24">
        <f t="shared" si="4"/>
        <v>72</v>
      </c>
    </row>
    <row r="25" spans="2:22" x14ac:dyDescent="0.35">
      <c r="C25" s="12" t="s">
        <v>100</v>
      </c>
      <c r="D25" s="14"/>
      <c r="E25" s="122">
        <v>6</v>
      </c>
      <c r="F25" s="122">
        <v>20</v>
      </c>
      <c r="G25" s="122">
        <v>26</v>
      </c>
      <c r="H25" s="122">
        <v>42</v>
      </c>
      <c r="I25" s="16" t="s">
        <v>474</v>
      </c>
      <c r="L25" s="15">
        <v>0.69721773657694242</v>
      </c>
      <c r="M25">
        <v>89</v>
      </c>
      <c r="O25">
        <f t="shared" si="0"/>
        <v>62.052378555347872</v>
      </c>
      <c r="P25">
        <f t="shared" si="1"/>
        <v>63</v>
      </c>
      <c r="Q25">
        <f t="shared" si="2"/>
        <v>62</v>
      </c>
      <c r="S25">
        <v>102</v>
      </c>
      <c r="T25">
        <f t="shared" si="3"/>
        <v>71.116209130848119</v>
      </c>
      <c r="U25">
        <f t="shared" si="4"/>
        <v>71</v>
      </c>
    </row>
    <row r="26" spans="2:22" x14ac:dyDescent="0.35">
      <c r="C26" s="12" t="s">
        <v>101</v>
      </c>
      <c r="D26" s="14"/>
      <c r="E26" s="122"/>
      <c r="F26" s="122"/>
      <c r="G26" s="122"/>
      <c r="H26" s="122"/>
      <c r="I26" s="16" t="s">
        <v>475</v>
      </c>
      <c r="L26" s="15">
        <v>0.69601783397460404</v>
      </c>
      <c r="M26">
        <v>88</v>
      </c>
      <c r="O26">
        <f t="shared" si="0"/>
        <v>61.249569389765156</v>
      </c>
      <c r="P26">
        <f t="shared" si="1"/>
        <v>62</v>
      </c>
      <c r="Q26">
        <f t="shared" si="2"/>
        <v>61</v>
      </c>
      <c r="S26">
        <v>101</v>
      </c>
      <c r="T26">
        <f t="shared" si="3"/>
        <v>70.297801231435002</v>
      </c>
      <c r="U26">
        <f t="shared" si="4"/>
        <v>70</v>
      </c>
    </row>
    <row r="27" spans="2:22" x14ac:dyDescent="0.35">
      <c r="C27" s="12" t="s">
        <v>102</v>
      </c>
      <c r="D27" s="14"/>
      <c r="E27" s="122">
        <v>0</v>
      </c>
      <c r="F27" s="122"/>
      <c r="G27" s="122"/>
      <c r="H27" s="122"/>
      <c r="I27" s="25">
        <v>44</v>
      </c>
      <c r="L27" s="15">
        <v>0.69497469361360509</v>
      </c>
      <c r="M27">
        <v>87</v>
      </c>
      <c r="O27">
        <f t="shared" si="0"/>
        <v>60.462798344383643</v>
      </c>
      <c r="P27">
        <f t="shared" si="1"/>
        <v>61</v>
      </c>
      <c r="Q27">
        <f t="shared" si="2"/>
        <v>60</v>
      </c>
      <c r="S27">
        <v>100</v>
      </c>
      <c r="T27">
        <f t="shared" si="3"/>
        <v>69.497469361360515</v>
      </c>
      <c r="U27">
        <f t="shared" si="4"/>
        <v>69</v>
      </c>
    </row>
    <row r="28" spans="2:22" x14ac:dyDescent="0.35">
      <c r="C28" s="12" t="s">
        <v>103</v>
      </c>
      <c r="D28" s="14"/>
      <c r="E28" s="122"/>
      <c r="F28" s="122"/>
      <c r="G28" s="122"/>
      <c r="H28" s="122"/>
      <c r="I28" s="14"/>
      <c r="L28" s="15">
        <v>0.68575819199370569</v>
      </c>
      <c r="M28">
        <v>86</v>
      </c>
      <c r="O28">
        <f t="shared" si="0"/>
        <v>58.975204511458692</v>
      </c>
      <c r="P28">
        <f t="shared" si="1"/>
        <v>59</v>
      </c>
      <c r="Q28">
        <f t="shared" si="2"/>
        <v>59</v>
      </c>
      <c r="S28">
        <v>99</v>
      </c>
      <c r="T28">
        <f t="shared" si="3"/>
        <v>67.890061007376858</v>
      </c>
      <c r="U28">
        <f t="shared" si="4"/>
        <v>68</v>
      </c>
    </row>
    <row r="29" spans="2:22" x14ac:dyDescent="0.35">
      <c r="C29" s="12" t="s">
        <v>104</v>
      </c>
      <c r="D29" s="14"/>
      <c r="E29" s="14"/>
      <c r="F29" t="s">
        <v>159</v>
      </c>
      <c r="G29" t="s">
        <v>159</v>
      </c>
      <c r="H29" t="s">
        <v>159</v>
      </c>
      <c r="I29" s="14"/>
      <c r="L29" s="15">
        <v>0.67770430483282196</v>
      </c>
      <c r="M29">
        <v>85</v>
      </c>
      <c r="O29">
        <f t="shared" si="0"/>
        <v>57.604865910789869</v>
      </c>
      <c r="P29">
        <f t="shared" si="1"/>
        <v>58</v>
      </c>
      <c r="Q29">
        <f t="shared" si="2"/>
        <v>58</v>
      </c>
      <c r="S29">
        <v>98</v>
      </c>
      <c r="T29">
        <f t="shared" si="3"/>
        <v>66.415021873616553</v>
      </c>
      <c r="U29">
        <f t="shared" si="4"/>
        <v>66</v>
      </c>
    </row>
    <row r="30" spans="2:22" x14ac:dyDescent="0.35">
      <c r="D30" t="s">
        <v>343</v>
      </c>
      <c r="G30" t="s">
        <v>162</v>
      </c>
      <c r="I30" t="s">
        <v>476</v>
      </c>
      <c r="L30" s="15">
        <v>0.67631751102060256</v>
      </c>
      <c r="M30">
        <v>84</v>
      </c>
      <c r="O30">
        <f t="shared" si="0"/>
        <v>56.810670925730612</v>
      </c>
      <c r="P30">
        <f t="shared" si="1"/>
        <v>57</v>
      </c>
      <c r="Q30">
        <f t="shared" si="2"/>
        <v>57</v>
      </c>
      <c r="S30">
        <v>96</v>
      </c>
      <c r="T30">
        <f t="shared" si="3"/>
        <v>64.926481057977838</v>
      </c>
      <c r="U30">
        <f t="shared" si="4"/>
        <v>65</v>
      </c>
    </row>
    <row r="31" spans="2:22" x14ac:dyDescent="0.35">
      <c r="D31" t="s">
        <v>346</v>
      </c>
      <c r="L31" s="15">
        <v>0.67139385289565034</v>
      </c>
      <c r="M31">
        <v>83</v>
      </c>
      <c r="O31">
        <f t="shared" si="0"/>
        <v>55.725689790338976</v>
      </c>
      <c r="P31">
        <f t="shared" si="1"/>
        <v>56</v>
      </c>
      <c r="Q31">
        <f t="shared" si="2"/>
        <v>56</v>
      </c>
      <c r="S31">
        <v>95</v>
      </c>
      <c r="T31">
        <f t="shared" si="3"/>
        <v>63.782416025086782</v>
      </c>
      <c r="U31">
        <f t="shared" si="4"/>
        <v>64</v>
      </c>
    </row>
    <row r="32" spans="2:22" x14ac:dyDescent="0.35">
      <c r="L32" s="15">
        <v>0.66225275484624224</v>
      </c>
      <c r="M32">
        <v>82</v>
      </c>
      <c r="O32">
        <f t="shared" si="0"/>
        <v>54.304725897391862</v>
      </c>
      <c r="P32">
        <f t="shared" si="1"/>
        <v>55</v>
      </c>
      <c r="Q32">
        <f t="shared" si="2"/>
        <v>54</v>
      </c>
      <c r="S32">
        <v>94</v>
      </c>
      <c r="T32">
        <f t="shared" si="3"/>
        <v>62.251758955546769</v>
      </c>
      <c r="U32">
        <f t="shared" si="4"/>
        <v>62</v>
      </c>
    </row>
    <row r="33" spans="2:21" x14ac:dyDescent="0.35">
      <c r="B33" t="s">
        <v>232</v>
      </c>
      <c r="D33" t="s">
        <v>97</v>
      </c>
      <c r="E33" t="s">
        <v>68</v>
      </c>
      <c r="F33" t="s">
        <v>160</v>
      </c>
      <c r="G33" t="s">
        <v>161</v>
      </c>
      <c r="H33" t="s">
        <v>67</v>
      </c>
      <c r="I33" t="s">
        <v>105</v>
      </c>
      <c r="L33" s="15">
        <v>0.65894758556648447</v>
      </c>
      <c r="M33">
        <v>81</v>
      </c>
      <c r="O33">
        <f t="shared" si="0"/>
        <v>53.37475443088524</v>
      </c>
      <c r="P33">
        <f t="shared" si="1"/>
        <v>54</v>
      </c>
      <c r="Q33">
        <f t="shared" si="2"/>
        <v>53</v>
      </c>
      <c r="S33">
        <v>93</v>
      </c>
      <c r="T33">
        <f t="shared" si="3"/>
        <v>61.282125457683058</v>
      </c>
      <c r="U33">
        <f t="shared" si="4"/>
        <v>61</v>
      </c>
    </row>
    <row r="34" spans="2:21" x14ac:dyDescent="0.35">
      <c r="C34" s="11">
        <v>1</v>
      </c>
      <c r="D34" s="23">
        <v>50</v>
      </c>
      <c r="E34" s="21">
        <v>30</v>
      </c>
      <c r="F34" s="21">
        <v>40</v>
      </c>
      <c r="G34" s="21">
        <v>50</v>
      </c>
      <c r="H34" s="21">
        <v>70</v>
      </c>
      <c r="I34" s="21">
        <v>100</v>
      </c>
      <c r="L34" s="15">
        <v>0.6495314910256329</v>
      </c>
      <c r="M34">
        <v>80</v>
      </c>
      <c r="O34">
        <f t="shared" si="0"/>
        <v>51.962519282050636</v>
      </c>
      <c r="P34">
        <f t="shared" ref="P34:P65" si="5">ROUNDDOWN(O34,0)+1</f>
        <v>52</v>
      </c>
      <c r="Q34">
        <f t="shared" si="2"/>
        <v>52</v>
      </c>
      <c r="S34">
        <v>92</v>
      </c>
      <c r="T34">
        <f t="shared" si="3"/>
        <v>59.75689717435823</v>
      </c>
      <c r="U34">
        <f t="shared" si="4"/>
        <v>60</v>
      </c>
    </row>
    <row r="35" spans="2:21" x14ac:dyDescent="0.35">
      <c r="C35" s="11">
        <v>2</v>
      </c>
      <c r="D35" s="23">
        <v>30</v>
      </c>
      <c r="E35" s="21">
        <v>24</v>
      </c>
      <c r="F35" s="21">
        <v>35</v>
      </c>
      <c r="G35" s="21">
        <v>44</v>
      </c>
      <c r="H35" s="21">
        <v>60</v>
      </c>
      <c r="I35" s="21">
        <v>92</v>
      </c>
      <c r="L35" s="15">
        <v>0.64907981641842638</v>
      </c>
      <c r="M35">
        <v>79</v>
      </c>
      <c r="O35">
        <f t="shared" si="0"/>
        <v>51.277305497055686</v>
      </c>
      <c r="P35">
        <f t="shared" si="5"/>
        <v>52</v>
      </c>
      <c r="Q35">
        <f t="shared" si="2"/>
        <v>51</v>
      </c>
      <c r="S35">
        <v>91</v>
      </c>
      <c r="T35">
        <f t="shared" si="3"/>
        <v>59.066263294076798</v>
      </c>
      <c r="U35">
        <f t="shared" si="4"/>
        <v>59</v>
      </c>
    </row>
    <row r="36" spans="2:21" x14ac:dyDescent="0.35">
      <c r="C36" s="11">
        <v>3</v>
      </c>
      <c r="D36" s="23" t="s">
        <v>342</v>
      </c>
      <c r="E36" s="122">
        <v>18</v>
      </c>
      <c r="F36" s="122">
        <v>30</v>
      </c>
      <c r="G36" s="122">
        <v>38</v>
      </c>
      <c r="H36" s="122">
        <v>50</v>
      </c>
      <c r="I36" s="21">
        <v>84</v>
      </c>
      <c r="L36" s="15">
        <v>0.6462765598976361</v>
      </c>
      <c r="M36">
        <v>78</v>
      </c>
      <c r="O36">
        <f t="shared" si="0"/>
        <v>50.409571672015616</v>
      </c>
      <c r="P36">
        <f t="shared" si="5"/>
        <v>51</v>
      </c>
      <c r="Q36">
        <f t="shared" si="2"/>
        <v>50</v>
      </c>
      <c r="S36">
        <v>90</v>
      </c>
      <c r="T36">
        <f t="shared" si="3"/>
        <v>58.164890390787249</v>
      </c>
      <c r="U36">
        <f t="shared" si="4"/>
        <v>58</v>
      </c>
    </row>
    <row r="37" spans="2:21" x14ac:dyDescent="0.35">
      <c r="C37" s="11">
        <v>4</v>
      </c>
      <c r="D37" s="23" t="s">
        <v>344</v>
      </c>
      <c r="E37" s="122"/>
      <c r="F37" s="122"/>
      <c r="G37" s="122"/>
      <c r="H37" s="122"/>
      <c r="I37" s="21">
        <v>76</v>
      </c>
      <c r="L37" s="15">
        <v>0.64327405271646154</v>
      </c>
      <c r="M37">
        <v>77</v>
      </c>
      <c r="O37">
        <f t="shared" si="0"/>
        <v>49.532102059167542</v>
      </c>
      <c r="P37">
        <f t="shared" si="5"/>
        <v>50</v>
      </c>
      <c r="Q37">
        <f t="shared" si="2"/>
        <v>50</v>
      </c>
      <c r="S37">
        <v>88</v>
      </c>
      <c r="T37">
        <f t="shared" si="3"/>
        <v>56.608116639048617</v>
      </c>
      <c r="U37">
        <f t="shared" si="4"/>
        <v>57</v>
      </c>
    </row>
    <row r="38" spans="2:21" x14ac:dyDescent="0.35">
      <c r="C38" s="12" t="s">
        <v>98</v>
      </c>
      <c r="D38" s="23" t="s">
        <v>345</v>
      </c>
      <c r="E38" s="122">
        <v>12</v>
      </c>
      <c r="F38" s="122">
        <v>25</v>
      </c>
      <c r="G38" s="122">
        <v>32</v>
      </c>
      <c r="H38" s="122">
        <v>40</v>
      </c>
      <c r="I38" s="21">
        <v>68</v>
      </c>
      <c r="L38" s="15">
        <v>0.61836803082913705</v>
      </c>
      <c r="M38">
        <v>76</v>
      </c>
      <c r="O38">
        <f t="shared" si="0"/>
        <v>46.995970343014413</v>
      </c>
      <c r="P38">
        <f t="shared" si="5"/>
        <v>47</v>
      </c>
      <c r="Q38">
        <f t="shared" si="2"/>
        <v>47</v>
      </c>
      <c r="S38">
        <v>87</v>
      </c>
      <c r="T38">
        <f t="shared" si="3"/>
        <v>53.798018682134924</v>
      </c>
      <c r="U38">
        <f t="shared" si="4"/>
        <v>54</v>
      </c>
    </row>
    <row r="39" spans="2:21" x14ac:dyDescent="0.35">
      <c r="C39" s="12" t="s">
        <v>99</v>
      </c>
      <c r="D39" s="14"/>
      <c r="E39" s="122"/>
      <c r="F39" s="122"/>
      <c r="G39" s="122"/>
      <c r="H39" s="122"/>
      <c r="I39" s="21">
        <v>60</v>
      </c>
      <c r="L39" s="15">
        <v>0.60348557785774903</v>
      </c>
      <c r="M39">
        <v>75</v>
      </c>
      <c r="O39">
        <f t="shared" si="0"/>
        <v>45.261418339331179</v>
      </c>
      <c r="P39">
        <f t="shared" si="5"/>
        <v>46</v>
      </c>
      <c r="Q39">
        <f t="shared" si="2"/>
        <v>45</v>
      </c>
      <c r="S39">
        <v>86</v>
      </c>
      <c r="T39">
        <f t="shared" si="3"/>
        <v>51.89975969576642</v>
      </c>
      <c r="U39">
        <f t="shared" si="4"/>
        <v>52</v>
      </c>
    </row>
    <row r="40" spans="2:21" x14ac:dyDescent="0.35">
      <c r="C40" s="12" t="s">
        <v>100</v>
      </c>
      <c r="D40" s="14"/>
      <c r="E40" s="122">
        <v>6</v>
      </c>
      <c r="F40" s="122">
        <v>20</v>
      </c>
      <c r="G40" s="122">
        <v>26</v>
      </c>
      <c r="H40" s="122">
        <v>30</v>
      </c>
      <c r="I40" s="21">
        <v>52</v>
      </c>
      <c r="L40" s="15">
        <v>0.59716969427740418</v>
      </c>
      <c r="M40">
        <v>74</v>
      </c>
      <c r="O40">
        <f t="shared" si="0"/>
        <v>44.190557376527913</v>
      </c>
      <c r="P40">
        <f t="shared" si="5"/>
        <v>45</v>
      </c>
      <c r="Q40">
        <f t="shared" si="2"/>
        <v>44</v>
      </c>
      <c r="S40">
        <v>85</v>
      </c>
      <c r="T40">
        <f t="shared" si="3"/>
        <v>50.759424013579356</v>
      </c>
      <c r="U40">
        <f t="shared" si="4"/>
        <v>51</v>
      </c>
    </row>
    <row r="41" spans="2:21" x14ac:dyDescent="0.35">
      <c r="C41" s="12" t="s">
        <v>101</v>
      </c>
      <c r="D41" s="14"/>
      <c r="E41" s="122"/>
      <c r="F41" s="122"/>
      <c r="G41" s="122"/>
      <c r="H41" s="122"/>
      <c r="I41" s="21">
        <v>44</v>
      </c>
      <c r="L41" s="15">
        <v>0.5954301843415043</v>
      </c>
      <c r="M41">
        <v>73</v>
      </c>
      <c r="O41">
        <f t="shared" si="0"/>
        <v>43.466403456929811</v>
      </c>
      <c r="P41">
        <f t="shared" si="5"/>
        <v>44</v>
      </c>
      <c r="Q41">
        <f t="shared" si="2"/>
        <v>43</v>
      </c>
      <c r="S41">
        <v>84</v>
      </c>
      <c r="T41">
        <f t="shared" si="3"/>
        <v>50.016135484686359</v>
      </c>
      <c r="U41">
        <f t="shared" si="4"/>
        <v>50</v>
      </c>
    </row>
    <row r="42" spans="2:21" x14ac:dyDescent="0.35">
      <c r="C42" s="12" t="s">
        <v>102</v>
      </c>
      <c r="D42" s="14"/>
      <c r="E42" s="122">
        <v>0</v>
      </c>
      <c r="F42" s="122"/>
      <c r="G42" s="122"/>
      <c r="H42" s="122"/>
      <c r="I42" s="21">
        <v>36</v>
      </c>
      <c r="L42" s="15">
        <v>0.59173717025370376</v>
      </c>
      <c r="M42">
        <v>72</v>
      </c>
      <c r="O42">
        <f t="shared" si="0"/>
        <v>42.605076258266671</v>
      </c>
      <c r="P42">
        <f t="shared" si="5"/>
        <v>43</v>
      </c>
      <c r="Q42">
        <f t="shared" si="2"/>
        <v>43</v>
      </c>
      <c r="S42">
        <v>83</v>
      </c>
      <c r="T42">
        <f t="shared" si="3"/>
        <v>49.114185131057411</v>
      </c>
      <c r="U42">
        <f t="shared" si="4"/>
        <v>49</v>
      </c>
    </row>
    <row r="43" spans="2:21" x14ac:dyDescent="0.35">
      <c r="C43" s="12" t="s">
        <v>103</v>
      </c>
      <c r="D43" s="14"/>
      <c r="E43" s="122"/>
      <c r="F43" s="122"/>
      <c r="G43" s="122"/>
      <c r="H43" s="122"/>
      <c r="I43" s="14"/>
      <c r="L43" s="15">
        <v>0.58825347599137057</v>
      </c>
      <c r="M43">
        <v>71</v>
      </c>
      <c r="O43">
        <f t="shared" si="0"/>
        <v>41.765996795387309</v>
      </c>
      <c r="P43">
        <f t="shared" si="5"/>
        <v>42</v>
      </c>
      <c r="Q43">
        <f t="shared" si="2"/>
        <v>42</v>
      </c>
      <c r="S43">
        <v>82</v>
      </c>
      <c r="T43">
        <f t="shared" si="3"/>
        <v>48.236785031292385</v>
      </c>
      <c r="U43">
        <f t="shared" si="4"/>
        <v>48</v>
      </c>
    </row>
    <row r="44" spans="2:21" x14ac:dyDescent="0.35">
      <c r="C44" s="12" t="s">
        <v>104</v>
      </c>
      <c r="D44" s="14"/>
      <c r="E44" s="14"/>
      <c r="F44" t="s">
        <v>159</v>
      </c>
      <c r="G44" t="s">
        <v>159</v>
      </c>
      <c r="H44" t="s">
        <v>159</v>
      </c>
      <c r="I44" s="14"/>
      <c r="L44" s="15">
        <v>0.58566817024009854</v>
      </c>
      <c r="M44">
        <v>70</v>
      </c>
      <c r="O44">
        <f t="shared" si="0"/>
        <v>40.9967719168069</v>
      </c>
      <c r="P44">
        <f t="shared" si="5"/>
        <v>41</v>
      </c>
      <c r="Q44">
        <f t="shared" si="2"/>
        <v>41</v>
      </c>
      <c r="S44">
        <v>80</v>
      </c>
      <c r="T44">
        <f t="shared" si="3"/>
        <v>46.853453619207883</v>
      </c>
      <c r="U44">
        <f t="shared" si="4"/>
        <v>47</v>
      </c>
    </row>
    <row r="45" spans="2:21" x14ac:dyDescent="0.35">
      <c r="D45" t="s">
        <v>343</v>
      </c>
      <c r="G45" t="s">
        <v>162</v>
      </c>
      <c r="L45" s="15">
        <v>0.57924147911036106</v>
      </c>
      <c r="M45">
        <v>69</v>
      </c>
      <c r="O45">
        <f t="shared" si="0"/>
        <v>39.967662058614913</v>
      </c>
      <c r="P45">
        <f t="shared" si="5"/>
        <v>40</v>
      </c>
      <c r="Q45">
        <f t="shared" si="2"/>
        <v>40</v>
      </c>
      <c r="S45">
        <v>79</v>
      </c>
      <c r="T45">
        <f t="shared" si="3"/>
        <v>45.760076849718523</v>
      </c>
      <c r="U45">
        <f t="shared" si="4"/>
        <v>46</v>
      </c>
    </row>
    <row r="46" spans="2:21" x14ac:dyDescent="0.35">
      <c r="D46" t="s">
        <v>346</v>
      </c>
      <c r="L46" s="15">
        <v>0.57191122612651257</v>
      </c>
      <c r="M46">
        <v>68</v>
      </c>
      <c r="O46">
        <f t="shared" si="0"/>
        <v>38.889963376602857</v>
      </c>
      <c r="P46">
        <f t="shared" si="5"/>
        <v>39</v>
      </c>
      <c r="Q46">
        <f t="shared" si="2"/>
        <v>39</v>
      </c>
      <c r="S46">
        <v>78</v>
      </c>
      <c r="T46">
        <f t="shared" si="3"/>
        <v>44.609075637867981</v>
      </c>
      <c r="U46">
        <f t="shared" si="4"/>
        <v>45</v>
      </c>
    </row>
    <row r="47" spans="2:21" x14ac:dyDescent="0.35">
      <c r="L47" s="15">
        <v>0.57139540168383074</v>
      </c>
      <c r="M47">
        <v>67</v>
      </c>
      <c r="O47">
        <f t="shared" si="0"/>
        <v>38.283491912816658</v>
      </c>
      <c r="P47">
        <f t="shared" si="5"/>
        <v>39</v>
      </c>
      <c r="Q47">
        <f t="shared" si="2"/>
        <v>38</v>
      </c>
      <c r="S47">
        <v>77</v>
      </c>
      <c r="T47">
        <f t="shared" si="3"/>
        <v>43.997445929654965</v>
      </c>
      <c r="U47">
        <f t="shared" si="4"/>
        <v>44</v>
      </c>
    </row>
    <row r="48" spans="2:21" x14ac:dyDescent="0.35">
      <c r="B48" t="s">
        <v>3456</v>
      </c>
      <c r="D48" t="s">
        <v>68</v>
      </c>
      <c r="E48" t="s">
        <v>160</v>
      </c>
      <c r="F48" t="s">
        <v>161</v>
      </c>
      <c r="G48" t="s">
        <v>67</v>
      </c>
      <c r="H48" t="s">
        <v>105</v>
      </c>
      <c r="L48" s="15">
        <v>0.5673336124052526</v>
      </c>
      <c r="M48">
        <v>66</v>
      </c>
      <c r="O48">
        <f t="shared" si="0"/>
        <v>37.444018418746673</v>
      </c>
      <c r="P48">
        <f t="shared" si="5"/>
        <v>38</v>
      </c>
      <c r="Q48">
        <f t="shared" si="2"/>
        <v>37</v>
      </c>
      <c r="S48">
        <v>76</v>
      </c>
      <c r="T48">
        <f t="shared" si="3"/>
        <v>43.117354542799198</v>
      </c>
      <c r="U48">
        <f t="shared" si="4"/>
        <v>43</v>
      </c>
    </row>
    <row r="49" spans="3:21" x14ac:dyDescent="0.35">
      <c r="C49" s="11">
        <v>1</v>
      </c>
      <c r="D49" s="115">
        <v>60</v>
      </c>
      <c r="E49" s="115">
        <v>50</v>
      </c>
      <c r="F49" s="115">
        <v>60</v>
      </c>
      <c r="G49" s="115">
        <v>80</v>
      </c>
      <c r="H49" s="115">
        <v>120</v>
      </c>
      <c r="J49" s="115"/>
      <c r="L49" s="15">
        <v>0.5548569954642103</v>
      </c>
      <c r="M49">
        <v>65</v>
      </c>
      <c r="O49">
        <f t="shared" si="0"/>
        <v>36.065704705173673</v>
      </c>
      <c r="P49">
        <f t="shared" si="5"/>
        <v>37</v>
      </c>
      <c r="Q49">
        <f t="shared" si="2"/>
        <v>36</v>
      </c>
      <c r="S49">
        <v>75</v>
      </c>
      <c r="T49">
        <f t="shared" si="3"/>
        <v>41.61427465981577</v>
      </c>
      <c r="U49">
        <f t="shared" si="4"/>
        <v>42</v>
      </c>
    </row>
    <row r="50" spans="3:21" x14ac:dyDescent="0.35">
      <c r="C50" s="11">
        <v>2</v>
      </c>
      <c r="D50" s="115">
        <v>50</v>
      </c>
      <c r="E50" s="115">
        <v>45</v>
      </c>
      <c r="F50" s="115">
        <v>54</v>
      </c>
      <c r="G50" s="115">
        <v>70</v>
      </c>
      <c r="H50" s="115">
        <v>110</v>
      </c>
      <c r="J50" s="115"/>
      <c r="L50" s="15">
        <v>0.55417190518338499</v>
      </c>
      <c r="M50">
        <v>64</v>
      </c>
      <c r="O50">
        <f t="shared" si="0"/>
        <v>35.46700193173664</v>
      </c>
      <c r="P50">
        <f t="shared" si="5"/>
        <v>36</v>
      </c>
      <c r="Q50">
        <f t="shared" si="2"/>
        <v>35</v>
      </c>
      <c r="S50">
        <v>74</v>
      </c>
      <c r="T50">
        <f t="shared" si="3"/>
        <v>41.008720983570491</v>
      </c>
      <c r="U50">
        <f t="shared" si="4"/>
        <v>41</v>
      </c>
    </row>
    <row r="51" spans="3:21" x14ac:dyDescent="0.35">
      <c r="C51" s="11">
        <v>3</v>
      </c>
      <c r="D51" s="122">
        <v>40</v>
      </c>
      <c r="E51" s="122">
        <v>40</v>
      </c>
      <c r="F51" s="122">
        <v>48</v>
      </c>
      <c r="G51" s="122">
        <v>60</v>
      </c>
      <c r="H51" s="115">
        <v>100</v>
      </c>
      <c r="L51" s="15">
        <v>0.55244421385230702</v>
      </c>
      <c r="M51">
        <v>63</v>
      </c>
      <c r="O51">
        <f t="shared" si="0"/>
        <v>34.803985472695345</v>
      </c>
      <c r="P51">
        <f t="shared" si="5"/>
        <v>35</v>
      </c>
      <c r="Q51">
        <f t="shared" si="2"/>
        <v>35</v>
      </c>
      <c r="S51">
        <v>72</v>
      </c>
      <c r="T51">
        <f t="shared" si="3"/>
        <v>39.775983397366105</v>
      </c>
      <c r="U51">
        <f t="shared" si="4"/>
        <v>40</v>
      </c>
    </row>
    <row r="52" spans="3:21" x14ac:dyDescent="0.35">
      <c r="C52" s="11">
        <v>4</v>
      </c>
      <c r="D52" s="122"/>
      <c r="E52" s="122"/>
      <c r="F52" s="122"/>
      <c r="G52" s="122"/>
      <c r="H52" s="115">
        <v>90</v>
      </c>
      <c r="L52" s="15">
        <v>0.54798734928728643</v>
      </c>
      <c r="M52">
        <v>62</v>
      </c>
      <c r="O52">
        <f t="shared" si="0"/>
        <v>33.975215655811759</v>
      </c>
      <c r="P52">
        <f t="shared" si="5"/>
        <v>34</v>
      </c>
      <c r="Q52">
        <f t="shared" si="2"/>
        <v>34</v>
      </c>
      <c r="S52">
        <v>71</v>
      </c>
      <c r="T52">
        <f t="shared" si="3"/>
        <v>38.907101799397338</v>
      </c>
      <c r="U52">
        <f t="shared" si="4"/>
        <v>39</v>
      </c>
    </row>
    <row r="53" spans="3:21" x14ac:dyDescent="0.35">
      <c r="C53" s="12" t="s">
        <v>98</v>
      </c>
      <c r="D53" s="122">
        <v>30</v>
      </c>
      <c r="E53" s="122">
        <v>35</v>
      </c>
      <c r="F53" s="122">
        <v>42</v>
      </c>
      <c r="G53" s="122">
        <v>50</v>
      </c>
      <c r="H53" s="115">
        <v>80</v>
      </c>
      <c r="L53" s="15">
        <v>0.54639755470511009</v>
      </c>
      <c r="M53">
        <v>61</v>
      </c>
      <c r="O53">
        <f t="shared" si="0"/>
        <v>33.330250837011718</v>
      </c>
      <c r="P53">
        <f t="shared" si="5"/>
        <v>34</v>
      </c>
      <c r="Q53">
        <f t="shared" si="2"/>
        <v>33</v>
      </c>
      <c r="S53">
        <v>70</v>
      </c>
      <c r="T53">
        <f t="shared" si="3"/>
        <v>38.247828829357708</v>
      </c>
      <c r="U53">
        <f t="shared" si="4"/>
        <v>38</v>
      </c>
    </row>
    <row r="54" spans="3:21" x14ac:dyDescent="0.35">
      <c r="C54" s="12" t="s">
        <v>99</v>
      </c>
      <c r="D54" s="122"/>
      <c r="E54" s="122"/>
      <c r="F54" s="122"/>
      <c r="G54" s="122"/>
      <c r="H54" s="115">
        <v>70</v>
      </c>
      <c r="L54" s="15">
        <v>0.54037365865046461</v>
      </c>
      <c r="M54">
        <v>60</v>
      </c>
      <c r="O54">
        <f t="shared" si="0"/>
        <v>32.422419519027876</v>
      </c>
      <c r="P54">
        <f t="shared" si="5"/>
        <v>33</v>
      </c>
      <c r="Q54">
        <f t="shared" si="2"/>
        <v>32</v>
      </c>
      <c r="S54">
        <v>69</v>
      </c>
      <c r="T54">
        <f t="shared" si="3"/>
        <v>37.28578244688206</v>
      </c>
      <c r="U54">
        <f t="shared" si="4"/>
        <v>37</v>
      </c>
    </row>
    <row r="55" spans="3:21" x14ac:dyDescent="0.35">
      <c r="C55" s="12" t="s">
        <v>100</v>
      </c>
      <c r="D55" s="122">
        <v>20</v>
      </c>
      <c r="E55" s="122">
        <v>30</v>
      </c>
      <c r="F55" s="122">
        <v>36</v>
      </c>
      <c r="G55" s="122">
        <v>40</v>
      </c>
      <c r="H55" s="115">
        <v>65</v>
      </c>
      <c r="L55" s="15">
        <v>0.53693308874741963</v>
      </c>
      <c r="M55">
        <v>59</v>
      </c>
      <c r="O55">
        <f t="shared" si="0"/>
        <v>31.679052236097757</v>
      </c>
      <c r="P55">
        <f t="shared" si="5"/>
        <v>32</v>
      </c>
      <c r="Q55">
        <f t="shared" si="2"/>
        <v>32</v>
      </c>
      <c r="S55">
        <v>68</v>
      </c>
      <c r="T55">
        <f t="shared" si="3"/>
        <v>36.511450034824534</v>
      </c>
      <c r="U55">
        <f t="shared" si="4"/>
        <v>37</v>
      </c>
    </row>
    <row r="56" spans="3:21" x14ac:dyDescent="0.35">
      <c r="C56" s="12" t="s">
        <v>101</v>
      </c>
      <c r="D56" s="122"/>
      <c r="E56" s="122"/>
      <c r="F56" s="122"/>
      <c r="G56" s="122"/>
      <c r="H56" s="115">
        <v>60</v>
      </c>
      <c r="L56" s="15">
        <v>0.52673812638066142</v>
      </c>
      <c r="M56">
        <v>58</v>
      </c>
      <c r="O56">
        <f t="shared" si="0"/>
        <v>30.550811330078361</v>
      </c>
      <c r="P56">
        <f t="shared" si="5"/>
        <v>31</v>
      </c>
      <c r="Q56">
        <f t="shared" si="2"/>
        <v>31</v>
      </c>
      <c r="S56">
        <v>67</v>
      </c>
      <c r="T56">
        <f t="shared" si="3"/>
        <v>35.291454467504316</v>
      </c>
      <c r="U56">
        <f t="shared" si="4"/>
        <v>35</v>
      </c>
    </row>
    <row r="57" spans="3:21" x14ac:dyDescent="0.35">
      <c r="C57" s="12" t="s">
        <v>102</v>
      </c>
      <c r="D57" s="122">
        <v>10</v>
      </c>
      <c r="E57" s="122"/>
      <c r="F57" s="122"/>
      <c r="G57" s="122"/>
      <c r="H57" s="115">
        <v>55</v>
      </c>
      <c r="L57" s="15">
        <v>0.52510745374936874</v>
      </c>
      <c r="M57">
        <v>57</v>
      </c>
      <c r="O57">
        <f t="shared" si="0"/>
        <v>29.931124863714018</v>
      </c>
      <c r="P57">
        <f t="shared" si="5"/>
        <v>30</v>
      </c>
      <c r="Q57">
        <f t="shared" si="2"/>
        <v>30</v>
      </c>
      <c r="S57">
        <v>66</v>
      </c>
      <c r="T57">
        <f t="shared" si="3"/>
        <v>34.657091947458333</v>
      </c>
      <c r="U57">
        <f t="shared" si="4"/>
        <v>35</v>
      </c>
    </row>
    <row r="58" spans="3:21" x14ac:dyDescent="0.35">
      <c r="C58" s="12" t="s">
        <v>103</v>
      </c>
      <c r="D58" s="122"/>
      <c r="E58" s="122"/>
      <c r="F58" s="122"/>
      <c r="G58" s="122"/>
      <c r="H58" s="115" t="s">
        <v>3458</v>
      </c>
      <c r="L58" s="15">
        <v>0.52116087070863815</v>
      </c>
      <c r="M58">
        <v>56</v>
      </c>
      <c r="O58">
        <f t="shared" si="0"/>
        <v>29.185008759683736</v>
      </c>
      <c r="P58">
        <f t="shared" si="5"/>
        <v>30</v>
      </c>
      <c r="Q58">
        <f t="shared" si="2"/>
        <v>29</v>
      </c>
      <c r="S58">
        <v>64</v>
      </c>
      <c r="T58">
        <f t="shared" si="3"/>
        <v>33.354295725352841</v>
      </c>
      <c r="U58">
        <f t="shared" si="4"/>
        <v>33</v>
      </c>
    </row>
    <row r="59" spans="3:21" x14ac:dyDescent="0.35">
      <c r="C59" s="12" t="s">
        <v>104</v>
      </c>
      <c r="D59" s="14"/>
      <c r="E59" t="s">
        <v>159</v>
      </c>
      <c r="F59" t="s">
        <v>159</v>
      </c>
      <c r="G59" t="s">
        <v>159</v>
      </c>
      <c r="H59" s="14"/>
      <c r="L59" s="15">
        <v>0.51288486953437484</v>
      </c>
      <c r="M59">
        <v>55</v>
      </c>
      <c r="O59">
        <f t="shared" si="0"/>
        <v>28.208667824390616</v>
      </c>
      <c r="P59">
        <f t="shared" si="5"/>
        <v>29</v>
      </c>
      <c r="Q59">
        <f t="shared" si="2"/>
        <v>28</v>
      </c>
      <c r="S59">
        <v>63</v>
      </c>
      <c r="T59">
        <f t="shared" si="3"/>
        <v>32.311746780665615</v>
      </c>
      <c r="U59">
        <f t="shared" si="4"/>
        <v>32</v>
      </c>
    </row>
    <row r="60" spans="3:21" x14ac:dyDescent="0.35">
      <c r="L60" s="15">
        <v>0.51202076433978194</v>
      </c>
      <c r="M60">
        <v>54</v>
      </c>
      <c r="O60">
        <f t="shared" si="0"/>
        <v>27.649121274348225</v>
      </c>
      <c r="P60">
        <f t="shared" si="5"/>
        <v>28</v>
      </c>
      <c r="Q60">
        <f t="shared" si="2"/>
        <v>28</v>
      </c>
      <c r="S60">
        <v>62</v>
      </c>
      <c r="T60">
        <f t="shared" si="3"/>
        <v>31.74528738906648</v>
      </c>
      <c r="U60">
        <f t="shared" si="4"/>
        <v>32</v>
      </c>
    </row>
    <row r="61" spans="3:21" x14ac:dyDescent="0.35">
      <c r="D61">
        <v>50</v>
      </c>
      <c r="I61">
        <v>30</v>
      </c>
      <c r="J61">
        <v>32</v>
      </c>
      <c r="L61" s="15">
        <v>0.50479146996535806</v>
      </c>
      <c r="M61">
        <v>53</v>
      </c>
      <c r="O61">
        <f t="shared" si="0"/>
        <v>26.753947908163976</v>
      </c>
      <c r="P61">
        <f t="shared" si="5"/>
        <v>27</v>
      </c>
      <c r="Q61">
        <f t="shared" si="2"/>
        <v>27</v>
      </c>
      <c r="S61">
        <v>61</v>
      </c>
      <c r="T61">
        <f t="shared" si="3"/>
        <v>30.792279667886842</v>
      </c>
      <c r="U61">
        <f t="shared" si="4"/>
        <v>31</v>
      </c>
    </row>
    <row r="62" spans="3:21" x14ac:dyDescent="0.35">
      <c r="D62">
        <v>45</v>
      </c>
      <c r="F62">
        <v>42</v>
      </c>
      <c r="G62" t="s">
        <v>3467</v>
      </c>
      <c r="I62">
        <v>20</v>
      </c>
      <c r="J62">
        <v>64</v>
      </c>
      <c r="L62" s="15">
        <v>0.50371090636952831</v>
      </c>
      <c r="M62">
        <v>52</v>
      </c>
      <c r="O62">
        <f t="shared" si="0"/>
        <v>26.192967131215472</v>
      </c>
      <c r="P62">
        <f t="shared" si="5"/>
        <v>27</v>
      </c>
      <c r="Q62">
        <f t="shared" si="2"/>
        <v>26</v>
      </c>
      <c r="S62">
        <v>60</v>
      </c>
      <c r="T62">
        <f t="shared" si="3"/>
        <v>30.222654382171697</v>
      </c>
      <c r="U62">
        <f t="shared" si="4"/>
        <v>30</v>
      </c>
    </row>
    <row r="63" spans="3:21" x14ac:dyDescent="0.35">
      <c r="D63">
        <v>41</v>
      </c>
      <c r="F63">
        <v>39</v>
      </c>
      <c r="G63" t="s">
        <v>3468</v>
      </c>
      <c r="I63">
        <v>10</v>
      </c>
      <c r="J63">
        <v>96</v>
      </c>
      <c r="L63" s="15">
        <v>0.50109513793654736</v>
      </c>
      <c r="M63">
        <v>51</v>
      </c>
      <c r="O63">
        <f t="shared" si="0"/>
        <v>25.555852034763916</v>
      </c>
      <c r="P63">
        <f t="shared" si="5"/>
        <v>26</v>
      </c>
      <c r="Q63">
        <f t="shared" si="2"/>
        <v>26</v>
      </c>
      <c r="S63">
        <v>59</v>
      </c>
      <c r="T63">
        <f t="shared" si="3"/>
        <v>29.564613138256295</v>
      </c>
      <c r="U63">
        <f t="shared" si="4"/>
        <v>30</v>
      </c>
    </row>
    <row r="64" spans="3:21" x14ac:dyDescent="0.35">
      <c r="D64">
        <v>37</v>
      </c>
      <c r="F64">
        <v>36</v>
      </c>
      <c r="G64" t="s">
        <v>3460</v>
      </c>
      <c r="I64">
        <v>0</v>
      </c>
      <c r="J64">
        <v>128</v>
      </c>
      <c r="L64" s="15">
        <v>0.50029358694625026</v>
      </c>
      <c r="M64">
        <v>50</v>
      </c>
      <c r="O64">
        <f t="shared" si="0"/>
        <v>25.014679347312512</v>
      </c>
      <c r="P64">
        <f t="shared" si="5"/>
        <v>26</v>
      </c>
      <c r="Q64">
        <f t="shared" si="2"/>
        <v>25</v>
      </c>
      <c r="S64">
        <v>58</v>
      </c>
      <c r="T64">
        <f t="shared" si="3"/>
        <v>29.017028042882515</v>
      </c>
      <c r="U64">
        <f t="shared" si="4"/>
        <v>29</v>
      </c>
    </row>
    <row r="65" spans="4:21" x14ac:dyDescent="0.35">
      <c r="D65">
        <v>33</v>
      </c>
      <c r="E65" t="s">
        <v>3467</v>
      </c>
      <c r="F65">
        <v>33</v>
      </c>
      <c r="G65" t="s">
        <v>3461</v>
      </c>
      <c r="L65" s="15">
        <v>0.480688964487266</v>
      </c>
      <c r="M65">
        <v>49</v>
      </c>
      <c r="O65">
        <f t="shared" si="0"/>
        <v>23.553759259876035</v>
      </c>
      <c r="P65">
        <f t="shared" si="5"/>
        <v>24</v>
      </c>
      <c r="Q65">
        <f t="shared" si="2"/>
        <v>24</v>
      </c>
      <c r="S65">
        <v>56</v>
      </c>
      <c r="T65">
        <f t="shared" si="3"/>
        <v>26.918582011286897</v>
      </c>
      <c r="U65">
        <f t="shared" si="4"/>
        <v>27</v>
      </c>
    </row>
    <row r="66" spans="4:21" x14ac:dyDescent="0.35">
      <c r="E66" t="s">
        <v>3468</v>
      </c>
      <c r="F66">
        <v>30</v>
      </c>
      <c r="G66" t="s">
        <v>3462</v>
      </c>
      <c r="L66" s="15">
        <v>0.47981404962459628</v>
      </c>
      <c r="M66">
        <v>48</v>
      </c>
      <c r="O66">
        <f t="shared" si="0"/>
        <v>23.031074381980623</v>
      </c>
      <c r="P66">
        <f t="shared" ref="P66:P97" si="6">ROUNDDOWN(O66,0)+1</f>
        <v>24</v>
      </c>
      <c r="Q66">
        <f t="shared" si="2"/>
        <v>23</v>
      </c>
      <c r="S66">
        <v>55</v>
      </c>
      <c r="T66">
        <f t="shared" si="3"/>
        <v>26.389772729352796</v>
      </c>
      <c r="U66">
        <f t="shared" si="4"/>
        <v>26</v>
      </c>
    </row>
    <row r="67" spans="4:21" x14ac:dyDescent="0.35">
      <c r="E67" t="s">
        <v>3460</v>
      </c>
      <c r="F67">
        <v>27</v>
      </c>
      <c r="G67" t="s">
        <v>3463</v>
      </c>
      <c r="L67" s="15">
        <v>0.46971808031624623</v>
      </c>
      <c r="M67">
        <v>47</v>
      </c>
      <c r="O67">
        <f t="shared" ref="O67:O113" si="7">L67*M67</f>
        <v>22.076749774863572</v>
      </c>
      <c r="P67">
        <f t="shared" si="6"/>
        <v>23</v>
      </c>
      <c r="Q67">
        <f t="shared" ref="Q67:Q113" si="8">ROUND(O67, 0)</f>
        <v>22</v>
      </c>
      <c r="S67">
        <v>54</v>
      </c>
      <c r="T67">
        <f t="shared" ref="T67:T113" si="9">L67*S67</f>
        <v>25.364776337077295</v>
      </c>
      <c r="U67">
        <f t="shared" ref="U67:U113" si="10">ROUND(T67, 0)</f>
        <v>25</v>
      </c>
    </row>
    <row r="68" spans="4:21" x14ac:dyDescent="0.35">
      <c r="E68" t="s">
        <v>3461</v>
      </c>
      <c r="F68">
        <v>24</v>
      </c>
      <c r="G68" t="s">
        <v>3464</v>
      </c>
      <c r="L68" s="15">
        <v>0.4690653704908912</v>
      </c>
      <c r="M68">
        <v>46</v>
      </c>
      <c r="O68">
        <f t="shared" si="7"/>
        <v>21.577007042580995</v>
      </c>
      <c r="P68">
        <f t="shared" si="6"/>
        <v>22</v>
      </c>
      <c r="Q68">
        <f t="shared" si="8"/>
        <v>22</v>
      </c>
      <c r="S68">
        <v>53</v>
      </c>
      <c r="T68">
        <f t="shared" si="9"/>
        <v>24.860464636017234</v>
      </c>
      <c r="U68">
        <f t="shared" si="10"/>
        <v>25</v>
      </c>
    </row>
    <row r="69" spans="4:21" x14ac:dyDescent="0.35">
      <c r="E69" t="s">
        <v>3462</v>
      </c>
      <c r="F69">
        <v>21</v>
      </c>
      <c r="G69" t="s">
        <v>3465</v>
      </c>
      <c r="L69" s="15">
        <v>0.4674066408932116</v>
      </c>
      <c r="M69">
        <v>45</v>
      </c>
      <c r="O69">
        <f t="shared" si="7"/>
        <v>21.033298840194522</v>
      </c>
      <c r="P69">
        <f t="shared" si="6"/>
        <v>22</v>
      </c>
      <c r="Q69">
        <f t="shared" si="8"/>
        <v>21</v>
      </c>
      <c r="S69">
        <v>52</v>
      </c>
      <c r="T69">
        <f t="shared" si="9"/>
        <v>24.305145326447004</v>
      </c>
      <c r="U69">
        <f t="shared" si="10"/>
        <v>24</v>
      </c>
    </row>
    <row r="70" spans="4:21" x14ac:dyDescent="0.35">
      <c r="E70" t="s">
        <v>3463</v>
      </c>
      <c r="F70">
        <v>18</v>
      </c>
      <c r="G70" t="s">
        <v>3466</v>
      </c>
      <c r="L70" s="15">
        <v>0.46713842693092217</v>
      </c>
      <c r="M70">
        <v>44</v>
      </c>
      <c r="O70">
        <f t="shared" si="7"/>
        <v>20.554090784960575</v>
      </c>
      <c r="P70">
        <f t="shared" si="6"/>
        <v>21</v>
      </c>
      <c r="Q70">
        <f t="shared" si="8"/>
        <v>21</v>
      </c>
      <c r="S70">
        <v>51</v>
      </c>
      <c r="T70">
        <f t="shared" si="9"/>
        <v>23.824059773477032</v>
      </c>
      <c r="U70">
        <f t="shared" si="10"/>
        <v>24</v>
      </c>
    </row>
    <row r="71" spans="4:21" x14ac:dyDescent="0.35">
      <c r="E71" t="s">
        <v>3464</v>
      </c>
      <c r="F71">
        <v>15</v>
      </c>
      <c r="L71" s="15">
        <v>0.4516854375920204</v>
      </c>
      <c r="M71">
        <v>43</v>
      </c>
      <c r="O71">
        <f t="shared" si="7"/>
        <v>19.422473816456876</v>
      </c>
      <c r="P71">
        <f t="shared" si="6"/>
        <v>20</v>
      </c>
      <c r="Q71">
        <f t="shared" si="8"/>
        <v>19</v>
      </c>
      <c r="S71">
        <v>50</v>
      </c>
      <c r="T71">
        <f t="shared" si="9"/>
        <v>22.584271879601019</v>
      </c>
      <c r="U71">
        <f t="shared" si="10"/>
        <v>23</v>
      </c>
    </row>
    <row r="72" spans="4:21" x14ac:dyDescent="0.35">
      <c r="E72" t="s">
        <v>3465</v>
      </c>
      <c r="F72">
        <v>12</v>
      </c>
      <c r="L72" s="15">
        <v>0.44803636431625543</v>
      </c>
      <c r="M72">
        <v>42</v>
      </c>
      <c r="O72">
        <f t="shared" si="7"/>
        <v>18.817527301282727</v>
      </c>
      <c r="P72">
        <f t="shared" si="6"/>
        <v>19</v>
      </c>
      <c r="Q72">
        <f t="shared" si="8"/>
        <v>19</v>
      </c>
      <c r="S72">
        <v>48</v>
      </c>
      <c r="T72">
        <f t="shared" si="9"/>
        <v>21.50574548718026</v>
      </c>
      <c r="U72">
        <f t="shared" si="10"/>
        <v>22</v>
      </c>
    </row>
    <row r="73" spans="4:21" x14ac:dyDescent="0.35">
      <c r="E73" t="s">
        <v>3466</v>
      </c>
      <c r="F73">
        <v>9</v>
      </c>
      <c r="L73" s="15">
        <v>0.43959030182509584</v>
      </c>
      <c r="M73">
        <v>41</v>
      </c>
      <c r="O73">
        <f t="shared" si="7"/>
        <v>18.02320237482893</v>
      </c>
      <c r="P73">
        <f t="shared" si="6"/>
        <v>19</v>
      </c>
      <c r="Q73">
        <f t="shared" si="8"/>
        <v>18</v>
      </c>
      <c r="S73">
        <v>47</v>
      </c>
      <c r="T73">
        <f t="shared" si="9"/>
        <v>20.660744185779503</v>
      </c>
      <c r="U73">
        <f t="shared" si="10"/>
        <v>21</v>
      </c>
    </row>
    <row r="74" spans="4:21" x14ac:dyDescent="0.35">
      <c r="L74" s="15">
        <v>0.43053883512372021</v>
      </c>
      <c r="M74">
        <v>40</v>
      </c>
      <c r="O74">
        <f t="shared" si="7"/>
        <v>17.221553404948807</v>
      </c>
      <c r="P74">
        <f t="shared" si="6"/>
        <v>18</v>
      </c>
      <c r="Q74">
        <f t="shared" si="8"/>
        <v>17</v>
      </c>
      <c r="S74">
        <v>46</v>
      </c>
      <c r="T74">
        <f t="shared" si="9"/>
        <v>19.80478641569113</v>
      </c>
      <c r="U74">
        <f t="shared" si="10"/>
        <v>20</v>
      </c>
    </row>
    <row r="75" spans="4:21" x14ac:dyDescent="0.35">
      <c r="L75" s="15">
        <v>0.42471573169992277</v>
      </c>
      <c r="M75">
        <v>39</v>
      </c>
      <c r="O75">
        <f t="shared" si="7"/>
        <v>16.563913536296987</v>
      </c>
      <c r="P75">
        <f t="shared" si="6"/>
        <v>17</v>
      </c>
      <c r="Q75">
        <f t="shared" si="8"/>
        <v>17</v>
      </c>
      <c r="S75">
        <v>45</v>
      </c>
      <c r="T75">
        <f t="shared" si="9"/>
        <v>19.112207926496524</v>
      </c>
      <c r="U75">
        <f t="shared" si="10"/>
        <v>19</v>
      </c>
    </row>
    <row r="76" spans="4:21" x14ac:dyDescent="0.35">
      <c r="L76" s="15">
        <v>0.40963450463332135</v>
      </c>
      <c r="M76">
        <v>38</v>
      </c>
      <c r="O76">
        <f t="shared" si="7"/>
        <v>15.566111176066212</v>
      </c>
      <c r="P76">
        <f t="shared" si="6"/>
        <v>16</v>
      </c>
      <c r="Q76">
        <f t="shared" si="8"/>
        <v>16</v>
      </c>
      <c r="S76">
        <v>44</v>
      </c>
      <c r="T76">
        <f t="shared" si="9"/>
        <v>18.023918203866138</v>
      </c>
      <c r="U76">
        <f t="shared" si="10"/>
        <v>18</v>
      </c>
    </row>
    <row r="77" spans="4:21" x14ac:dyDescent="0.35">
      <c r="L77" s="15">
        <v>0.40253676561002433</v>
      </c>
      <c r="M77">
        <v>37</v>
      </c>
      <c r="O77">
        <f t="shared" si="7"/>
        <v>14.8938603275709</v>
      </c>
      <c r="P77">
        <f t="shared" si="6"/>
        <v>15</v>
      </c>
      <c r="Q77">
        <f t="shared" si="8"/>
        <v>15</v>
      </c>
      <c r="S77">
        <v>43</v>
      </c>
      <c r="T77">
        <f t="shared" si="9"/>
        <v>17.309080921231047</v>
      </c>
      <c r="U77">
        <f t="shared" si="10"/>
        <v>17</v>
      </c>
    </row>
    <row r="78" spans="4:21" x14ac:dyDescent="0.35">
      <c r="L78" s="15">
        <v>0.39855187517957419</v>
      </c>
      <c r="M78">
        <v>36</v>
      </c>
      <c r="O78">
        <f t="shared" si="7"/>
        <v>14.34786750646467</v>
      </c>
      <c r="P78">
        <f t="shared" si="6"/>
        <v>15</v>
      </c>
      <c r="Q78">
        <f t="shared" si="8"/>
        <v>14</v>
      </c>
      <c r="S78">
        <v>42</v>
      </c>
      <c r="T78">
        <f t="shared" si="9"/>
        <v>16.739178757542117</v>
      </c>
      <c r="U78">
        <f t="shared" si="10"/>
        <v>17</v>
      </c>
    </row>
    <row r="79" spans="4:21" x14ac:dyDescent="0.35">
      <c r="L79" s="15">
        <v>0.39634547100842576</v>
      </c>
      <c r="M79">
        <v>35</v>
      </c>
      <c r="O79">
        <f t="shared" si="7"/>
        <v>13.872091485294902</v>
      </c>
      <c r="P79">
        <f t="shared" si="6"/>
        <v>14</v>
      </c>
      <c r="Q79">
        <f t="shared" si="8"/>
        <v>14</v>
      </c>
      <c r="S79">
        <v>40</v>
      </c>
      <c r="T79">
        <f t="shared" si="9"/>
        <v>15.853818840337031</v>
      </c>
      <c r="U79">
        <f t="shared" si="10"/>
        <v>16</v>
      </c>
    </row>
    <row r="80" spans="4:21" x14ac:dyDescent="0.35">
      <c r="L80" s="15">
        <v>0.39608346479125217</v>
      </c>
      <c r="M80">
        <v>34</v>
      </c>
      <c r="O80">
        <f t="shared" si="7"/>
        <v>13.466837802902575</v>
      </c>
      <c r="P80">
        <f t="shared" si="6"/>
        <v>14</v>
      </c>
      <c r="Q80">
        <f t="shared" si="8"/>
        <v>13</v>
      </c>
      <c r="S80">
        <v>39</v>
      </c>
      <c r="T80">
        <f t="shared" si="9"/>
        <v>15.447255126858835</v>
      </c>
      <c r="U80">
        <f t="shared" si="10"/>
        <v>15</v>
      </c>
    </row>
    <row r="81" spans="12:21" x14ac:dyDescent="0.35">
      <c r="L81" s="15">
        <v>0.39468378004406374</v>
      </c>
      <c r="M81">
        <v>33</v>
      </c>
      <c r="O81">
        <f t="shared" si="7"/>
        <v>13.024564741454103</v>
      </c>
      <c r="P81">
        <f t="shared" si="6"/>
        <v>14</v>
      </c>
      <c r="Q81">
        <f t="shared" si="8"/>
        <v>13</v>
      </c>
      <c r="S81">
        <v>38</v>
      </c>
      <c r="T81">
        <f t="shared" si="9"/>
        <v>14.997983641674422</v>
      </c>
      <c r="U81">
        <f t="shared" si="10"/>
        <v>15</v>
      </c>
    </row>
    <row r="82" spans="12:21" x14ac:dyDescent="0.35">
      <c r="L82" s="15">
        <v>0.39305074213969027</v>
      </c>
      <c r="M82">
        <v>32</v>
      </c>
      <c r="O82">
        <f t="shared" si="7"/>
        <v>12.577623748470089</v>
      </c>
      <c r="P82">
        <f t="shared" si="6"/>
        <v>13</v>
      </c>
      <c r="Q82">
        <f t="shared" si="8"/>
        <v>13</v>
      </c>
      <c r="S82">
        <v>37</v>
      </c>
      <c r="T82">
        <f t="shared" si="9"/>
        <v>14.54287745916854</v>
      </c>
      <c r="U82">
        <f t="shared" si="10"/>
        <v>15</v>
      </c>
    </row>
    <row r="83" spans="12:21" x14ac:dyDescent="0.35">
      <c r="L83" s="15">
        <v>0.39208454343547422</v>
      </c>
      <c r="M83">
        <v>31</v>
      </c>
      <c r="O83">
        <f t="shared" si="7"/>
        <v>12.1546208464997</v>
      </c>
      <c r="P83">
        <f t="shared" si="6"/>
        <v>13</v>
      </c>
      <c r="Q83">
        <f t="shared" si="8"/>
        <v>12</v>
      </c>
      <c r="S83">
        <v>36</v>
      </c>
      <c r="T83">
        <f t="shared" si="9"/>
        <v>14.115043563677071</v>
      </c>
      <c r="U83">
        <f t="shared" si="10"/>
        <v>14</v>
      </c>
    </row>
    <row r="84" spans="12:21" x14ac:dyDescent="0.35">
      <c r="L84" s="15">
        <v>0.39055148671020939</v>
      </c>
      <c r="M84">
        <v>30</v>
      </c>
      <c r="O84">
        <f t="shared" si="7"/>
        <v>11.716544601306282</v>
      </c>
      <c r="P84">
        <f t="shared" si="6"/>
        <v>12</v>
      </c>
      <c r="Q84">
        <f t="shared" si="8"/>
        <v>12</v>
      </c>
      <c r="S84">
        <v>35</v>
      </c>
      <c r="T84">
        <f t="shared" si="9"/>
        <v>13.66930203485733</v>
      </c>
      <c r="U84">
        <f t="shared" si="10"/>
        <v>14</v>
      </c>
    </row>
    <row r="85" spans="12:21" x14ac:dyDescent="0.35">
      <c r="L85" s="15">
        <v>0.39021566529523011</v>
      </c>
      <c r="M85">
        <v>29</v>
      </c>
      <c r="O85">
        <f t="shared" si="7"/>
        <v>11.316254293561673</v>
      </c>
      <c r="P85">
        <f t="shared" si="6"/>
        <v>12</v>
      </c>
      <c r="Q85">
        <f t="shared" si="8"/>
        <v>11</v>
      </c>
      <c r="S85">
        <v>34</v>
      </c>
      <c r="T85">
        <f t="shared" si="9"/>
        <v>13.267332620037823</v>
      </c>
      <c r="U85">
        <f t="shared" si="10"/>
        <v>13</v>
      </c>
    </row>
    <row r="86" spans="12:21" x14ac:dyDescent="0.35">
      <c r="L86" s="15">
        <v>0.38554161843004908</v>
      </c>
      <c r="M86">
        <v>28</v>
      </c>
      <c r="O86">
        <f t="shared" si="7"/>
        <v>10.795165316041373</v>
      </c>
      <c r="P86">
        <f t="shared" si="6"/>
        <v>11</v>
      </c>
      <c r="Q86">
        <f t="shared" si="8"/>
        <v>11</v>
      </c>
      <c r="S86">
        <v>32</v>
      </c>
      <c r="T86">
        <f t="shared" si="9"/>
        <v>12.337331789761571</v>
      </c>
      <c r="U86">
        <f t="shared" si="10"/>
        <v>12</v>
      </c>
    </row>
    <row r="87" spans="12:21" x14ac:dyDescent="0.35">
      <c r="L87" s="15">
        <v>0.3842016199299389</v>
      </c>
      <c r="M87">
        <v>27</v>
      </c>
      <c r="O87">
        <f t="shared" si="7"/>
        <v>10.37344373810835</v>
      </c>
      <c r="P87">
        <f t="shared" si="6"/>
        <v>11</v>
      </c>
      <c r="Q87">
        <f t="shared" si="8"/>
        <v>10</v>
      </c>
      <c r="S87">
        <v>31</v>
      </c>
      <c r="T87">
        <f t="shared" si="9"/>
        <v>11.910250217828105</v>
      </c>
      <c r="U87">
        <f t="shared" si="10"/>
        <v>12</v>
      </c>
    </row>
    <row r="88" spans="12:21" x14ac:dyDescent="0.35">
      <c r="L88" s="15">
        <v>0.37806572026558405</v>
      </c>
      <c r="M88">
        <v>26</v>
      </c>
      <c r="O88">
        <f t="shared" si="7"/>
        <v>9.829708726905185</v>
      </c>
      <c r="P88">
        <f t="shared" si="6"/>
        <v>10</v>
      </c>
      <c r="Q88">
        <f t="shared" si="8"/>
        <v>10</v>
      </c>
      <c r="S88">
        <v>30</v>
      </c>
      <c r="T88">
        <f t="shared" si="9"/>
        <v>11.341971607967521</v>
      </c>
      <c r="U88">
        <f t="shared" si="10"/>
        <v>11</v>
      </c>
    </row>
    <row r="89" spans="12:21" x14ac:dyDescent="0.35">
      <c r="L89" s="15">
        <v>0.36669542438981945</v>
      </c>
      <c r="M89">
        <v>25</v>
      </c>
      <c r="O89">
        <f t="shared" si="7"/>
        <v>9.1673856097454856</v>
      </c>
      <c r="P89">
        <f t="shared" si="6"/>
        <v>10</v>
      </c>
      <c r="Q89">
        <f t="shared" si="8"/>
        <v>9</v>
      </c>
      <c r="S89">
        <v>29</v>
      </c>
      <c r="T89">
        <f t="shared" si="9"/>
        <v>10.634167307304764</v>
      </c>
      <c r="U89">
        <f t="shared" si="10"/>
        <v>11</v>
      </c>
    </row>
    <row r="90" spans="12:21" x14ac:dyDescent="0.35">
      <c r="L90" s="15">
        <v>0.36477949713062136</v>
      </c>
      <c r="M90">
        <v>24</v>
      </c>
      <c r="O90">
        <f t="shared" si="7"/>
        <v>8.754707931134913</v>
      </c>
      <c r="P90">
        <f t="shared" si="6"/>
        <v>9</v>
      </c>
      <c r="Q90">
        <f t="shared" si="8"/>
        <v>9</v>
      </c>
      <c r="S90">
        <v>28</v>
      </c>
      <c r="T90">
        <f t="shared" si="9"/>
        <v>10.213825919657397</v>
      </c>
      <c r="U90">
        <f t="shared" si="10"/>
        <v>10</v>
      </c>
    </row>
    <row r="91" spans="12:21" x14ac:dyDescent="0.35">
      <c r="L91" s="15">
        <v>0.36295148044144598</v>
      </c>
      <c r="M91">
        <v>23</v>
      </c>
      <c r="O91">
        <f t="shared" si="7"/>
        <v>8.3478840501532581</v>
      </c>
      <c r="P91">
        <f t="shared" si="6"/>
        <v>9</v>
      </c>
      <c r="Q91">
        <f t="shared" si="8"/>
        <v>8</v>
      </c>
      <c r="S91">
        <v>27</v>
      </c>
      <c r="T91">
        <f t="shared" si="9"/>
        <v>9.799689971919042</v>
      </c>
      <c r="U91">
        <f t="shared" si="10"/>
        <v>10</v>
      </c>
    </row>
    <row r="92" spans="12:21" x14ac:dyDescent="0.35">
      <c r="L92" s="15">
        <v>0.3600493617098231</v>
      </c>
      <c r="M92">
        <v>22</v>
      </c>
      <c r="O92">
        <f t="shared" si="7"/>
        <v>7.9210859576161079</v>
      </c>
      <c r="P92">
        <f t="shared" si="6"/>
        <v>8</v>
      </c>
      <c r="Q92">
        <f t="shared" si="8"/>
        <v>8</v>
      </c>
      <c r="S92">
        <v>26</v>
      </c>
      <c r="T92">
        <f t="shared" si="9"/>
        <v>9.361283404455401</v>
      </c>
      <c r="U92">
        <f t="shared" si="10"/>
        <v>9</v>
      </c>
    </row>
    <row r="93" spans="12:21" x14ac:dyDescent="0.35">
      <c r="L93" s="15">
        <v>0.35818082804422063</v>
      </c>
      <c r="M93">
        <v>21</v>
      </c>
      <c r="O93">
        <f t="shared" si="7"/>
        <v>7.5217973889286336</v>
      </c>
      <c r="P93">
        <f t="shared" si="6"/>
        <v>8</v>
      </c>
      <c r="Q93">
        <f t="shared" si="8"/>
        <v>8</v>
      </c>
      <c r="S93">
        <v>24</v>
      </c>
      <c r="T93">
        <f t="shared" si="9"/>
        <v>8.5963398730612948</v>
      </c>
      <c r="U93">
        <f t="shared" si="10"/>
        <v>9</v>
      </c>
    </row>
    <row r="94" spans="12:21" x14ac:dyDescent="0.35">
      <c r="L94" s="15">
        <v>0.3524067050866142</v>
      </c>
      <c r="M94">
        <v>20</v>
      </c>
      <c r="O94">
        <f t="shared" si="7"/>
        <v>7.0481341017322841</v>
      </c>
      <c r="P94">
        <f t="shared" si="6"/>
        <v>8</v>
      </c>
      <c r="Q94">
        <f t="shared" si="8"/>
        <v>7</v>
      </c>
      <c r="S94">
        <v>23</v>
      </c>
      <c r="T94">
        <f t="shared" si="9"/>
        <v>8.1053542169921258</v>
      </c>
      <c r="U94">
        <f t="shared" si="10"/>
        <v>8</v>
      </c>
    </row>
    <row r="95" spans="12:21" x14ac:dyDescent="0.35">
      <c r="L95" s="15">
        <v>0.35044980818947352</v>
      </c>
      <c r="M95">
        <v>19</v>
      </c>
      <c r="O95">
        <f t="shared" si="7"/>
        <v>6.6585463555999969</v>
      </c>
      <c r="P95">
        <f t="shared" si="6"/>
        <v>7</v>
      </c>
      <c r="Q95">
        <f t="shared" si="8"/>
        <v>7</v>
      </c>
      <c r="S95">
        <v>22</v>
      </c>
      <c r="T95">
        <f t="shared" si="9"/>
        <v>7.7098957801684174</v>
      </c>
      <c r="U95">
        <f t="shared" si="10"/>
        <v>8</v>
      </c>
    </row>
    <row r="96" spans="12:21" x14ac:dyDescent="0.35">
      <c r="L96" s="15">
        <v>0.34939103505705549</v>
      </c>
      <c r="M96">
        <v>18</v>
      </c>
      <c r="O96">
        <f t="shared" si="7"/>
        <v>6.2890386310269992</v>
      </c>
      <c r="P96">
        <f t="shared" si="6"/>
        <v>7</v>
      </c>
      <c r="Q96">
        <f t="shared" si="8"/>
        <v>6</v>
      </c>
      <c r="S96">
        <v>21</v>
      </c>
      <c r="T96">
        <f t="shared" si="9"/>
        <v>7.3372117361981655</v>
      </c>
      <c r="U96">
        <f t="shared" si="10"/>
        <v>7</v>
      </c>
    </row>
    <row r="97" spans="12:21" x14ac:dyDescent="0.35">
      <c r="L97" s="15">
        <v>0.33787039714301537</v>
      </c>
      <c r="M97">
        <v>17</v>
      </c>
      <c r="O97">
        <f t="shared" si="7"/>
        <v>5.7437967514312609</v>
      </c>
      <c r="P97">
        <f t="shared" si="6"/>
        <v>6</v>
      </c>
      <c r="Q97">
        <f t="shared" si="8"/>
        <v>6</v>
      </c>
      <c r="S97">
        <v>20</v>
      </c>
      <c r="T97">
        <f t="shared" si="9"/>
        <v>6.7574079428603078</v>
      </c>
      <c r="U97">
        <f t="shared" si="10"/>
        <v>7</v>
      </c>
    </row>
    <row r="98" spans="12:21" x14ac:dyDescent="0.35">
      <c r="L98" s="15">
        <v>0.33781627417816246</v>
      </c>
      <c r="M98">
        <v>16</v>
      </c>
      <c r="O98">
        <f t="shared" si="7"/>
        <v>5.4050603868505993</v>
      </c>
      <c r="P98">
        <f t="shared" ref="P98:P113" si="11">ROUNDDOWN(O98,0)+1</f>
        <v>6</v>
      </c>
      <c r="Q98">
        <f t="shared" si="8"/>
        <v>5</v>
      </c>
      <c r="S98">
        <v>19</v>
      </c>
      <c r="T98">
        <f t="shared" si="9"/>
        <v>6.4185092093850864</v>
      </c>
      <c r="U98">
        <f t="shared" si="10"/>
        <v>6</v>
      </c>
    </row>
    <row r="99" spans="12:21" x14ac:dyDescent="0.35">
      <c r="L99" s="15">
        <v>0.32957119466446161</v>
      </c>
      <c r="M99">
        <v>15</v>
      </c>
      <c r="O99">
        <f t="shared" si="7"/>
        <v>4.9435679199669238</v>
      </c>
      <c r="P99">
        <f t="shared" si="11"/>
        <v>5</v>
      </c>
      <c r="Q99">
        <f t="shared" si="8"/>
        <v>5</v>
      </c>
      <c r="S99">
        <v>18</v>
      </c>
      <c r="T99">
        <f t="shared" si="9"/>
        <v>5.9322815039603087</v>
      </c>
      <c r="U99">
        <f t="shared" si="10"/>
        <v>6</v>
      </c>
    </row>
    <row r="100" spans="12:21" x14ac:dyDescent="0.35">
      <c r="L100" s="15">
        <v>0.32849530500459767</v>
      </c>
      <c r="M100">
        <v>14</v>
      </c>
      <c r="O100">
        <f t="shared" si="7"/>
        <v>4.5989342700643672</v>
      </c>
      <c r="P100">
        <f t="shared" si="11"/>
        <v>5</v>
      </c>
      <c r="Q100">
        <f t="shared" si="8"/>
        <v>5</v>
      </c>
      <c r="S100">
        <v>16</v>
      </c>
      <c r="T100">
        <f t="shared" si="9"/>
        <v>5.2559248800735627</v>
      </c>
      <c r="U100">
        <f t="shared" si="10"/>
        <v>5</v>
      </c>
    </row>
    <row r="101" spans="12:21" x14ac:dyDescent="0.35">
      <c r="L101" s="15">
        <v>0.32478033074263302</v>
      </c>
      <c r="M101">
        <v>13</v>
      </c>
      <c r="O101">
        <f t="shared" si="7"/>
        <v>4.2221442996542295</v>
      </c>
      <c r="P101">
        <f t="shared" si="11"/>
        <v>5</v>
      </c>
      <c r="Q101">
        <f t="shared" si="8"/>
        <v>4</v>
      </c>
      <c r="S101">
        <v>15</v>
      </c>
      <c r="T101">
        <f t="shared" si="9"/>
        <v>4.8717049611394954</v>
      </c>
      <c r="U101">
        <f t="shared" si="10"/>
        <v>5</v>
      </c>
    </row>
    <row r="102" spans="12:21" x14ac:dyDescent="0.35">
      <c r="L102" s="15">
        <v>0.31787693400456279</v>
      </c>
      <c r="M102">
        <v>12</v>
      </c>
      <c r="O102">
        <f t="shared" si="7"/>
        <v>3.8145232080547533</v>
      </c>
      <c r="P102">
        <f t="shared" si="11"/>
        <v>4</v>
      </c>
      <c r="Q102">
        <f t="shared" si="8"/>
        <v>4</v>
      </c>
      <c r="S102">
        <v>14</v>
      </c>
      <c r="T102">
        <f t="shared" si="9"/>
        <v>4.4502770760638795</v>
      </c>
      <c r="U102">
        <f t="shared" si="10"/>
        <v>4</v>
      </c>
    </row>
    <row r="103" spans="12:21" x14ac:dyDescent="0.35">
      <c r="L103" s="15">
        <v>0.3129284336313497</v>
      </c>
      <c r="M103">
        <v>11</v>
      </c>
      <c r="O103">
        <f t="shared" si="7"/>
        <v>3.4422127699448466</v>
      </c>
      <c r="P103">
        <f t="shared" si="11"/>
        <v>4</v>
      </c>
      <c r="Q103">
        <f t="shared" si="8"/>
        <v>3</v>
      </c>
      <c r="S103">
        <v>13</v>
      </c>
      <c r="T103">
        <f t="shared" si="9"/>
        <v>4.0680696372075458</v>
      </c>
      <c r="U103">
        <f t="shared" si="10"/>
        <v>4</v>
      </c>
    </row>
    <row r="104" spans="12:21" x14ac:dyDescent="0.35">
      <c r="L104" s="15">
        <v>0.31275558534200243</v>
      </c>
      <c r="M104">
        <v>10</v>
      </c>
      <c r="O104">
        <f t="shared" si="7"/>
        <v>3.1275558534200245</v>
      </c>
      <c r="P104">
        <f t="shared" si="11"/>
        <v>4</v>
      </c>
      <c r="Q104">
        <f t="shared" si="8"/>
        <v>3</v>
      </c>
      <c r="S104">
        <v>12</v>
      </c>
      <c r="T104">
        <f t="shared" si="9"/>
        <v>3.7530670241040291</v>
      </c>
      <c r="U104">
        <f t="shared" si="10"/>
        <v>4</v>
      </c>
    </row>
    <row r="105" spans="12:21" x14ac:dyDescent="0.35">
      <c r="L105" s="15">
        <v>0.30842274444399193</v>
      </c>
      <c r="M105">
        <v>9</v>
      </c>
      <c r="O105">
        <f t="shared" si="7"/>
        <v>2.7758046999959274</v>
      </c>
      <c r="P105">
        <f t="shared" si="11"/>
        <v>3</v>
      </c>
      <c r="Q105">
        <f t="shared" si="8"/>
        <v>3</v>
      </c>
      <c r="S105">
        <v>11</v>
      </c>
      <c r="T105">
        <f t="shared" si="9"/>
        <v>3.3926501888839113</v>
      </c>
      <c r="U105">
        <f t="shared" si="10"/>
        <v>3</v>
      </c>
    </row>
    <row r="106" spans="12:21" x14ac:dyDescent="0.35">
      <c r="L106" s="15">
        <v>0.30188794477545711</v>
      </c>
      <c r="M106">
        <v>8</v>
      </c>
      <c r="O106">
        <f t="shared" si="7"/>
        <v>2.4151035582036569</v>
      </c>
      <c r="P106">
        <f t="shared" si="11"/>
        <v>3</v>
      </c>
      <c r="Q106">
        <f t="shared" si="8"/>
        <v>2</v>
      </c>
      <c r="S106">
        <v>10</v>
      </c>
      <c r="T106">
        <f t="shared" si="9"/>
        <v>3.0188794477545713</v>
      </c>
      <c r="U106">
        <f t="shared" si="10"/>
        <v>3</v>
      </c>
    </row>
    <row r="107" spans="12:21" x14ac:dyDescent="0.35">
      <c r="L107" s="15">
        <v>0.28653223987577614</v>
      </c>
      <c r="M107">
        <v>7</v>
      </c>
      <c r="O107">
        <f t="shared" si="7"/>
        <v>2.0057256791304328</v>
      </c>
      <c r="P107">
        <f t="shared" si="11"/>
        <v>3</v>
      </c>
      <c r="Q107">
        <f t="shared" si="8"/>
        <v>2</v>
      </c>
      <c r="S107">
        <v>8</v>
      </c>
      <c r="T107">
        <f t="shared" si="9"/>
        <v>2.2922579190062091</v>
      </c>
      <c r="U107">
        <f t="shared" si="10"/>
        <v>2</v>
      </c>
    </row>
    <row r="108" spans="12:21" x14ac:dyDescent="0.35">
      <c r="L108" s="15">
        <v>0.27824122165593779</v>
      </c>
      <c r="M108">
        <v>6</v>
      </c>
      <c r="O108">
        <f t="shared" si="7"/>
        <v>1.6694473299356267</v>
      </c>
      <c r="P108">
        <f t="shared" si="11"/>
        <v>2</v>
      </c>
      <c r="Q108">
        <f t="shared" si="8"/>
        <v>2</v>
      </c>
      <c r="S108">
        <v>7</v>
      </c>
      <c r="T108">
        <f t="shared" si="9"/>
        <v>1.9476885515915645</v>
      </c>
      <c r="U108">
        <f t="shared" si="10"/>
        <v>2</v>
      </c>
    </row>
    <row r="109" spans="12:21" x14ac:dyDescent="0.35">
      <c r="L109" s="15">
        <v>0.26794288710900899</v>
      </c>
      <c r="M109">
        <v>5</v>
      </c>
      <c r="O109">
        <f t="shared" si="7"/>
        <v>1.339714435545045</v>
      </c>
      <c r="P109">
        <f t="shared" si="11"/>
        <v>2</v>
      </c>
      <c r="Q109">
        <f t="shared" si="8"/>
        <v>1</v>
      </c>
      <c r="S109">
        <v>6</v>
      </c>
      <c r="T109">
        <f t="shared" si="9"/>
        <v>1.6076573226540538</v>
      </c>
      <c r="U109">
        <f t="shared" si="10"/>
        <v>2</v>
      </c>
    </row>
    <row r="110" spans="12:21" x14ac:dyDescent="0.35">
      <c r="L110" s="15">
        <v>0.25928709208540607</v>
      </c>
      <c r="M110">
        <v>4</v>
      </c>
      <c r="O110">
        <f t="shared" si="7"/>
        <v>1.0371483683416243</v>
      </c>
      <c r="P110">
        <f t="shared" si="11"/>
        <v>2</v>
      </c>
      <c r="Q110">
        <f t="shared" si="8"/>
        <v>1</v>
      </c>
      <c r="S110">
        <v>5</v>
      </c>
      <c r="T110">
        <f t="shared" si="9"/>
        <v>1.2964354604270303</v>
      </c>
      <c r="U110">
        <f t="shared" si="10"/>
        <v>1</v>
      </c>
    </row>
    <row r="111" spans="12:21" x14ac:dyDescent="0.35">
      <c r="L111" s="15">
        <v>0.25625811340701898</v>
      </c>
      <c r="M111">
        <v>3</v>
      </c>
      <c r="O111">
        <f t="shared" si="7"/>
        <v>0.76877434022105695</v>
      </c>
      <c r="P111">
        <f t="shared" si="11"/>
        <v>1</v>
      </c>
      <c r="Q111">
        <f t="shared" si="8"/>
        <v>1</v>
      </c>
      <c r="S111">
        <v>4</v>
      </c>
      <c r="T111">
        <f t="shared" si="9"/>
        <v>1.0250324536280759</v>
      </c>
      <c r="U111">
        <f t="shared" si="10"/>
        <v>1</v>
      </c>
    </row>
    <row r="112" spans="12:21" x14ac:dyDescent="0.35">
      <c r="L112" s="15">
        <v>0.22989935890395857</v>
      </c>
      <c r="M112">
        <v>2</v>
      </c>
      <c r="O112">
        <f t="shared" si="7"/>
        <v>0.45979871780791715</v>
      </c>
      <c r="P112">
        <f t="shared" si="11"/>
        <v>1</v>
      </c>
      <c r="Q112">
        <f t="shared" si="8"/>
        <v>0</v>
      </c>
      <c r="S112">
        <v>3</v>
      </c>
      <c r="T112">
        <f t="shared" si="9"/>
        <v>0.68969807671187566</v>
      </c>
      <c r="U112">
        <f t="shared" si="10"/>
        <v>1</v>
      </c>
    </row>
    <row r="113" spans="12:21" x14ac:dyDescent="0.35">
      <c r="L113" s="15">
        <v>0.16929758584057075</v>
      </c>
      <c r="M113">
        <v>1</v>
      </c>
      <c r="O113">
        <f t="shared" si="7"/>
        <v>0.16929758584057075</v>
      </c>
      <c r="P113">
        <f t="shared" si="11"/>
        <v>1</v>
      </c>
      <c r="Q113">
        <f t="shared" si="8"/>
        <v>0</v>
      </c>
      <c r="S113">
        <v>2</v>
      </c>
      <c r="T113">
        <f t="shared" si="9"/>
        <v>0.3385951716811415</v>
      </c>
      <c r="U113">
        <f t="shared" si="10"/>
        <v>0</v>
      </c>
    </row>
  </sheetData>
  <sortState xmlns:xlrd2="http://schemas.microsoft.com/office/spreadsheetml/2017/richdata2" ref="V2:V129">
    <sortCondition descending="1" ref="V112"/>
  </sortState>
  <mergeCells count="52">
    <mergeCell ref="D55:D56"/>
    <mergeCell ref="E55:E58"/>
    <mergeCell ref="F55:F58"/>
    <mergeCell ref="G55:G58"/>
    <mergeCell ref="D57:D58"/>
    <mergeCell ref="D51:D52"/>
    <mergeCell ref="E51:E52"/>
    <mergeCell ref="F51:F52"/>
    <mergeCell ref="G51:G52"/>
    <mergeCell ref="D53:D54"/>
    <mergeCell ref="E53:E54"/>
    <mergeCell ref="F53:F54"/>
    <mergeCell ref="G53:G54"/>
    <mergeCell ref="E25:E26"/>
    <mergeCell ref="F25:F28"/>
    <mergeCell ref="G25:G28"/>
    <mergeCell ref="H25:H28"/>
    <mergeCell ref="E27:E28"/>
    <mergeCell ref="E21:E22"/>
    <mergeCell ref="F21:F22"/>
    <mergeCell ref="G21:G22"/>
    <mergeCell ref="H21:H22"/>
    <mergeCell ref="E23:E24"/>
    <mergeCell ref="F23:F24"/>
    <mergeCell ref="G23:G24"/>
    <mergeCell ref="H23:H24"/>
    <mergeCell ref="E6:E7"/>
    <mergeCell ref="E8:E9"/>
    <mergeCell ref="H10:H13"/>
    <mergeCell ref="F10:F13"/>
    <mergeCell ref="G10:G13"/>
    <mergeCell ref="E12:E13"/>
    <mergeCell ref="E10:E11"/>
    <mergeCell ref="H8:H9"/>
    <mergeCell ref="H6:H7"/>
    <mergeCell ref="F6:F7"/>
    <mergeCell ref="F8:F9"/>
    <mergeCell ref="G6:G7"/>
    <mergeCell ref="G8:G9"/>
    <mergeCell ref="E36:E37"/>
    <mergeCell ref="F36:F37"/>
    <mergeCell ref="G36:G37"/>
    <mergeCell ref="H36:H37"/>
    <mergeCell ref="E38:E39"/>
    <mergeCell ref="F38:F39"/>
    <mergeCell ref="G38:G39"/>
    <mergeCell ref="H38:H39"/>
    <mergeCell ref="E40:E41"/>
    <mergeCell ref="F40:F43"/>
    <mergeCell ref="G40:G43"/>
    <mergeCell ref="H40:H43"/>
    <mergeCell ref="E42:E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72"/>
  <sheetViews>
    <sheetView topLeftCell="H1" workbookViewId="0">
      <selection activeCell="Q37" sqref="Q37"/>
    </sheetView>
  </sheetViews>
  <sheetFormatPr defaultRowHeight="14.5" x14ac:dyDescent="0.35"/>
  <sheetData>
    <row r="1" spans="2:30" x14ac:dyDescent="0.35">
      <c r="P1" s="22">
        <v>120</v>
      </c>
      <c r="Q1" s="22">
        <v>110</v>
      </c>
      <c r="R1" s="22">
        <v>126</v>
      </c>
      <c r="S1" s="22">
        <v>158</v>
      </c>
      <c r="T1" s="22">
        <v>776</v>
      </c>
      <c r="U1" s="22">
        <v>56</v>
      </c>
      <c r="V1" s="22">
        <v>1346</v>
      </c>
      <c r="AB1" s="123" t="s">
        <v>86</v>
      </c>
      <c r="AC1" s="123"/>
    </row>
    <row r="2" spans="2:30" x14ac:dyDescent="0.35">
      <c r="B2" s="20" t="s">
        <v>146</v>
      </c>
      <c r="G2" t="s">
        <v>38</v>
      </c>
      <c r="I2" t="s">
        <v>68</v>
      </c>
      <c r="J2" t="s">
        <v>66</v>
      </c>
      <c r="K2" t="s">
        <v>0</v>
      </c>
      <c r="L2" t="s">
        <v>67</v>
      </c>
      <c r="M2" t="s">
        <v>69</v>
      </c>
      <c r="P2" t="s">
        <v>68</v>
      </c>
      <c r="Q2" t="s">
        <v>66</v>
      </c>
      <c r="R2" t="s">
        <v>0</v>
      </c>
      <c r="S2" t="s">
        <v>67</v>
      </c>
      <c r="T2" t="s">
        <v>69</v>
      </c>
      <c r="U2" s="1" t="s">
        <v>127</v>
      </c>
      <c r="V2" s="22" t="s">
        <v>270</v>
      </c>
      <c r="X2" s="1" t="s">
        <v>70</v>
      </c>
      <c r="Y2" s="1" t="s">
        <v>71</v>
      </c>
      <c r="Z2" s="1" t="s">
        <v>72</v>
      </c>
      <c r="AB2" s="1" t="s">
        <v>71</v>
      </c>
      <c r="AC2" s="1" t="s">
        <v>72</v>
      </c>
    </row>
    <row r="3" spans="2:30" x14ac:dyDescent="0.35">
      <c r="B3" s="1" t="s">
        <v>106</v>
      </c>
      <c r="D3" s="1" t="s">
        <v>108</v>
      </c>
      <c r="G3" t="s">
        <v>38</v>
      </c>
      <c r="I3">
        <v>32</v>
      </c>
      <c r="J3">
        <v>12</v>
      </c>
      <c r="K3">
        <v>16</v>
      </c>
      <c r="L3">
        <v>32</v>
      </c>
      <c r="M3">
        <v>64</v>
      </c>
      <c r="O3" t="s">
        <v>29</v>
      </c>
      <c r="T3">
        <v>64</v>
      </c>
      <c r="U3">
        <f>SUM(P3:T3)</f>
        <v>64</v>
      </c>
      <c r="Z3" s="3" t="s">
        <v>142</v>
      </c>
      <c r="AB3" s="3" t="s">
        <v>88</v>
      </c>
      <c r="AC3" t="s">
        <v>87</v>
      </c>
      <c r="AD3">
        <v>1</v>
      </c>
    </row>
    <row r="4" spans="2:30" x14ac:dyDescent="0.35">
      <c r="B4" t="s">
        <v>110</v>
      </c>
      <c r="D4" t="s">
        <v>118</v>
      </c>
      <c r="G4" t="s">
        <v>38</v>
      </c>
      <c r="I4">
        <v>32</v>
      </c>
      <c r="J4">
        <v>12</v>
      </c>
      <c r="K4">
        <v>16</v>
      </c>
      <c r="L4">
        <v>32</v>
      </c>
      <c r="M4">
        <v>64</v>
      </c>
      <c r="O4" t="s">
        <v>30</v>
      </c>
      <c r="T4">
        <v>64</v>
      </c>
      <c r="U4">
        <f t="shared" ref="U4:U21" si="0">SUM(P4:T4)</f>
        <v>64</v>
      </c>
      <c r="Z4" s="3" t="s">
        <v>142</v>
      </c>
      <c r="AB4" s="3" t="s">
        <v>88</v>
      </c>
      <c r="AC4" t="s">
        <v>87</v>
      </c>
      <c r="AD4">
        <v>2</v>
      </c>
    </row>
    <row r="5" spans="2:30" x14ac:dyDescent="0.35">
      <c r="B5" t="s">
        <v>111</v>
      </c>
      <c r="D5" t="s">
        <v>119</v>
      </c>
      <c r="G5" t="s">
        <v>44</v>
      </c>
      <c r="I5">
        <v>32</v>
      </c>
      <c r="J5">
        <v>12</v>
      </c>
      <c r="K5">
        <v>16</v>
      </c>
      <c r="L5">
        <v>32</v>
      </c>
      <c r="M5">
        <v>64</v>
      </c>
      <c r="O5" t="s">
        <v>31</v>
      </c>
      <c r="T5">
        <v>64</v>
      </c>
      <c r="U5">
        <f t="shared" si="0"/>
        <v>64</v>
      </c>
      <c r="Z5" s="3" t="s">
        <v>142</v>
      </c>
      <c r="AB5" s="3" t="s">
        <v>88</v>
      </c>
      <c r="AC5" t="s">
        <v>87</v>
      </c>
      <c r="AD5">
        <v>3</v>
      </c>
    </row>
    <row r="6" spans="2:30" x14ac:dyDescent="0.35">
      <c r="B6" t="s">
        <v>112</v>
      </c>
      <c r="D6" t="s">
        <v>121</v>
      </c>
      <c r="G6" t="s">
        <v>44</v>
      </c>
      <c r="I6">
        <v>16</v>
      </c>
      <c r="J6">
        <v>12</v>
      </c>
      <c r="K6">
        <v>16</v>
      </c>
      <c r="L6">
        <v>32</v>
      </c>
      <c r="M6">
        <v>48</v>
      </c>
      <c r="O6" t="s">
        <v>32</v>
      </c>
      <c r="Q6">
        <v>12</v>
      </c>
      <c r="R6">
        <v>16</v>
      </c>
      <c r="T6">
        <v>48</v>
      </c>
      <c r="U6">
        <f t="shared" si="0"/>
        <v>76</v>
      </c>
      <c r="X6" s="8" t="s">
        <v>136</v>
      </c>
      <c r="Y6" t="s">
        <v>269</v>
      </c>
      <c r="Z6" s="19" t="s">
        <v>39</v>
      </c>
      <c r="AB6" t="s">
        <v>87</v>
      </c>
      <c r="AC6" t="s">
        <v>87</v>
      </c>
      <c r="AD6">
        <v>5</v>
      </c>
    </row>
    <row r="7" spans="2:30" x14ac:dyDescent="0.35">
      <c r="B7" t="s">
        <v>113</v>
      </c>
      <c r="D7" t="s">
        <v>120</v>
      </c>
      <c r="G7" t="s">
        <v>44</v>
      </c>
      <c r="I7">
        <v>8</v>
      </c>
      <c r="J7">
        <v>12</v>
      </c>
      <c r="K7">
        <v>16</v>
      </c>
      <c r="L7">
        <v>16</v>
      </c>
      <c r="M7">
        <v>64</v>
      </c>
      <c r="O7" t="s">
        <v>33</v>
      </c>
      <c r="P7">
        <v>32</v>
      </c>
      <c r="Q7">
        <v>12</v>
      </c>
      <c r="R7">
        <v>16</v>
      </c>
      <c r="S7">
        <v>16</v>
      </c>
      <c r="U7">
        <f t="shared" si="0"/>
        <v>76</v>
      </c>
      <c r="X7" s="8" t="s">
        <v>137</v>
      </c>
      <c r="Y7" s="9" t="s">
        <v>222</v>
      </c>
      <c r="Z7" s="10" t="s">
        <v>73</v>
      </c>
      <c r="AB7" t="s">
        <v>87</v>
      </c>
      <c r="AC7" t="s">
        <v>87</v>
      </c>
      <c r="AD7">
        <v>7</v>
      </c>
    </row>
    <row r="8" spans="2:30" x14ac:dyDescent="0.35">
      <c r="G8" t="s">
        <v>40</v>
      </c>
      <c r="J8">
        <v>12</v>
      </c>
      <c r="K8">
        <v>16</v>
      </c>
      <c r="L8">
        <v>8</v>
      </c>
      <c r="M8">
        <v>48</v>
      </c>
      <c r="O8" t="s">
        <v>34</v>
      </c>
      <c r="Q8">
        <v>12</v>
      </c>
      <c r="R8">
        <v>16</v>
      </c>
      <c r="S8">
        <v>16</v>
      </c>
      <c r="T8">
        <v>64</v>
      </c>
      <c r="U8">
        <f t="shared" si="0"/>
        <v>108</v>
      </c>
      <c r="X8" s="8" t="s">
        <v>138</v>
      </c>
      <c r="Y8" s="9" t="s">
        <v>225</v>
      </c>
      <c r="Z8" s="3" t="s">
        <v>142</v>
      </c>
      <c r="AB8" t="s">
        <v>87</v>
      </c>
      <c r="AC8" t="s">
        <v>87</v>
      </c>
      <c r="AD8">
        <v>9</v>
      </c>
    </row>
    <row r="9" spans="2:30" x14ac:dyDescent="0.35">
      <c r="B9" s="1" t="s">
        <v>107</v>
      </c>
      <c r="D9" s="1" t="s">
        <v>109</v>
      </c>
      <c r="G9" t="s">
        <v>126</v>
      </c>
      <c r="J9">
        <v>8</v>
      </c>
      <c r="L9">
        <v>4</v>
      </c>
      <c r="M9">
        <v>64</v>
      </c>
      <c r="O9" t="s">
        <v>46</v>
      </c>
      <c r="P9">
        <v>32</v>
      </c>
      <c r="Q9">
        <v>12</v>
      </c>
      <c r="R9">
        <v>16</v>
      </c>
      <c r="T9">
        <v>48</v>
      </c>
      <c r="U9">
        <f t="shared" si="0"/>
        <v>108</v>
      </c>
      <c r="X9" s="8" t="s">
        <v>139</v>
      </c>
      <c r="Y9" s="10" t="s">
        <v>74</v>
      </c>
      <c r="Z9" s="19" t="s">
        <v>41</v>
      </c>
      <c r="AB9" t="s">
        <v>87</v>
      </c>
      <c r="AC9" t="s">
        <v>87</v>
      </c>
      <c r="AD9">
        <v>11</v>
      </c>
    </row>
    <row r="10" spans="2:30" x14ac:dyDescent="0.35">
      <c r="B10" t="s">
        <v>114</v>
      </c>
      <c r="D10" t="s">
        <v>125</v>
      </c>
      <c r="G10" t="s">
        <v>45</v>
      </c>
      <c r="J10">
        <v>16</v>
      </c>
      <c r="K10">
        <v>16</v>
      </c>
      <c r="L10">
        <v>2</v>
      </c>
      <c r="M10">
        <v>64</v>
      </c>
      <c r="O10" t="s">
        <v>47</v>
      </c>
      <c r="Q10">
        <v>12</v>
      </c>
      <c r="R10">
        <v>16</v>
      </c>
      <c r="S10">
        <v>16</v>
      </c>
      <c r="T10">
        <v>64</v>
      </c>
      <c r="U10">
        <f t="shared" si="0"/>
        <v>108</v>
      </c>
      <c r="X10" s="8" t="s">
        <v>140</v>
      </c>
      <c r="Y10" s="9" t="s">
        <v>223</v>
      </c>
      <c r="Z10" s="17" t="s">
        <v>143</v>
      </c>
      <c r="AB10" t="s">
        <v>87</v>
      </c>
      <c r="AC10" t="s">
        <v>87</v>
      </c>
      <c r="AD10">
        <v>13</v>
      </c>
    </row>
    <row r="11" spans="2:30" x14ac:dyDescent="0.35">
      <c r="B11" t="s">
        <v>115</v>
      </c>
      <c r="D11" t="s">
        <v>122</v>
      </c>
      <c r="G11" t="s">
        <v>39</v>
      </c>
      <c r="J11">
        <v>8</v>
      </c>
      <c r="K11">
        <v>8</v>
      </c>
      <c r="M11">
        <v>48</v>
      </c>
      <c r="O11" t="s">
        <v>48</v>
      </c>
      <c r="P11">
        <v>32</v>
      </c>
      <c r="Q11">
        <v>12</v>
      </c>
      <c r="R11">
        <v>16</v>
      </c>
      <c r="S11">
        <v>16</v>
      </c>
      <c r="U11">
        <f t="shared" si="0"/>
        <v>76</v>
      </c>
      <c r="X11" s="8" t="s">
        <v>141</v>
      </c>
      <c r="Y11" s="9" t="s">
        <v>226</v>
      </c>
      <c r="Z11" s="10" t="s">
        <v>76</v>
      </c>
      <c r="AB11" t="s">
        <v>87</v>
      </c>
      <c r="AC11" t="s">
        <v>87</v>
      </c>
      <c r="AD11">
        <v>15</v>
      </c>
    </row>
    <row r="12" spans="2:30" x14ac:dyDescent="0.35">
      <c r="B12" t="s">
        <v>116</v>
      </c>
      <c r="D12" t="s">
        <v>123</v>
      </c>
      <c r="G12" t="s">
        <v>41</v>
      </c>
      <c r="J12">
        <v>4</v>
      </c>
      <c r="K12">
        <v>4</v>
      </c>
      <c r="M12">
        <v>64</v>
      </c>
      <c r="O12" t="s">
        <v>49</v>
      </c>
      <c r="Q12">
        <v>8</v>
      </c>
      <c r="S12">
        <v>16</v>
      </c>
      <c r="T12">
        <v>64</v>
      </c>
      <c r="U12">
        <f t="shared" si="0"/>
        <v>88</v>
      </c>
      <c r="X12" s="8" t="s">
        <v>235</v>
      </c>
      <c r="Y12" s="9" t="s">
        <v>224</v>
      </c>
      <c r="Z12" s="17" t="s">
        <v>143</v>
      </c>
      <c r="AB12" s="3" t="s">
        <v>88</v>
      </c>
      <c r="AC12" t="s">
        <v>87</v>
      </c>
      <c r="AD12">
        <v>16</v>
      </c>
    </row>
    <row r="13" spans="2:30" x14ac:dyDescent="0.35">
      <c r="B13" t="s">
        <v>117</v>
      </c>
      <c r="D13" t="s">
        <v>124</v>
      </c>
      <c r="G13" t="s">
        <v>42</v>
      </c>
      <c r="J13">
        <v>2</v>
      </c>
      <c r="K13">
        <v>2</v>
      </c>
      <c r="M13">
        <v>48</v>
      </c>
      <c r="O13" t="s">
        <v>50</v>
      </c>
      <c r="P13">
        <v>16</v>
      </c>
      <c r="S13">
        <v>16</v>
      </c>
      <c r="T13">
        <v>48</v>
      </c>
      <c r="U13">
        <f t="shared" si="0"/>
        <v>80</v>
      </c>
      <c r="X13" s="10" t="s">
        <v>75</v>
      </c>
      <c r="Y13" s="9" t="s">
        <v>456</v>
      </c>
      <c r="Z13" s="19" t="s">
        <v>42</v>
      </c>
      <c r="AB13" t="s">
        <v>87</v>
      </c>
      <c r="AC13" t="s">
        <v>87</v>
      </c>
      <c r="AD13">
        <v>18</v>
      </c>
    </row>
    <row r="14" spans="2:30" x14ac:dyDescent="0.35">
      <c r="M14">
        <v>64</v>
      </c>
      <c r="O14" t="s">
        <v>51</v>
      </c>
      <c r="Q14">
        <v>8</v>
      </c>
      <c r="R14">
        <v>8</v>
      </c>
      <c r="S14">
        <v>16</v>
      </c>
      <c r="T14">
        <v>64</v>
      </c>
      <c r="U14">
        <f t="shared" si="0"/>
        <v>96</v>
      </c>
      <c r="X14" s="8" t="s">
        <v>133</v>
      </c>
      <c r="Y14" s="9" t="s">
        <v>234</v>
      </c>
      <c r="Z14" s="17" t="s">
        <v>143</v>
      </c>
      <c r="AB14" t="s">
        <v>87</v>
      </c>
      <c r="AC14" t="s">
        <v>87</v>
      </c>
      <c r="AD14">
        <v>20</v>
      </c>
    </row>
    <row r="15" spans="2:30" x14ac:dyDescent="0.35">
      <c r="B15" t="s">
        <v>239</v>
      </c>
      <c r="I15">
        <v>1</v>
      </c>
      <c r="J15">
        <v>2</v>
      </c>
      <c r="M15">
        <v>64</v>
      </c>
      <c r="O15" t="s">
        <v>52</v>
      </c>
      <c r="P15">
        <v>8</v>
      </c>
      <c r="Q15">
        <v>8</v>
      </c>
      <c r="R15">
        <v>8</v>
      </c>
      <c r="S15">
        <v>16</v>
      </c>
      <c r="U15">
        <f t="shared" si="0"/>
        <v>40</v>
      </c>
      <c r="X15" s="8" t="s">
        <v>133</v>
      </c>
      <c r="Y15" s="9" t="s">
        <v>234</v>
      </c>
      <c r="Z15" s="10" t="s">
        <v>77</v>
      </c>
      <c r="AB15" t="s">
        <v>87</v>
      </c>
      <c r="AC15" t="s">
        <v>87</v>
      </c>
      <c r="AD15">
        <v>22</v>
      </c>
    </row>
    <row r="16" spans="2:30" x14ac:dyDescent="0.35">
      <c r="I16">
        <v>4</v>
      </c>
      <c r="J16">
        <v>3</v>
      </c>
      <c r="O16" t="s">
        <v>53</v>
      </c>
      <c r="Q16">
        <v>4</v>
      </c>
      <c r="R16">
        <v>4</v>
      </c>
      <c r="S16">
        <v>8</v>
      </c>
      <c r="T16">
        <v>48</v>
      </c>
      <c r="U16">
        <f t="shared" si="0"/>
        <v>64</v>
      </c>
      <c r="X16" s="8" t="s">
        <v>132</v>
      </c>
      <c r="Y16" s="9" t="s">
        <v>78</v>
      </c>
      <c r="Z16" s="19" t="s">
        <v>43</v>
      </c>
      <c r="AB16" t="s">
        <v>87</v>
      </c>
      <c r="AC16" t="s">
        <v>87</v>
      </c>
      <c r="AD16">
        <v>24</v>
      </c>
    </row>
    <row r="17" spans="2:30" x14ac:dyDescent="0.35">
      <c r="I17">
        <v>5</v>
      </c>
      <c r="J17">
        <v>6</v>
      </c>
      <c r="O17" t="s">
        <v>54</v>
      </c>
      <c r="Q17">
        <v>4</v>
      </c>
      <c r="R17">
        <v>4</v>
      </c>
      <c r="S17">
        <v>8</v>
      </c>
      <c r="T17">
        <v>64</v>
      </c>
      <c r="U17">
        <f t="shared" si="0"/>
        <v>80</v>
      </c>
      <c r="X17" s="8" t="s">
        <v>132</v>
      </c>
      <c r="Y17" s="9" t="s">
        <v>78</v>
      </c>
      <c r="Z17" s="17" t="s">
        <v>143</v>
      </c>
      <c r="AB17" t="s">
        <v>87</v>
      </c>
      <c r="AC17" t="s">
        <v>87</v>
      </c>
      <c r="AD17">
        <v>26</v>
      </c>
    </row>
    <row r="18" spans="2:30" x14ac:dyDescent="0.35">
      <c r="I18">
        <v>8</v>
      </c>
      <c r="J18">
        <v>7</v>
      </c>
      <c r="M18" t="s">
        <v>455</v>
      </c>
      <c r="O18" t="s">
        <v>55</v>
      </c>
      <c r="Q18">
        <v>2</v>
      </c>
      <c r="R18">
        <v>2</v>
      </c>
      <c r="S18">
        <v>4</v>
      </c>
      <c r="T18">
        <v>64</v>
      </c>
      <c r="U18">
        <f t="shared" si="0"/>
        <v>72</v>
      </c>
      <c r="X18" s="8" t="s">
        <v>134</v>
      </c>
      <c r="Y18" s="9" t="s">
        <v>79</v>
      </c>
      <c r="Z18" t="s">
        <v>45</v>
      </c>
      <c r="AB18" t="s">
        <v>87</v>
      </c>
      <c r="AC18" t="s">
        <v>87</v>
      </c>
      <c r="AD18">
        <v>28</v>
      </c>
    </row>
    <row r="19" spans="2:30" x14ac:dyDescent="0.35">
      <c r="C19">
        <v>48</v>
      </c>
      <c r="D19">
        <v>48</v>
      </c>
      <c r="E19">
        <v>48</v>
      </c>
      <c r="F19">
        <v>48</v>
      </c>
      <c r="M19">
        <f>64*12+8</f>
        <v>776</v>
      </c>
      <c r="N19" t="s">
        <v>69</v>
      </c>
      <c r="O19" t="s">
        <v>56</v>
      </c>
      <c r="Q19">
        <v>2</v>
      </c>
      <c r="R19">
        <v>2</v>
      </c>
      <c r="S19">
        <v>4</v>
      </c>
      <c r="T19">
        <v>8</v>
      </c>
      <c r="U19">
        <f>SUM(P19:T19)</f>
        <v>16</v>
      </c>
      <c r="X19" s="8" t="s">
        <v>134</v>
      </c>
      <c r="Y19" s="9" t="s">
        <v>79</v>
      </c>
      <c r="Z19" t="s">
        <v>144</v>
      </c>
      <c r="AB19" t="s">
        <v>87</v>
      </c>
      <c r="AC19" t="s">
        <v>87</v>
      </c>
      <c r="AD19">
        <v>30</v>
      </c>
    </row>
    <row r="20" spans="2:30" x14ac:dyDescent="0.35">
      <c r="B20">
        <v>1</v>
      </c>
      <c r="C20" s="1" t="s">
        <v>128</v>
      </c>
      <c r="D20" t="s">
        <v>129</v>
      </c>
      <c r="E20" t="s">
        <v>130</v>
      </c>
      <c r="F20" t="s">
        <v>131</v>
      </c>
      <c r="H20">
        <v>1</v>
      </c>
      <c r="I20">
        <v>2</v>
      </c>
      <c r="J20">
        <v>3</v>
      </c>
      <c r="K20">
        <v>4</v>
      </c>
      <c r="M20">
        <f>32+32+32+16+8</f>
        <v>120</v>
      </c>
      <c r="N20" t="s">
        <v>68</v>
      </c>
      <c r="O20" t="s">
        <v>57</v>
      </c>
      <c r="Q20">
        <v>1</v>
      </c>
      <c r="R20">
        <v>1</v>
      </c>
      <c r="S20">
        <v>4</v>
      </c>
      <c r="U20">
        <f t="shared" si="0"/>
        <v>6</v>
      </c>
      <c r="X20" s="9" t="s">
        <v>80</v>
      </c>
      <c r="Y20" s="9" t="s">
        <v>80</v>
      </c>
      <c r="Z20" s="8" t="s">
        <v>135</v>
      </c>
      <c r="AB20" t="s">
        <v>87</v>
      </c>
      <c r="AC20" s="3" t="s">
        <v>88</v>
      </c>
      <c r="AD20">
        <v>31</v>
      </c>
    </row>
    <row r="21" spans="2:30" x14ac:dyDescent="0.35">
      <c r="B21">
        <v>8</v>
      </c>
      <c r="C21" s="1" t="s">
        <v>128</v>
      </c>
      <c r="D21" t="s">
        <v>129</v>
      </c>
      <c r="E21" t="s">
        <v>130</v>
      </c>
      <c r="F21" t="s">
        <v>131</v>
      </c>
      <c r="H21">
        <v>5</v>
      </c>
      <c r="I21">
        <v>6</v>
      </c>
      <c r="J21">
        <v>7</v>
      </c>
      <c r="K21">
        <v>8</v>
      </c>
      <c r="M21">
        <v>236</v>
      </c>
      <c r="N21" t="s">
        <v>145</v>
      </c>
      <c r="O21" t="s">
        <v>58</v>
      </c>
      <c r="Q21">
        <v>1</v>
      </c>
      <c r="R21">
        <v>1</v>
      </c>
      <c r="S21">
        <v>2</v>
      </c>
      <c r="U21">
        <f t="shared" si="0"/>
        <v>4</v>
      </c>
      <c r="X21" s="8" t="s">
        <v>135</v>
      </c>
      <c r="Y21" s="9" t="s">
        <v>37</v>
      </c>
      <c r="Z21" s="9" t="s">
        <v>37</v>
      </c>
      <c r="AB21" s="3" t="s">
        <v>70</v>
      </c>
      <c r="AC21" t="s">
        <v>87</v>
      </c>
      <c r="AD21">
        <v>33</v>
      </c>
    </row>
    <row r="22" spans="2:30" x14ac:dyDescent="0.35">
      <c r="B22">
        <v>4</v>
      </c>
      <c r="C22" t="s">
        <v>129</v>
      </c>
      <c r="D22" s="1" t="s">
        <v>128</v>
      </c>
      <c r="E22" t="s">
        <v>130</v>
      </c>
      <c r="F22" t="s">
        <v>131</v>
      </c>
      <c r="H22">
        <v>12</v>
      </c>
      <c r="I22">
        <v>11</v>
      </c>
      <c r="J22">
        <v>10</v>
      </c>
      <c r="K22">
        <v>9</v>
      </c>
      <c r="M22">
        <v>158</v>
      </c>
      <c r="N22" t="s">
        <v>67</v>
      </c>
      <c r="X22" s="1" t="s">
        <v>70</v>
      </c>
      <c r="Y22" s="1" t="s">
        <v>71</v>
      </c>
      <c r="Z22" s="1" t="s">
        <v>81</v>
      </c>
      <c r="AA22" s="1" t="s">
        <v>82</v>
      </c>
    </row>
    <row r="23" spans="2:30" x14ac:dyDescent="0.35">
      <c r="B23">
        <v>5</v>
      </c>
      <c r="C23" t="s">
        <v>129</v>
      </c>
      <c r="D23" s="1" t="s">
        <v>128</v>
      </c>
      <c r="E23" t="s">
        <v>130</v>
      </c>
      <c r="F23" t="s">
        <v>131</v>
      </c>
      <c r="H23">
        <v>16</v>
      </c>
      <c r="I23">
        <v>15</v>
      </c>
      <c r="J23">
        <v>14</v>
      </c>
      <c r="K23">
        <v>13</v>
      </c>
      <c r="M23" s="11" t="s">
        <v>454</v>
      </c>
      <c r="N23" t="s">
        <v>85</v>
      </c>
      <c r="O23" t="s">
        <v>59</v>
      </c>
      <c r="T23">
        <v>6</v>
      </c>
      <c r="U23">
        <f t="shared" ref="U23:U29" si="1">SUM(P23:T23)</f>
        <v>6</v>
      </c>
      <c r="X23" t="s">
        <v>383</v>
      </c>
      <c r="Y23" t="s">
        <v>383</v>
      </c>
      <c r="Z23" t="s">
        <v>444</v>
      </c>
      <c r="AA23" t="s">
        <v>444</v>
      </c>
      <c r="AB23" s="3" t="s">
        <v>88</v>
      </c>
      <c r="AC23" t="s">
        <v>87</v>
      </c>
      <c r="AD23">
        <v>34</v>
      </c>
    </row>
    <row r="24" spans="2:30" x14ac:dyDescent="0.35">
      <c r="B24">
        <v>2</v>
      </c>
      <c r="C24" t="s">
        <v>129</v>
      </c>
      <c r="D24" t="s">
        <v>130</v>
      </c>
      <c r="E24" s="1" t="s">
        <v>128</v>
      </c>
      <c r="F24" t="s">
        <v>131</v>
      </c>
      <c r="O24" t="s">
        <v>60</v>
      </c>
      <c r="T24">
        <v>16</v>
      </c>
      <c r="U24">
        <f t="shared" si="1"/>
        <v>16</v>
      </c>
      <c r="X24" t="s">
        <v>443</v>
      </c>
      <c r="Y24" t="s">
        <v>443</v>
      </c>
      <c r="Z24" t="s">
        <v>20</v>
      </c>
      <c r="AA24" t="s">
        <v>20</v>
      </c>
      <c r="AB24" t="s">
        <v>87</v>
      </c>
      <c r="AC24" t="s">
        <v>87</v>
      </c>
      <c r="AD24">
        <v>36</v>
      </c>
    </row>
    <row r="25" spans="2:30" x14ac:dyDescent="0.35">
      <c r="B25">
        <v>3</v>
      </c>
      <c r="C25" t="s">
        <v>129</v>
      </c>
      <c r="D25" t="s">
        <v>130</v>
      </c>
      <c r="E25" s="1" t="s">
        <v>128</v>
      </c>
      <c r="F25" t="s">
        <v>131</v>
      </c>
      <c r="H25" t="s">
        <v>129</v>
      </c>
      <c r="I25" t="s">
        <v>449</v>
      </c>
      <c r="J25" t="s">
        <v>450</v>
      </c>
      <c r="O25" t="s">
        <v>61</v>
      </c>
      <c r="T25">
        <v>16</v>
      </c>
      <c r="U25">
        <f t="shared" si="1"/>
        <v>16</v>
      </c>
      <c r="X25" t="s">
        <v>13</v>
      </c>
      <c r="Y25" t="s">
        <v>13</v>
      </c>
      <c r="Z25" t="s">
        <v>457</v>
      </c>
      <c r="AA25" t="s">
        <v>457</v>
      </c>
      <c r="AB25" t="s">
        <v>87</v>
      </c>
      <c r="AC25" t="s">
        <v>87</v>
      </c>
      <c r="AD25">
        <v>38</v>
      </c>
    </row>
    <row r="26" spans="2:30" x14ac:dyDescent="0.35">
      <c r="B26">
        <v>6</v>
      </c>
      <c r="C26" t="s">
        <v>129</v>
      </c>
      <c r="D26" t="s">
        <v>130</v>
      </c>
      <c r="E26" t="s">
        <v>131</v>
      </c>
      <c r="F26" s="1" t="s">
        <v>128</v>
      </c>
      <c r="H26" t="s">
        <v>130</v>
      </c>
      <c r="I26" t="s">
        <v>448</v>
      </c>
      <c r="J26" t="s">
        <v>451</v>
      </c>
      <c r="O26" t="s">
        <v>62</v>
      </c>
      <c r="T26">
        <v>8</v>
      </c>
      <c r="U26">
        <f t="shared" si="1"/>
        <v>8</v>
      </c>
      <c r="X26" t="s">
        <v>16</v>
      </c>
      <c r="Y26" t="s">
        <v>16</v>
      </c>
      <c r="Z26" t="s">
        <v>83</v>
      </c>
      <c r="AA26" t="s">
        <v>83</v>
      </c>
      <c r="AB26" t="s">
        <v>87</v>
      </c>
      <c r="AC26" t="s">
        <v>87</v>
      </c>
      <c r="AD26">
        <v>40</v>
      </c>
    </row>
    <row r="27" spans="2:30" x14ac:dyDescent="0.35">
      <c r="B27">
        <v>7</v>
      </c>
      <c r="C27" t="s">
        <v>129</v>
      </c>
      <c r="D27" t="s">
        <v>130</v>
      </c>
      <c r="E27" t="s">
        <v>131</v>
      </c>
      <c r="F27" s="1" t="s">
        <v>128</v>
      </c>
      <c r="H27" t="s">
        <v>131</v>
      </c>
      <c r="I27" t="s">
        <v>446</v>
      </c>
      <c r="J27" t="s">
        <v>447</v>
      </c>
      <c r="O27" t="s">
        <v>63</v>
      </c>
      <c r="T27">
        <v>2</v>
      </c>
      <c r="U27">
        <f t="shared" si="1"/>
        <v>2</v>
      </c>
      <c r="Z27" t="s">
        <v>18</v>
      </c>
      <c r="AA27" t="s">
        <v>18</v>
      </c>
      <c r="AC27" t="s">
        <v>87</v>
      </c>
      <c r="AD27">
        <v>41</v>
      </c>
    </row>
    <row r="28" spans="2:30" x14ac:dyDescent="0.35">
      <c r="I28" s="18"/>
      <c r="K28" s="18"/>
      <c r="O28" t="s">
        <v>64</v>
      </c>
      <c r="T28">
        <v>3</v>
      </c>
      <c r="U28">
        <f t="shared" si="1"/>
        <v>3</v>
      </c>
      <c r="X28" t="s">
        <v>23</v>
      </c>
      <c r="Y28" t="s">
        <v>23</v>
      </c>
      <c r="AA28" t="s">
        <v>23</v>
      </c>
      <c r="AB28" t="s">
        <v>87</v>
      </c>
      <c r="AC28" t="s">
        <v>89</v>
      </c>
      <c r="AD28" s="11" t="s">
        <v>147</v>
      </c>
    </row>
    <row r="29" spans="2:30" x14ac:dyDescent="0.35">
      <c r="O29" t="s">
        <v>65</v>
      </c>
      <c r="T29">
        <v>3</v>
      </c>
      <c r="U29">
        <f t="shared" si="1"/>
        <v>3</v>
      </c>
      <c r="X29" t="s">
        <v>84</v>
      </c>
      <c r="Y29" t="s">
        <v>84</v>
      </c>
      <c r="AA29" t="s">
        <v>84</v>
      </c>
      <c r="AB29" t="s">
        <v>89</v>
      </c>
      <c r="AC29" t="s">
        <v>89</v>
      </c>
      <c r="AD29" s="11" t="s">
        <v>148</v>
      </c>
    </row>
    <row r="32" spans="2:30" x14ac:dyDescent="0.35">
      <c r="M32" s="11" t="s">
        <v>85</v>
      </c>
      <c r="R32">
        <v>1</v>
      </c>
      <c r="S32" t="s">
        <v>196</v>
      </c>
      <c r="W32" t="s">
        <v>236</v>
      </c>
    </row>
    <row r="33" spans="3:30" x14ac:dyDescent="0.35">
      <c r="M33" s="11" t="s">
        <v>177</v>
      </c>
      <c r="N33" t="s">
        <v>178</v>
      </c>
      <c r="R33">
        <v>2</v>
      </c>
      <c r="S33" t="s">
        <v>197</v>
      </c>
      <c r="W33" t="s">
        <v>237</v>
      </c>
    </row>
    <row r="34" spans="3:30" x14ac:dyDescent="0.35">
      <c r="C34" t="s">
        <v>0</v>
      </c>
      <c r="G34" t="s">
        <v>66</v>
      </c>
      <c r="M34" s="11" t="s">
        <v>179</v>
      </c>
      <c r="N34" t="s">
        <v>180</v>
      </c>
      <c r="R34">
        <v>3</v>
      </c>
      <c r="S34" t="s">
        <v>198</v>
      </c>
      <c r="W34" t="s">
        <v>238</v>
      </c>
    </row>
    <row r="35" spans="3:30" x14ac:dyDescent="0.35">
      <c r="C35" t="s">
        <v>176</v>
      </c>
      <c r="G35" t="s">
        <v>168</v>
      </c>
      <c r="M35" s="11" t="s">
        <v>181</v>
      </c>
      <c r="N35" t="s">
        <v>182</v>
      </c>
      <c r="R35">
        <v>4</v>
      </c>
      <c r="S35" t="s">
        <v>199</v>
      </c>
    </row>
    <row r="36" spans="3:30" x14ac:dyDescent="0.35">
      <c r="C36" t="s">
        <v>163</v>
      </c>
      <c r="G36" t="s">
        <v>169</v>
      </c>
      <c r="N36" t="s">
        <v>214</v>
      </c>
      <c r="R36">
        <v>5</v>
      </c>
      <c r="S36" t="s">
        <v>200</v>
      </c>
    </row>
    <row r="37" spans="3:30" x14ac:dyDescent="0.35">
      <c r="C37" t="s">
        <v>164</v>
      </c>
      <c r="G37" t="s">
        <v>170</v>
      </c>
      <c r="M37" s="11" t="s">
        <v>209</v>
      </c>
      <c r="N37" t="s">
        <v>210</v>
      </c>
      <c r="R37">
        <v>6</v>
      </c>
      <c r="S37" t="s">
        <v>202</v>
      </c>
    </row>
    <row r="38" spans="3:30" x14ac:dyDescent="0.35">
      <c r="C38" t="s">
        <v>165</v>
      </c>
      <c r="G38" t="s">
        <v>171</v>
      </c>
      <c r="N38" t="s">
        <v>211</v>
      </c>
      <c r="R38">
        <v>7</v>
      </c>
      <c r="S38" t="s">
        <v>203</v>
      </c>
    </row>
    <row r="39" spans="3:30" x14ac:dyDescent="0.35">
      <c r="C39" t="s">
        <v>166</v>
      </c>
      <c r="G39" t="s">
        <v>172</v>
      </c>
      <c r="N39" t="s">
        <v>212</v>
      </c>
      <c r="R39">
        <v>8</v>
      </c>
      <c r="S39" t="s">
        <v>201</v>
      </c>
      <c r="Z39" t="s">
        <v>371</v>
      </c>
    </row>
    <row r="40" spans="3:30" x14ac:dyDescent="0.35">
      <c r="C40" t="s">
        <v>174</v>
      </c>
      <c r="G40" t="s">
        <v>174</v>
      </c>
      <c r="N40" t="s">
        <v>213</v>
      </c>
      <c r="R40">
        <v>9</v>
      </c>
      <c r="S40" t="s">
        <v>204</v>
      </c>
    </row>
    <row r="41" spans="3:30" x14ac:dyDescent="0.35">
      <c r="C41" s="6" t="s">
        <v>167</v>
      </c>
      <c r="G41" s="6" t="s">
        <v>167</v>
      </c>
      <c r="R41">
        <v>10</v>
      </c>
      <c r="S41" t="s">
        <v>205</v>
      </c>
      <c r="Z41" t="s">
        <v>373</v>
      </c>
      <c r="AA41" t="s">
        <v>374</v>
      </c>
      <c r="AD41" t="s">
        <v>378</v>
      </c>
    </row>
    <row r="42" spans="3:30" x14ac:dyDescent="0.35">
      <c r="E42" s="6" t="s">
        <v>173</v>
      </c>
      <c r="N42">
        <f>12/112</f>
        <v>0.10714285714285714</v>
      </c>
      <c r="O42">
        <f>14/112</f>
        <v>0.125</v>
      </c>
      <c r="R42">
        <v>11</v>
      </c>
      <c r="S42" t="s">
        <v>206</v>
      </c>
      <c r="Z42" t="s">
        <v>372</v>
      </c>
      <c r="AA42" t="s">
        <v>375</v>
      </c>
      <c r="AD42" t="s">
        <v>379</v>
      </c>
    </row>
    <row r="43" spans="3:30" x14ac:dyDescent="0.35">
      <c r="C43" s="6" t="s">
        <v>175</v>
      </c>
      <c r="N43">
        <f>12/128</f>
        <v>9.375E-2</v>
      </c>
      <c r="O43">
        <f>14/128</f>
        <v>0.109375</v>
      </c>
      <c r="R43">
        <v>12</v>
      </c>
      <c r="S43" t="s">
        <v>207</v>
      </c>
      <c r="Z43" t="s">
        <v>377</v>
      </c>
      <c r="AA43" t="s">
        <v>376</v>
      </c>
      <c r="AD43" t="s">
        <v>380</v>
      </c>
    </row>
    <row r="44" spans="3:30" x14ac:dyDescent="0.35">
      <c r="R44">
        <v>13</v>
      </c>
      <c r="S44" t="s">
        <v>3459</v>
      </c>
    </row>
    <row r="45" spans="3:30" x14ac:dyDescent="0.35">
      <c r="R45">
        <v>14</v>
      </c>
      <c r="S45" t="s">
        <v>208</v>
      </c>
    </row>
    <row r="50" spans="1:25" x14ac:dyDescent="0.35">
      <c r="A50" t="s">
        <v>252</v>
      </c>
      <c r="C50" t="s">
        <v>129</v>
      </c>
      <c r="D50">
        <v>1</v>
      </c>
      <c r="E50">
        <v>64</v>
      </c>
      <c r="F50">
        <v>65</v>
      </c>
      <c r="G50">
        <v>128</v>
      </c>
      <c r="I50" t="s">
        <v>228</v>
      </c>
      <c r="J50">
        <v>3</v>
      </c>
      <c r="K50">
        <v>62</v>
      </c>
      <c r="L50">
        <v>67</v>
      </c>
      <c r="M50">
        <v>126</v>
      </c>
      <c r="Q50" t="s">
        <v>4</v>
      </c>
    </row>
    <row r="51" spans="1:25" x14ac:dyDescent="0.35">
      <c r="A51" t="s">
        <v>253</v>
      </c>
      <c r="D51">
        <v>32</v>
      </c>
      <c r="E51">
        <v>33</v>
      </c>
      <c r="F51">
        <v>96</v>
      </c>
      <c r="G51">
        <v>97</v>
      </c>
      <c r="J51">
        <v>30</v>
      </c>
      <c r="K51">
        <v>35</v>
      </c>
      <c r="L51">
        <v>94</v>
      </c>
      <c r="M51">
        <v>99</v>
      </c>
      <c r="P51" t="s">
        <v>221</v>
      </c>
      <c r="Q51">
        <v>32</v>
      </c>
      <c r="R51" t="s">
        <v>215</v>
      </c>
      <c r="S51">
        <v>64</v>
      </c>
      <c r="Y51">
        <v>0</v>
      </c>
    </row>
    <row r="52" spans="1:25" x14ac:dyDescent="0.35">
      <c r="A52" t="s">
        <v>254</v>
      </c>
      <c r="D52">
        <v>16</v>
      </c>
      <c r="E52">
        <v>49</v>
      </c>
      <c r="F52">
        <v>80</v>
      </c>
      <c r="G52">
        <v>113</v>
      </c>
      <c r="J52">
        <v>14</v>
      </c>
      <c r="K52">
        <v>51</v>
      </c>
      <c r="L52">
        <v>78</v>
      </c>
      <c r="M52">
        <v>115</v>
      </c>
      <c r="P52" t="s">
        <v>221</v>
      </c>
      <c r="Q52">
        <v>32</v>
      </c>
      <c r="R52" t="s">
        <v>150</v>
      </c>
      <c r="S52">
        <v>32</v>
      </c>
      <c r="T52">
        <v>32</v>
      </c>
      <c r="U52">
        <v>64</v>
      </c>
      <c r="Y52">
        <v>10</v>
      </c>
    </row>
    <row r="53" spans="1:25" x14ac:dyDescent="0.35">
      <c r="A53" t="s">
        <v>255</v>
      </c>
      <c r="D53">
        <v>17</v>
      </c>
      <c r="E53">
        <v>48</v>
      </c>
      <c r="F53">
        <v>81</v>
      </c>
      <c r="G53">
        <v>112</v>
      </c>
      <c r="J53">
        <v>19</v>
      </c>
      <c r="K53">
        <v>46</v>
      </c>
      <c r="L53">
        <v>83</v>
      </c>
      <c r="M53">
        <v>110</v>
      </c>
      <c r="P53" t="s">
        <v>221</v>
      </c>
      <c r="Q53">
        <v>32</v>
      </c>
      <c r="R53" t="s">
        <v>216</v>
      </c>
      <c r="U53">
        <v>32</v>
      </c>
      <c r="V53">
        <v>32</v>
      </c>
      <c r="W53">
        <v>64</v>
      </c>
      <c r="Y53">
        <v>20</v>
      </c>
    </row>
    <row r="54" spans="1:25" x14ac:dyDescent="0.35">
      <c r="A54" t="s">
        <v>256</v>
      </c>
      <c r="C54" t="s">
        <v>130</v>
      </c>
      <c r="D54">
        <v>4</v>
      </c>
      <c r="E54">
        <v>61</v>
      </c>
      <c r="F54">
        <v>68</v>
      </c>
      <c r="G54">
        <v>125</v>
      </c>
      <c r="I54" t="s">
        <v>229</v>
      </c>
      <c r="J54">
        <v>6</v>
      </c>
      <c r="K54">
        <v>59</v>
      </c>
      <c r="L54">
        <v>70</v>
      </c>
      <c r="M54">
        <v>123</v>
      </c>
      <c r="Q54">
        <v>32</v>
      </c>
      <c r="R54" t="s">
        <v>217</v>
      </c>
      <c r="W54">
        <v>32</v>
      </c>
      <c r="Y54">
        <v>30</v>
      </c>
    </row>
    <row r="55" spans="1:25" x14ac:dyDescent="0.35">
      <c r="A55" t="s">
        <v>257</v>
      </c>
      <c r="D55">
        <v>29</v>
      </c>
      <c r="E55">
        <v>36</v>
      </c>
      <c r="F55">
        <v>93</v>
      </c>
      <c r="G55">
        <v>100</v>
      </c>
      <c r="J55">
        <v>27</v>
      </c>
      <c r="K55">
        <v>38</v>
      </c>
      <c r="L55">
        <v>91</v>
      </c>
      <c r="M55">
        <v>102</v>
      </c>
      <c r="Q55">
        <v>16</v>
      </c>
      <c r="R55" t="s">
        <v>220</v>
      </c>
      <c r="W55">
        <v>16</v>
      </c>
      <c r="Y55">
        <v>40</v>
      </c>
    </row>
    <row r="56" spans="1:25" x14ac:dyDescent="0.35">
      <c r="A56" t="s">
        <v>258</v>
      </c>
      <c r="D56">
        <v>13</v>
      </c>
      <c r="E56">
        <v>52</v>
      </c>
      <c r="F56">
        <v>77</v>
      </c>
      <c r="G56">
        <v>116</v>
      </c>
      <c r="J56">
        <v>11</v>
      </c>
      <c r="K56">
        <v>54</v>
      </c>
      <c r="L56">
        <v>75</v>
      </c>
      <c r="M56">
        <v>118</v>
      </c>
      <c r="Q56">
        <v>8</v>
      </c>
      <c r="R56" t="s">
        <v>219</v>
      </c>
      <c r="W56">
        <v>8</v>
      </c>
      <c r="Y56">
        <v>50</v>
      </c>
    </row>
    <row r="57" spans="1:25" x14ac:dyDescent="0.35">
      <c r="A57" t="s">
        <v>259</v>
      </c>
      <c r="D57">
        <v>20</v>
      </c>
      <c r="E57">
        <v>45</v>
      </c>
      <c r="F57">
        <v>84</v>
      </c>
      <c r="G57">
        <v>109</v>
      </c>
      <c r="J57">
        <v>22</v>
      </c>
      <c r="K57">
        <v>43</v>
      </c>
      <c r="L57">
        <v>86</v>
      </c>
      <c r="M57">
        <v>107</v>
      </c>
      <c r="Q57">
        <v>4</v>
      </c>
      <c r="R57" t="s">
        <v>218</v>
      </c>
      <c r="W57">
        <v>4</v>
      </c>
      <c r="Y57">
        <v>60</v>
      </c>
    </row>
    <row r="58" spans="1:25" x14ac:dyDescent="0.35">
      <c r="C58" t="s">
        <v>131</v>
      </c>
      <c r="D58">
        <v>5</v>
      </c>
      <c r="E58">
        <v>60</v>
      </c>
      <c r="F58">
        <v>69</v>
      </c>
      <c r="G58">
        <v>124</v>
      </c>
      <c r="I58" t="s">
        <v>230</v>
      </c>
      <c r="J58">
        <v>7</v>
      </c>
      <c r="K58">
        <v>58</v>
      </c>
      <c r="L58">
        <v>71</v>
      </c>
      <c r="M58">
        <v>122</v>
      </c>
      <c r="Q58">
        <v>2</v>
      </c>
      <c r="R58" t="s">
        <v>191</v>
      </c>
      <c r="W58">
        <v>2</v>
      </c>
      <c r="Y58">
        <v>70</v>
      </c>
    </row>
    <row r="59" spans="1:25" x14ac:dyDescent="0.35">
      <c r="A59" t="s">
        <v>260</v>
      </c>
      <c r="D59">
        <v>28</v>
      </c>
      <c r="E59">
        <v>37</v>
      </c>
      <c r="F59">
        <v>92</v>
      </c>
      <c r="G59">
        <v>101</v>
      </c>
      <c r="J59">
        <v>26</v>
      </c>
      <c r="K59">
        <v>39</v>
      </c>
      <c r="L59">
        <v>90</v>
      </c>
      <c r="M59">
        <v>103</v>
      </c>
    </row>
    <row r="60" spans="1:25" x14ac:dyDescent="0.35">
      <c r="A60" t="s">
        <v>261</v>
      </c>
      <c r="D60">
        <v>12</v>
      </c>
      <c r="E60">
        <v>53</v>
      </c>
      <c r="F60">
        <v>76</v>
      </c>
      <c r="G60">
        <v>117</v>
      </c>
      <c r="J60">
        <v>10</v>
      </c>
      <c r="K60">
        <v>55</v>
      </c>
      <c r="L60">
        <v>74</v>
      </c>
      <c r="M60">
        <v>119</v>
      </c>
    </row>
    <row r="61" spans="1:25" x14ac:dyDescent="0.35">
      <c r="A61" t="s">
        <v>262</v>
      </c>
      <c r="D61">
        <v>21</v>
      </c>
      <c r="E61">
        <v>44</v>
      </c>
      <c r="F61">
        <v>85</v>
      </c>
      <c r="G61">
        <v>108</v>
      </c>
      <c r="J61">
        <v>23</v>
      </c>
      <c r="K61">
        <v>42</v>
      </c>
      <c r="L61">
        <v>87</v>
      </c>
      <c r="M61">
        <v>106</v>
      </c>
    </row>
    <row r="62" spans="1:25" x14ac:dyDescent="0.35">
      <c r="A62" t="s">
        <v>263</v>
      </c>
      <c r="C62" t="s">
        <v>227</v>
      </c>
      <c r="D62">
        <v>8</v>
      </c>
      <c r="E62">
        <v>57</v>
      </c>
      <c r="F62">
        <v>72</v>
      </c>
      <c r="G62">
        <v>121</v>
      </c>
      <c r="I62" t="s">
        <v>231</v>
      </c>
      <c r="J62">
        <v>2</v>
      </c>
      <c r="K62">
        <v>63</v>
      </c>
      <c r="L62">
        <v>66</v>
      </c>
      <c r="M62">
        <v>127</v>
      </c>
    </row>
    <row r="63" spans="1:25" x14ac:dyDescent="0.35">
      <c r="A63" t="s">
        <v>264</v>
      </c>
      <c r="D63">
        <v>25</v>
      </c>
      <c r="E63">
        <v>40</v>
      </c>
      <c r="F63">
        <v>89</v>
      </c>
      <c r="G63">
        <v>104</v>
      </c>
      <c r="J63">
        <v>31</v>
      </c>
      <c r="K63">
        <v>34</v>
      </c>
      <c r="L63">
        <v>95</v>
      </c>
      <c r="M63">
        <v>98</v>
      </c>
    </row>
    <row r="64" spans="1:25" x14ac:dyDescent="0.35">
      <c r="A64" t="s">
        <v>265</v>
      </c>
      <c r="D64">
        <v>9</v>
      </c>
      <c r="E64">
        <v>56</v>
      </c>
      <c r="F64">
        <v>73</v>
      </c>
      <c r="G64">
        <v>120</v>
      </c>
      <c r="J64">
        <v>15</v>
      </c>
      <c r="K64">
        <v>50</v>
      </c>
      <c r="L64">
        <v>79</v>
      </c>
      <c r="M64">
        <v>114</v>
      </c>
    </row>
    <row r="65" spans="1:13" x14ac:dyDescent="0.35">
      <c r="A65" t="s">
        <v>266</v>
      </c>
      <c r="D65">
        <v>24</v>
      </c>
      <c r="E65">
        <v>41</v>
      </c>
      <c r="F65">
        <v>88</v>
      </c>
      <c r="G65">
        <v>105</v>
      </c>
      <c r="J65">
        <v>18</v>
      </c>
      <c r="K65">
        <v>47</v>
      </c>
      <c r="L65">
        <v>82</v>
      </c>
      <c r="M65">
        <v>111</v>
      </c>
    </row>
    <row r="66" spans="1:13" x14ac:dyDescent="0.35">
      <c r="A66" t="s">
        <v>267</v>
      </c>
    </row>
    <row r="68" spans="1:13" x14ac:dyDescent="0.35">
      <c r="D68" t="s">
        <v>268</v>
      </c>
    </row>
    <row r="69" spans="1:13" x14ac:dyDescent="0.35">
      <c r="D69">
        <v>1</v>
      </c>
      <c r="E69">
        <v>8</v>
      </c>
      <c r="F69">
        <v>9</v>
      </c>
      <c r="G69">
        <v>16</v>
      </c>
    </row>
    <row r="70" spans="1:13" x14ac:dyDescent="0.35">
      <c r="D70">
        <v>4</v>
      </c>
      <c r="E70">
        <v>5</v>
      </c>
      <c r="F70">
        <v>12</v>
      </c>
      <c r="G70">
        <v>13</v>
      </c>
    </row>
    <row r="71" spans="1:13" x14ac:dyDescent="0.35">
      <c r="D71">
        <v>2</v>
      </c>
      <c r="E71">
        <v>7</v>
      </c>
      <c r="F71">
        <v>10</v>
      </c>
      <c r="G71">
        <v>15</v>
      </c>
    </row>
    <row r="72" spans="1:13" x14ac:dyDescent="0.35">
      <c r="D72">
        <v>3</v>
      </c>
      <c r="E72">
        <v>6</v>
      </c>
      <c r="F72">
        <v>11</v>
      </c>
      <c r="G72">
        <v>14</v>
      </c>
    </row>
  </sheetData>
  <sortState xmlns:xlrd2="http://schemas.microsoft.com/office/spreadsheetml/2017/richdata2" ref="H49:L80">
    <sortCondition ref="H49:H80"/>
  </sortState>
  <mergeCells count="1">
    <mergeCell ref="AB1:A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S98"/>
  <sheetViews>
    <sheetView workbookViewId="0">
      <selection activeCell="L31" sqref="L31"/>
    </sheetView>
  </sheetViews>
  <sheetFormatPr defaultRowHeight="14.5" x14ac:dyDescent="0.35"/>
  <cols>
    <col min="2" max="8" width="10.81640625" customWidth="1"/>
    <col min="10" max="10" width="6.1796875" customWidth="1"/>
    <col min="11" max="11" width="5.6328125" customWidth="1"/>
    <col min="12" max="12" width="14.54296875" customWidth="1"/>
    <col min="13" max="13" width="5.6328125" customWidth="1"/>
    <col min="14" max="14" width="14.54296875" customWidth="1"/>
    <col min="15" max="15" width="13.81640625" customWidth="1"/>
    <col min="16" max="16" width="5.6328125" customWidth="1"/>
    <col min="17" max="17" width="14.54296875" customWidth="1"/>
    <col min="18" max="18" width="5.6328125" customWidth="1"/>
    <col min="19" max="19" width="14.54296875" customWidth="1"/>
  </cols>
  <sheetData>
    <row r="2" spans="1:19" x14ac:dyDescent="0.35">
      <c r="B2" t="s">
        <v>689</v>
      </c>
      <c r="K2" t="s">
        <v>335</v>
      </c>
      <c r="P2" t="s">
        <v>340</v>
      </c>
    </row>
    <row r="4" spans="1:19" x14ac:dyDescent="0.35">
      <c r="B4" s="1" t="s">
        <v>240</v>
      </c>
      <c r="C4" s="1" t="s">
        <v>247</v>
      </c>
      <c r="D4" s="1" t="s">
        <v>248</v>
      </c>
      <c r="E4" s="1" t="s">
        <v>249</v>
      </c>
      <c r="F4" s="1" t="s">
        <v>241</v>
      </c>
      <c r="G4" s="1" t="s">
        <v>250</v>
      </c>
      <c r="H4" s="1" t="s">
        <v>251</v>
      </c>
      <c r="K4" s="1" t="s">
        <v>336</v>
      </c>
      <c r="M4" s="1" t="s">
        <v>338</v>
      </c>
      <c r="P4" s="1" t="s">
        <v>336</v>
      </c>
      <c r="R4" s="1" t="s">
        <v>338</v>
      </c>
    </row>
    <row r="5" spans="1:19" x14ac:dyDescent="0.35">
      <c r="B5" s="1" t="s">
        <v>317</v>
      </c>
      <c r="C5" s="1" t="s">
        <v>318</v>
      </c>
      <c r="D5" s="1" t="s">
        <v>319</v>
      </c>
      <c r="E5" s="1" t="s">
        <v>320</v>
      </c>
      <c r="F5" s="1" t="s">
        <v>321</v>
      </c>
      <c r="G5" s="1" t="s">
        <v>322</v>
      </c>
      <c r="H5" s="1" t="s">
        <v>445</v>
      </c>
      <c r="K5">
        <v>1</v>
      </c>
      <c r="L5" t="s">
        <v>242</v>
      </c>
      <c r="M5">
        <v>1</v>
      </c>
      <c r="N5" t="s">
        <v>646</v>
      </c>
      <c r="P5">
        <v>1</v>
      </c>
      <c r="Q5" t="s">
        <v>660</v>
      </c>
      <c r="R5">
        <v>1</v>
      </c>
      <c r="S5" t="s">
        <v>676</v>
      </c>
    </row>
    <row r="6" spans="1:19" x14ac:dyDescent="0.35">
      <c r="A6" s="1">
        <v>1</v>
      </c>
      <c r="B6" s="4" t="s">
        <v>323</v>
      </c>
      <c r="C6" s="3" t="s">
        <v>348</v>
      </c>
      <c r="D6" s="3" t="s">
        <v>466</v>
      </c>
      <c r="E6" s="3" t="s">
        <v>350</v>
      </c>
      <c r="F6" s="4" t="s">
        <v>327</v>
      </c>
      <c r="G6" s="4" t="s">
        <v>468</v>
      </c>
      <c r="H6" s="3" t="s">
        <v>352</v>
      </c>
      <c r="J6" s="2"/>
      <c r="K6">
        <v>2</v>
      </c>
      <c r="L6" t="s">
        <v>465</v>
      </c>
      <c r="M6">
        <v>2</v>
      </c>
      <c r="N6" t="s">
        <v>647</v>
      </c>
      <c r="P6">
        <v>2</v>
      </c>
      <c r="Q6" t="s">
        <v>661</v>
      </c>
      <c r="R6">
        <v>2</v>
      </c>
      <c r="S6" t="s">
        <v>677</v>
      </c>
    </row>
    <row r="7" spans="1:19" x14ac:dyDescent="0.35">
      <c r="A7" s="1">
        <v>2</v>
      </c>
      <c r="B7" s="3" t="s">
        <v>347</v>
      </c>
      <c r="C7" s="3" t="s">
        <v>349</v>
      </c>
      <c r="D7" s="4" t="s">
        <v>325</v>
      </c>
      <c r="E7" s="4" t="s">
        <v>326</v>
      </c>
      <c r="F7" s="3" t="s">
        <v>599</v>
      </c>
      <c r="G7" s="3" t="s">
        <v>351</v>
      </c>
      <c r="H7" s="3" t="s">
        <v>334</v>
      </c>
      <c r="K7">
        <v>3</v>
      </c>
      <c r="L7" t="s">
        <v>466</v>
      </c>
      <c r="M7">
        <v>3</v>
      </c>
      <c r="N7" t="s">
        <v>648</v>
      </c>
      <c r="P7">
        <v>3</v>
      </c>
      <c r="Q7" t="s">
        <v>692</v>
      </c>
      <c r="R7">
        <v>3</v>
      </c>
      <c r="S7" t="s">
        <v>678</v>
      </c>
    </row>
    <row r="8" spans="1:19" x14ac:dyDescent="0.35">
      <c r="A8" s="1">
        <v>3</v>
      </c>
      <c r="B8" s="3" t="s">
        <v>550</v>
      </c>
      <c r="C8" s="3" t="s">
        <v>562</v>
      </c>
      <c r="D8" s="3" t="s">
        <v>331</v>
      </c>
      <c r="E8" s="3" t="s">
        <v>587</v>
      </c>
      <c r="F8" s="3" t="s">
        <v>600</v>
      </c>
      <c r="G8" s="3" t="s">
        <v>614</v>
      </c>
      <c r="H8" s="3" t="s">
        <v>627</v>
      </c>
      <c r="K8">
        <v>4</v>
      </c>
      <c r="L8" t="s">
        <v>467</v>
      </c>
      <c r="M8">
        <v>4</v>
      </c>
      <c r="N8" t="s">
        <v>649</v>
      </c>
      <c r="P8">
        <v>4</v>
      </c>
      <c r="Q8" t="s">
        <v>693</v>
      </c>
      <c r="R8">
        <v>4</v>
      </c>
      <c r="S8" t="s">
        <v>679</v>
      </c>
    </row>
    <row r="9" spans="1:19" x14ac:dyDescent="0.35">
      <c r="A9">
        <v>4</v>
      </c>
      <c r="B9" s="32" t="s">
        <v>551</v>
      </c>
      <c r="C9" s="32" t="s">
        <v>563</v>
      </c>
      <c r="D9" s="32" t="s">
        <v>574</v>
      </c>
      <c r="E9" s="32" t="s">
        <v>662</v>
      </c>
      <c r="F9" s="32" t="s">
        <v>601</v>
      </c>
      <c r="G9" s="32" t="s">
        <v>615</v>
      </c>
      <c r="H9" s="32" t="s">
        <v>629</v>
      </c>
      <c r="K9">
        <v>5</v>
      </c>
      <c r="L9" t="s">
        <v>245</v>
      </c>
      <c r="M9">
        <v>5</v>
      </c>
      <c r="N9" t="s">
        <v>650</v>
      </c>
      <c r="P9">
        <v>5</v>
      </c>
      <c r="Q9" t="s">
        <v>663</v>
      </c>
      <c r="R9">
        <v>5</v>
      </c>
      <c r="S9" t="s">
        <v>680</v>
      </c>
    </row>
    <row r="10" spans="1:19" x14ac:dyDescent="0.35">
      <c r="A10">
        <v>5</v>
      </c>
      <c r="B10" s="3" t="s">
        <v>329</v>
      </c>
      <c r="C10" s="3" t="s">
        <v>330</v>
      </c>
      <c r="D10" s="3" t="s">
        <v>575</v>
      </c>
      <c r="E10" s="3" t="s">
        <v>332</v>
      </c>
      <c r="F10" s="32" t="s">
        <v>602</v>
      </c>
      <c r="G10" s="32" t="s">
        <v>616</v>
      </c>
      <c r="H10" s="32" t="s">
        <v>628</v>
      </c>
      <c r="K10">
        <v>6</v>
      </c>
      <c r="L10" t="s">
        <v>468</v>
      </c>
      <c r="M10">
        <v>6</v>
      </c>
      <c r="N10" t="s">
        <v>651</v>
      </c>
      <c r="P10">
        <v>6</v>
      </c>
      <c r="Q10" t="s">
        <v>664</v>
      </c>
      <c r="R10">
        <v>6</v>
      </c>
      <c r="S10" t="s">
        <v>681</v>
      </c>
    </row>
    <row r="11" spans="1:19" x14ac:dyDescent="0.35">
      <c r="A11">
        <v>6</v>
      </c>
      <c r="B11" s="3" t="s">
        <v>653</v>
      </c>
      <c r="C11" s="32" t="s">
        <v>564</v>
      </c>
      <c r="D11" s="32" t="s">
        <v>576</v>
      </c>
      <c r="E11" s="32" t="s">
        <v>588</v>
      </c>
      <c r="F11" s="32" t="s">
        <v>603</v>
      </c>
      <c r="G11" s="32" t="s">
        <v>617</v>
      </c>
      <c r="H11" s="32" t="s">
        <v>630</v>
      </c>
      <c r="K11">
        <v>7</v>
      </c>
      <c r="L11" t="s">
        <v>352</v>
      </c>
      <c r="M11">
        <v>7</v>
      </c>
      <c r="N11" t="s">
        <v>652</v>
      </c>
      <c r="P11">
        <v>7</v>
      </c>
      <c r="Q11" t="s">
        <v>629</v>
      </c>
      <c r="R11">
        <v>7</v>
      </c>
      <c r="S11" t="s">
        <v>630</v>
      </c>
    </row>
    <row r="12" spans="1:19" x14ac:dyDescent="0.35">
      <c r="A12">
        <v>7</v>
      </c>
      <c r="B12" s="32" t="s">
        <v>552</v>
      </c>
      <c r="C12" s="32" t="s">
        <v>565</v>
      </c>
      <c r="D12" s="32" t="s">
        <v>577</v>
      </c>
      <c r="E12" s="32" t="s">
        <v>589</v>
      </c>
      <c r="F12" s="32" t="s">
        <v>604</v>
      </c>
      <c r="G12" s="2" t="s">
        <v>618</v>
      </c>
      <c r="H12" s="4" t="s">
        <v>328</v>
      </c>
      <c r="K12">
        <v>8</v>
      </c>
      <c r="L12" s="24" t="s">
        <v>114</v>
      </c>
      <c r="M12">
        <v>8</v>
      </c>
      <c r="N12" s="24" t="s">
        <v>111</v>
      </c>
      <c r="P12">
        <v>8</v>
      </c>
      <c r="Q12" s="24" t="s">
        <v>124</v>
      </c>
      <c r="R12">
        <v>8</v>
      </c>
      <c r="S12" s="24" t="s">
        <v>121</v>
      </c>
    </row>
    <row r="13" spans="1:19" x14ac:dyDescent="0.35">
      <c r="A13">
        <v>8</v>
      </c>
      <c r="B13" s="32" t="s">
        <v>553</v>
      </c>
      <c r="C13" s="33" t="s">
        <v>324</v>
      </c>
      <c r="D13" s="32" t="s">
        <v>579</v>
      </c>
      <c r="E13" s="2" t="s">
        <v>590</v>
      </c>
      <c r="F13" s="2" t="s">
        <v>605</v>
      </c>
      <c r="G13" s="32" t="s">
        <v>619</v>
      </c>
      <c r="H13" s="2" t="s">
        <v>631</v>
      </c>
    </row>
    <row r="14" spans="1:19" x14ac:dyDescent="0.35">
      <c r="A14">
        <v>9</v>
      </c>
      <c r="B14" s="2" t="s">
        <v>554</v>
      </c>
      <c r="C14" t="s">
        <v>566</v>
      </c>
      <c r="D14" s="2" t="s">
        <v>578</v>
      </c>
      <c r="E14" s="2" t="s">
        <v>591</v>
      </c>
      <c r="F14" s="32" t="s">
        <v>606</v>
      </c>
      <c r="G14" s="2" t="s">
        <v>333</v>
      </c>
      <c r="H14" s="2" t="s">
        <v>632</v>
      </c>
      <c r="K14" s="1" t="s">
        <v>337</v>
      </c>
      <c r="M14" s="1" t="s">
        <v>339</v>
      </c>
      <c r="P14" s="1" t="s">
        <v>337</v>
      </c>
      <c r="R14" s="1" t="s">
        <v>339</v>
      </c>
    </row>
    <row r="15" spans="1:19" x14ac:dyDescent="0.35">
      <c r="A15">
        <v>10</v>
      </c>
      <c r="B15" s="2" t="s">
        <v>555</v>
      </c>
      <c r="C15" t="s">
        <v>567</v>
      </c>
      <c r="D15" s="2" t="s">
        <v>580</v>
      </c>
      <c r="E15" s="2" t="s">
        <v>593</v>
      </c>
      <c r="F15" s="2" t="s">
        <v>607</v>
      </c>
      <c r="G15" s="2" t="s">
        <v>620</v>
      </c>
      <c r="H15" s="2" t="s">
        <v>633</v>
      </c>
      <c r="K15">
        <v>1</v>
      </c>
      <c r="L15" t="s">
        <v>640</v>
      </c>
      <c r="M15">
        <v>13</v>
      </c>
      <c r="N15" t="s">
        <v>654</v>
      </c>
      <c r="P15">
        <v>1</v>
      </c>
      <c r="Q15" t="s">
        <v>671</v>
      </c>
      <c r="R15" s="2">
        <v>25</v>
      </c>
      <c r="S15" t="s">
        <v>682</v>
      </c>
    </row>
    <row r="16" spans="1:19" x14ac:dyDescent="0.35">
      <c r="A16">
        <v>11</v>
      </c>
      <c r="B16" s="2" t="s">
        <v>556</v>
      </c>
      <c r="C16" t="s">
        <v>568</v>
      </c>
      <c r="D16" s="2" t="s">
        <v>581</v>
      </c>
      <c r="E16" s="32" t="s">
        <v>592</v>
      </c>
      <c r="F16" s="2" t="s">
        <v>608</v>
      </c>
      <c r="G16" s="2" t="s">
        <v>621</v>
      </c>
      <c r="H16" s="2" t="s">
        <v>634</v>
      </c>
      <c r="K16">
        <v>2</v>
      </c>
      <c r="L16" t="s">
        <v>641</v>
      </c>
      <c r="M16">
        <v>14</v>
      </c>
      <c r="N16" t="s">
        <v>655</v>
      </c>
      <c r="P16">
        <v>2</v>
      </c>
      <c r="Q16" t="s">
        <v>672</v>
      </c>
      <c r="R16" s="2">
        <v>42</v>
      </c>
      <c r="S16" t="s">
        <v>683</v>
      </c>
    </row>
    <row r="17" spans="1:19" x14ac:dyDescent="0.35">
      <c r="A17">
        <v>12</v>
      </c>
      <c r="B17" s="2" t="s">
        <v>557</v>
      </c>
      <c r="C17" t="s">
        <v>569</v>
      </c>
      <c r="D17" s="2" t="s">
        <v>583</v>
      </c>
      <c r="E17" s="2" t="s">
        <v>594</v>
      </c>
      <c r="F17" s="2" t="s">
        <v>610</v>
      </c>
      <c r="G17" s="2" t="s">
        <v>622</v>
      </c>
      <c r="H17" s="2" t="s">
        <v>635</v>
      </c>
      <c r="K17">
        <v>3</v>
      </c>
      <c r="L17" t="s">
        <v>642</v>
      </c>
      <c r="M17">
        <v>16</v>
      </c>
      <c r="N17" t="s">
        <v>656</v>
      </c>
      <c r="P17">
        <v>3</v>
      </c>
      <c r="Q17" t="s">
        <v>670</v>
      </c>
      <c r="R17" s="2">
        <v>44</v>
      </c>
      <c r="S17" t="s">
        <v>684</v>
      </c>
    </row>
    <row r="18" spans="1:19" x14ac:dyDescent="0.35">
      <c r="A18">
        <v>13</v>
      </c>
      <c r="B18" s="2" t="s">
        <v>558</v>
      </c>
      <c r="C18" t="s">
        <v>570</v>
      </c>
      <c r="D18" s="2" t="s">
        <v>582</v>
      </c>
      <c r="E18" s="2" t="s">
        <v>595</v>
      </c>
      <c r="F18" s="2" t="s">
        <v>609</v>
      </c>
      <c r="G18" s="2" t="s">
        <v>623</v>
      </c>
      <c r="H18" s="2" t="s">
        <v>636</v>
      </c>
      <c r="K18">
        <v>4</v>
      </c>
      <c r="L18" t="s">
        <v>643</v>
      </c>
      <c r="M18">
        <v>17</v>
      </c>
      <c r="N18" t="s">
        <v>657</v>
      </c>
      <c r="P18">
        <v>4</v>
      </c>
      <c r="Q18" t="s">
        <v>673</v>
      </c>
      <c r="R18" s="2">
        <v>47</v>
      </c>
      <c r="S18" t="s">
        <v>685</v>
      </c>
    </row>
    <row r="19" spans="1:19" x14ac:dyDescent="0.35">
      <c r="A19">
        <v>14</v>
      </c>
      <c r="B19" s="2" t="s">
        <v>559</v>
      </c>
      <c r="C19" t="s">
        <v>571</v>
      </c>
      <c r="D19" s="2" t="s">
        <v>584</v>
      </c>
      <c r="E19" s="2" t="s">
        <v>596</v>
      </c>
      <c r="F19" s="2" t="s">
        <v>611</v>
      </c>
      <c r="G19" s="2" t="s">
        <v>624</v>
      </c>
      <c r="H19" s="2" t="s">
        <v>637</v>
      </c>
      <c r="K19">
        <v>5</v>
      </c>
      <c r="L19" t="s">
        <v>644</v>
      </c>
      <c r="M19">
        <v>19</v>
      </c>
      <c r="N19" t="s">
        <v>658</v>
      </c>
      <c r="P19">
        <v>5</v>
      </c>
      <c r="Q19" t="s">
        <v>665</v>
      </c>
      <c r="R19" s="2">
        <v>50</v>
      </c>
      <c r="S19" t="s">
        <v>686</v>
      </c>
    </row>
    <row r="20" spans="1:19" x14ac:dyDescent="0.35">
      <c r="A20">
        <v>15</v>
      </c>
      <c r="B20" s="2" t="s">
        <v>560</v>
      </c>
      <c r="C20" t="s">
        <v>572</v>
      </c>
      <c r="D20" s="2" t="s">
        <v>585</v>
      </c>
      <c r="E20" s="2" t="s">
        <v>597</v>
      </c>
      <c r="F20" s="2" t="s">
        <v>612</v>
      </c>
      <c r="G20" s="2" t="s">
        <v>625</v>
      </c>
      <c r="H20" s="2" t="s">
        <v>638</v>
      </c>
      <c r="K20">
        <v>6</v>
      </c>
      <c r="L20" t="s">
        <v>645</v>
      </c>
      <c r="M20">
        <v>22</v>
      </c>
      <c r="N20" t="s">
        <v>659</v>
      </c>
      <c r="P20">
        <v>6</v>
      </c>
      <c r="Q20" t="s">
        <v>666</v>
      </c>
      <c r="R20" s="2">
        <v>55</v>
      </c>
      <c r="S20" t="s">
        <v>687</v>
      </c>
    </row>
    <row r="21" spans="1:19" x14ac:dyDescent="0.35">
      <c r="A21">
        <v>16</v>
      </c>
      <c r="B21" s="2" t="s">
        <v>561</v>
      </c>
      <c r="C21" t="s">
        <v>573</v>
      </c>
      <c r="D21" s="2" t="s">
        <v>586</v>
      </c>
      <c r="E21" s="2" t="s">
        <v>598</v>
      </c>
      <c r="F21" s="2" t="s">
        <v>613</v>
      </c>
      <c r="G21" s="2" t="s">
        <v>626</v>
      </c>
      <c r="H21" s="2" t="s">
        <v>639</v>
      </c>
      <c r="K21">
        <v>7</v>
      </c>
      <c r="L21" t="s">
        <v>334</v>
      </c>
      <c r="P21">
        <v>7</v>
      </c>
      <c r="Q21" t="s">
        <v>667</v>
      </c>
    </row>
    <row r="22" spans="1:19" x14ac:dyDescent="0.35">
      <c r="K22">
        <v>8</v>
      </c>
      <c r="L22" s="24" t="s">
        <v>120</v>
      </c>
      <c r="P22">
        <v>8</v>
      </c>
      <c r="Q22" s="24" t="s">
        <v>113</v>
      </c>
    </row>
    <row r="23" spans="1:19" x14ac:dyDescent="0.35">
      <c r="O23" t="s">
        <v>469</v>
      </c>
      <c r="S23" t="s">
        <v>688</v>
      </c>
    </row>
    <row r="24" spans="1:19" x14ac:dyDescent="0.35">
      <c r="O24" t="s">
        <v>470</v>
      </c>
      <c r="R24">
        <v>49</v>
      </c>
      <c r="S24" t="s">
        <v>568</v>
      </c>
    </row>
    <row r="25" spans="1:19" x14ac:dyDescent="0.35">
      <c r="O25" t="s">
        <v>471</v>
      </c>
      <c r="R25">
        <v>51</v>
      </c>
      <c r="S25" t="s">
        <v>554</v>
      </c>
    </row>
    <row r="26" spans="1:19" x14ac:dyDescent="0.35">
      <c r="O26" t="s">
        <v>472</v>
      </c>
      <c r="R26">
        <v>52</v>
      </c>
      <c r="S26" t="s">
        <v>590</v>
      </c>
    </row>
    <row r="27" spans="1:19" x14ac:dyDescent="0.35">
      <c r="O27" t="s">
        <v>473</v>
      </c>
      <c r="R27">
        <v>53</v>
      </c>
      <c r="S27" t="s">
        <v>593</v>
      </c>
    </row>
    <row r="29" spans="1:19" x14ac:dyDescent="0.35">
      <c r="M29">
        <v>38</v>
      </c>
      <c r="N29" t="s">
        <v>691</v>
      </c>
      <c r="P29">
        <v>82</v>
      </c>
      <c r="Q29" t="s">
        <v>690</v>
      </c>
    </row>
    <row r="33" spans="3:12" x14ac:dyDescent="0.35">
      <c r="K33">
        <v>-3</v>
      </c>
    </row>
    <row r="34" spans="3:12" x14ac:dyDescent="0.35">
      <c r="K34">
        <v>-2</v>
      </c>
    </row>
    <row r="35" spans="3:12" x14ac:dyDescent="0.35">
      <c r="F35" s="2">
        <v>25</v>
      </c>
      <c r="K35">
        <v>-1</v>
      </c>
    </row>
    <row r="36" spans="3:12" x14ac:dyDescent="0.35">
      <c r="F36" s="2">
        <v>42</v>
      </c>
      <c r="J36">
        <v>1</v>
      </c>
      <c r="K36" s="2">
        <v>1</v>
      </c>
    </row>
    <row r="37" spans="3:12" x14ac:dyDescent="0.35">
      <c r="F37" s="2">
        <v>44</v>
      </c>
      <c r="J37">
        <v>2</v>
      </c>
      <c r="K37" s="2">
        <v>2</v>
      </c>
    </row>
    <row r="38" spans="3:12" x14ac:dyDescent="0.35">
      <c r="F38" s="2">
        <v>47</v>
      </c>
      <c r="J38">
        <v>3</v>
      </c>
      <c r="K38" s="2">
        <v>3</v>
      </c>
    </row>
    <row r="39" spans="3:12" x14ac:dyDescent="0.35">
      <c r="F39" s="2">
        <v>49</v>
      </c>
      <c r="J39">
        <v>4</v>
      </c>
      <c r="K39" s="2">
        <v>4</v>
      </c>
    </row>
    <row r="40" spans="3:12" x14ac:dyDescent="0.35">
      <c r="F40" s="2">
        <v>50</v>
      </c>
      <c r="J40">
        <v>5</v>
      </c>
      <c r="K40" s="2">
        <v>5</v>
      </c>
    </row>
    <row r="41" spans="3:12" x14ac:dyDescent="0.35">
      <c r="F41" s="2">
        <v>51</v>
      </c>
      <c r="J41">
        <v>6</v>
      </c>
      <c r="K41" s="2">
        <v>6</v>
      </c>
    </row>
    <row r="42" spans="3:12" x14ac:dyDescent="0.35">
      <c r="F42" s="2">
        <v>52</v>
      </c>
      <c r="J42">
        <v>7</v>
      </c>
      <c r="K42" s="2">
        <v>7</v>
      </c>
      <c r="L42" s="2"/>
    </row>
    <row r="43" spans="3:12" x14ac:dyDescent="0.35">
      <c r="F43" s="2">
        <v>53</v>
      </c>
      <c r="J43">
        <v>8</v>
      </c>
      <c r="K43" s="2">
        <v>8</v>
      </c>
      <c r="L43" s="2"/>
    </row>
    <row r="44" spans="3:12" x14ac:dyDescent="0.35">
      <c r="C44" s="1"/>
      <c r="E44" s="2"/>
      <c r="F44" s="2">
        <v>55</v>
      </c>
      <c r="H44" s="1"/>
      <c r="J44">
        <v>9</v>
      </c>
      <c r="K44" s="2">
        <v>9</v>
      </c>
      <c r="L44" s="2"/>
    </row>
    <row r="45" spans="3:12" x14ac:dyDescent="0.35">
      <c r="F45" s="2">
        <v>56</v>
      </c>
      <c r="J45">
        <v>10</v>
      </c>
      <c r="K45" s="2">
        <v>10</v>
      </c>
    </row>
    <row r="46" spans="3:12" x14ac:dyDescent="0.35">
      <c r="F46" s="2">
        <v>57</v>
      </c>
      <c r="J46">
        <v>11</v>
      </c>
      <c r="K46" s="2">
        <v>11</v>
      </c>
    </row>
    <row r="47" spans="3:12" x14ac:dyDescent="0.35">
      <c r="F47" s="2">
        <v>58</v>
      </c>
      <c r="J47">
        <v>12</v>
      </c>
      <c r="K47" s="2">
        <v>12</v>
      </c>
    </row>
    <row r="48" spans="3:12" x14ac:dyDescent="0.35">
      <c r="F48" s="2">
        <v>60</v>
      </c>
      <c r="K48" s="2">
        <v>15</v>
      </c>
    </row>
    <row r="49" spans="6:11" x14ac:dyDescent="0.35">
      <c r="F49" s="2">
        <v>61</v>
      </c>
      <c r="K49" s="2">
        <v>18</v>
      </c>
    </row>
    <row r="50" spans="6:11" x14ac:dyDescent="0.35">
      <c r="F50" s="2">
        <v>63</v>
      </c>
      <c r="K50" s="2">
        <v>20</v>
      </c>
    </row>
    <row r="51" spans="6:11" x14ac:dyDescent="0.35">
      <c r="F51" s="2">
        <v>64</v>
      </c>
      <c r="K51" s="2">
        <v>21</v>
      </c>
    </row>
    <row r="52" spans="6:11" x14ac:dyDescent="0.35">
      <c r="F52" s="2">
        <v>65</v>
      </c>
      <c r="K52" s="2">
        <v>24</v>
      </c>
    </row>
    <row r="53" spans="6:11" x14ac:dyDescent="0.35">
      <c r="F53" s="2">
        <v>66</v>
      </c>
      <c r="K53" s="2">
        <v>27</v>
      </c>
    </row>
    <row r="54" spans="6:11" x14ac:dyDescent="0.35">
      <c r="F54" s="2">
        <v>67</v>
      </c>
      <c r="K54" s="2">
        <v>29</v>
      </c>
    </row>
    <row r="55" spans="6:11" x14ac:dyDescent="0.35">
      <c r="F55" s="2">
        <v>68</v>
      </c>
      <c r="K55" s="2">
        <v>36</v>
      </c>
    </row>
    <row r="56" spans="6:11" x14ac:dyDescent="0.35">
      <c r="F56" s="2">
        <v>69</v>
      </c>
      <c r="K56" s="2">
        <v>38</v>
      </c>
    </row>
    <row r="57" spans="6:11" x14ac:dyDescent="0.35">
      <c r="F57" s="2">
        <v>70</v>
      </c>
    </row>
    <row r="58" spans="6:11" x14ac:dyDescent="0.35">
      <c r="F58" s="2">
        <v>71</v>
      </c>
    </row>
    <row r="59" spans="6:11" x14ac:dyDescent="0.35">
      <c r="F59" s="2">
        <v>72</v>
      </c>
    </row>
    <row r="60" spans="6:11" x14ac:dyDescent="0.35">
      <c r="F60" s="2">
        <v>73</v>
      </c>
    </row>
    <row r="61" spans="6:11" x14ac:dyDescent="0.35">
      <c r="F61" s="2">
        <v>74</v>
      </c>
    </row>
    <row r="62" spans="6:11" x14ac:dyDescent="0.35">
      <c r="F62" s="2">
        <v>75</v>
      </c>
    </row>
    <row r="63" spans="6:11" x14ac:dyDescent="0.35">
      <c r="F63" s="2">
        <v>76</v>
      </c>
    </row>
    <row r="64" spans="6:11" x14ac:dyDescent="0.35">
      <c r="F64" s="2">
        <v>77</v>
      </c>
    </row>
    <row r="65" spans="6:6" x14ac:dyDescent="0.35">
      <c r="F65" s="2">
        <v>78</v>
      </c>
    </row>
    <row r="66" spans="6:6" x14ac:dyDescent="0.35">
      <c r="F66" s="2">
        <v>79</v>
      </c>
    </row>
    <row r="67" spans="6:6" x14ac:dyDescent="0.35">
      <c r="F67" s="2">
        <v>80</v>
      </c>
    </row>
    <row r="68" spans="6:6" x14ac:dyDescent="0.35">
      <c r="F68" s="2">
        <v>81</v>
      </c>
    </row>
    <row r="69" spans="6:6" x14ac:dyDescent="0.35">
      <c r="F69" s="2">
        <v>83</v>
      </c>
    </row>
    <row r="70" spans="6:6" x14ac:dyDescent="0.35">
      <c r="F70" s="2">
        <v>84</v>
      </c>
    </row>
    <row r="71" spans="6:6" x14ac:dyDescent="0.35">
      <c r="F71" s="2">
        <v>85</v>
      </c>
    </row>
    <row r="72" spans="6:6" x14ac:dyDescent="0.35">
      <c r="F72" s="2">
        <v>86</v>
      </c>
    </row>
    <row r="73" spans="6:6" x14ac:dyDescent="0.35">
      <c r="F73" s="2">
        <v>87</v>
      </c>
    </row>
    <row r="74" spans="6:6" x14ac:dyDescent="0.35">
      <c r="F74" s="2">
        <v>88</v>
      </c>
    </row>
    <row r="75" spans="6:6" x14ac:dyDescent="0.35">
      <c r="F75" s="2">
        <v>89</v>
      </c>
    </row>
    <row r="76" spans="6:6" x14ac:dyDescent="0.35">
      <c r="F76" s="2">
        <v>90</v>
      </c>
    </row>
    <row r="77" spans="6:6" x14ac:dyDescent="0.35">
      <c r="F77" s="2">
        <v>91</v>
      </c>
    </row>
    <row r="78" spans="6:6" x14ac:dyDescent="0.35">
      <c r="F78" s="2">
        <v>92</v>
      </c>
    </row>
    <row r="79" spans="6:6" x14ac:dyDescent="0.35">
      <c r="F79" s="2">
        <v>93</v>
      </c>
    </row>
    <row r="80" spans="6:6" x14ac:dyDescent="0.35">
      <c r="F80" s="2">
        <v>94</v>
      </c>
    </row>
    <row r="81" spans="6:6" x14ac:dyDescent="0.35">
      <c r="F81" s="2">
        <v>95</v>
      </c>
    </row>
    <row r="82" spans="6:6" x14ac:dyDescent="0.35">
      <c r="F82" s="2">
        <v>96</v>
      </c>
    </row>
    <row r="83" spans="6:6" x14ac:dyDescent="0.35">
      <c r="F83" s="2">
        <v>97</v>
      </c>
    </row>
    <row r="84" spans="6:6" x14ac:dyDescent="0.35">
      <c r="F84" s="2">
        <v>98</v>
      </c>
    </row>
    <row r="85" spans="6:6" x14ac:dyDescent="0.35">
      <c r="F85" s="2">
        <v>99</v>
      </c>
    </row>
    <row r="86" spans="6:6" x14ac:dyDescent="0.35">
      <c r="F86" s="2">
        <v>100</v>
      </c>
    </row>
    <row r="87" spans="6:6" x14ac:dyDescent="0.35">
      <c r="F87" s="2">
        <v>101</v>
      </c>
    </row>
    <row r="88" spans="6:6" x14ac:dyDescent="0.35">
      <c r="F88" s="2">
        <v>102</v>
      </c>
    </row>
    <row r="89" spans="6:6" x14ac:dyDescent="0.35">
      <c r="F89" s="2">
        <v>103</v>
      </c>
    </row>
    <row r="90" spans="6:6" x14ac:dyDescent="0.35">
      <c r="F90" s="2">
        <v>104</v>
      </c>
    </row>
    <row r="91" spans="6:6" x14ac:dyDescent="0.35">
      <c r="F91" s="2">
        <v>105</v>
      </c>
    </row>
    <row r="92" spans="6:6" x14ac:dyDescent="0.35">
      <c r="F92" s="2">
        <v>106</v>
      </c>
    </row>
    <row r="93" spans="6:6" x14ac:dyDescent="0.35">
      <c r="F93" s="2">
        <v>107</v>
      </c>
    </row>
    <row r="94" spans="6:6" x14ac:dyDescent="0.35">
      <c r="F94" s="2">
        <v>108</v>
      </c>
    </row>
    <row r="95" spans="6:6" x14ac:dyDescent="0.35">
      <c r="F95" s="2">
        <v>109</v>
      </c>
    </row>
    <row r="96" spans="6:6" x14ac:dyDescent="0.35">
      <c r="F96" s="2">
        <v>110</v>
      </c>
    </row>
    <row r="97" spans="6:6" x14ac:dyDescent="0.35">
      <c r="F97" s="2">
        <v>111</v>
      </c>
    </row>
    <row r="98" spans="6:6" x14ac:dyDescent="0.35">
      <c r="F98" s="2">
        <v>112</v>
      </c>
    </row>
  </sheetData>
  <sortState xmlns:xlrd2="http://schemas.microsoft.com/office/spreadsheetml/2017/richdata2" ref="F35:F98">
    <sortCondition ref="F9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75"/>
  <sheetViews>
    <sheetView topLeftCell="H31" workbookViewId="0">
      <selection activeCell="U48" sqref="U48"/>
    </sheetView>
  </sheetViews>
  <sheetFormatPr defaultRowHeight="14.5" x14ac:dyDescent="0.35"/>
  <cols>
    <col min="8" max="8" width="4.08984375" customWidth="1"/>
    <col min="20" max="20" width="3.90625" customWidth="1"/>
  </cols>
  <sheetData>
    <row r="1" spans="1:23" x14ac:dyDescent="0.35">
      <c r="B1" s="22">
        <v>120</v>
      </c>
      <c r="C1" s="22">
        <v>110</v>
      </c>
      <c r="D1" s="22">
        <v>126</v>
      </c>
      <c r="E1" s="22">
        <v>158</v>
      </c>
      <c r="F1" s="22">
        <v>776</v>
      </c>
      <c r="G1" s="22">
        <v>56</v>
      </c>
      <c r="N1" s="22">
        <v>120</v>
      </c>
      <c r="O1" s="22">
        <v>110</v>
      </c>
      <c r="P1" s="22">
        <v>126</v>
      </c>
      <c r="Q1" s="22">
        <v>158</v>
      </c>
      <c r="R1" s="22">
        <v>776</v>
      </c>
      <c r="S1" s="22">
        <v>56</v>
      </c>
    </row>
    <row r="2" spans="1:23" x14ac:dyDescent="0.35">
      <c r="B2" t="s">
        <v>68</v>
      </c>
      <c r="C2" t="s">
        <v>66</v>
      </c>
      <c r="D2" t="s">
        <v>0</v>
      </c>
      <c r="E2" t="s">
        <v>67</v>
      </c>
      <c r="F2" t="s">
        <v>69</v>
      </c>
      <c r="G2" s="1" t="s">
        <v>127</v>
      </c>
      <c r="I2" s="1" t="s">
        <v>70</v>
      </c>
      <c r="J2" s="1" t="s">
        <v>71</v>
      </c>
      <c r="K2" s="1" t="s">
        <v>72</v>
      </c>
      <c r="N2" t="s">
        <v>68</v>
      </c>
      <c r="O2" t="s">
        <v>66</v>
      </c>
      <c r="P2" t="s">
        <v>0</v>
      </c>
      <c r="Q2" t="s">
        <v>67</v>
      </c>
      <c r="R2" t="s">
        <v>69</v>
      </c>
      <c r="S2" s="1" t="s">
        <v>127</v>
      </c>
      <c r="U2" s="1" t="s">
        <v>70</v>
      </c>
      <c r="V2" s="1" t="s">
        <v>71</v>
      </c>
      <c r="W2" s="1" t="s">
        <v>72</v>
      </c>
    </row>
    <row r="3" spans="1:23" x14ac:dyDescent="0.35">
      <c r="A3" t="s">
        <v>29</v>
      </c>
      <c r="F3">
        <v>64</v>
      </c>
      <c r="G3">
        <f>SUM(B3:F3)</f>
        <v>64</v>
      </c>
      <c r="K3" s="3" t="s">
        <v>142</v>
      </c>
      <c r="M3" t="s">
        <v>29</v>
      </c>
      <c r="S3">
        <f>SUM(N3:R3)</f>
        <v>0</v>
      </c>
      <c r="W3" s="3" t="s">
        <v>142</v>
      </c>
    </row>
    <row r="4" spans="1:23" x14ac:dyDescent="0.35">
      <c r="A4" t="s">
        <v>30</v>
      </c>
      <c r="F4">
        <v>64</v>
      </c>
      <c r="G4">
        <f t="shared" ref="G4:G21" si="0">SUM(B4:F4)</f>
        <v>64</v>
      </c>
      <c r="K4" s="3" t="s">
        <v>142</v>
      </c>
      <c r="M4" t="s">
        <v>30</v>
      </c>
      <c r="S4">
        <f t="shared" ref="S4:S29" si="1">SUM(N4:R4)</f>
        <v>0</v>
      </c>
      <c r="W4" s="3" t="s">
        <v>142</v>
      </c>
    </row>
    <row r="5" spans="1:23" x14ac:dyDescent="0.35">
      <c r="A5" t="s">
        <v>31</v>
      </c>
      <c r="F5">
        <v>64</v>
      </c>
      <c r="G5">
        <f t="shared" si="0"/>
        <v>64</v>
      </c>
      <c r="K5" s="3" t="s">
        <v>142</v>
      </c>
      <c r="M5" t="s">
        <v>31</v>
      </c>
      <c r="N5">
        <v>8</v>
      </c>
      <c r="O5">
        <v>12</v>
      </c>
      <c r="P5">
        <v>18</v>
      </c>
      <c r="R5">
        <v>64</v>
      </c>
      <c r="S5">
        <f t="shared" si="1"/>
        <v>102</v>
      </c>
      <c r="U5" s="8" t="s">
        <v>136</v>
      </c>
      <c r="V5" t="s">
        <v>269</v>
      </c>
      <c r="W5" s="3" t="s">
        <v>142</v>
      </c>
    </row>
    <row r="6" spans="1:23" x14ac:dyDescent="0.35">
      <c r="A6" t="s">
        <v>32</v>
      </c>
      <c r="C6">
        <v>20</v>
      </c>
      <c r="D6">
        <v>16</v>
      </c>
      <c r="F6">
        <v>64</v>
      </c>
      <c r="G6">
        <f t="shared" si="0"/>
        <v>100</v>
      </c>
      <c r="I6" s="8" t="s">
        <v>136</v>
      </c>
      <c r="J6" t="s">
        <v>269</v>
      </c>
      <c r="K6" s="19" t="s">
        <v>39</v>
      </c>
      <c r="M6" t="s">
        <v>32</v>
      </c>
      <c r="N6">
        <v>8</v>
      </c>
      <c r="O6">
        <v>12</v>
      </c>
      <c r="P6">
        <v>18</v>
      </c>
      <c r="R6">
        <v>64</v>
      </c>
      <c r="S6">
        <f t="shared" si="1"/>
        <v>102</v>
      </c>
      <c r="U6" s="8" t="s">
        <v>137</v>
      </c>
      <c r="V6" s="9" t="s">
        <v>222</v>
      </c>
      <c r="W6" s="19" t="s">
        <v>39</v>
      </c>
    </row>
    <row r="7" spans="1:23" x14ac:dyDescent="0.35">
      <c r="A7" t="s">
        <v>33</v>
      </c>
      <c r="B7">
        <v>32</v>
      </c>
      <c r="C7">
        <v>20</v>
      </c>
      <c r="D7">
        <v>16</v>
      </c>
      <c r="E7">
        <v>16</v>
      </c>
      <c r="G7">
        <f t="shared" si="0"/>
        <v>84</v>
      </c>
      <c r="I7" s="8" t="s">
        <v>137</v>
      </c>
      <c r="J7" s="9" t="s">
        <v>222</v>
      </c>
      <c r="K7" s="10" t="s">
        <v>73</v>
      </c>
      <c r="M7" t="s">
        <v>33</v>
      </c>
      <c r="N7">
        <v>8</v>
      </c>
      <c r="O7">
        <v>12</v>
      </c>
      <c r="P7">
        <v>18</v>
      </c>
      <c r="Q7">
        <v>16</v>
      </c>
      <c r="R7">
        <v>64</v>
      </c>
      <c r="S7">
        <f t="shared" si="1"/>
        <v>118</v>
      </c>
      <c r="U7" s="8" t="s">
        <v>138</v>
      </c>
      <c r="V7" s="9" t="s">
        <v>225</v>
      </c>
    </row>
    <row r="8" spans="1:23" x14ac:dyDescent="0.35">
      <c r="A8" t="s">
        <v>34</v>
      </c>
      <c r="C8">
        <v>20</v>
      </c>
      <c r="D8">
        <v>16</v>
      </c>
      <c r="E8">
        <v>16</v>
      </c>
      <c r="F8">
        <v>48</v>
      </c>
      <c r="G8">
        <f t="shared" si="0"/>
        <v>100</v>
      </c>
      <c r="I8" s="8" t="s">
        <v>138</v>
      </c>
      <c r="J8" s="9" t="s">
        <v>225</v>
      </c>
      <c r="K8" s="3" t="s">
        <v>142</v>
      </c>
      <c r="M8" t="s">
        <v>34</v>
      </c>
      <c r="N8">
        <v>8</v>
      </c>
      <c r="O8">
        <v>12</v>
      </c>
      <c r="P8">
        <v>18</v>
      </c>
      <c r="Q8">
        <v>16</v>
      </c>
      <c r="R8">
        <v>64</v>
      </c>
      <c r="S8">
        <f t="shared" si="1"/>
        <v>118</v>
      </c>
      <c r="U8" s="8" t="s">
        <v>139</v>
      </c>
      <c r="V8" s="9" t="s">
        <v>223</v>
      </c>
      <c r="W8" s="3" t="s">
        <v>142</v>
      </c>
    </row>
    <row r="9" spans="1:23" x14ac:dyDescent="0.35">
      <c r="A9" t="s">
        <v>46</v>
      </c>
      <c r="B9">
        <v>32</v>
      </c>
      <c r="C9">
        <v>20</v>
      </c>
      <c r="D9">
        <v>16</v>
      </c>
      <c r="F9">
        <v>48</v>
      </c>
      <c r="G9">
        <f t="shared" si="0"/>
        <v>116</v>
      </c>
      <c r="I9" s="8" t="s">
        <v>139</v>
      </c>
      <c r="J9" s="10" t="s">
        <v>74</v>
      </c>
      <c r="K9" s="19" t="s">
        <v>41</v>
      </c>
      <c r="M9" t="s">
        <v>46</v>
      </c>
      <c r="N9">
        <v>8</v>
      </c>
      <c r="O9">
        <v>12</v>
      </c>
      <c r="P9">
        <v>18</v>
      </c>
      <c r="Q9">
        <v>16</v>
      </c>
      <c r="R9">
        <v>64</v>
      </c>
      <c r="S9">
        <f t="shared" si="1"/>
        <v>118</v>
      </c>
      <c r="U9" s="8" t="s">
        <v>140</v>
      </c>
      <c r="V9" s="9" t="s">
        <v>226</v>
      </c>
      <c r="W9" s="19" t="s">
        <v>41</v>
      </c>
    </row>
    <row r="10" spans="1:23" x14ac:dyDescent="0.35">
      <c r="A10" t="s">
        <v>47</v>
      </c>
      <c r="C10">
        <v>20</v>
      </c>
      <c r="D10">
        <v>16</v>
      </c>
      <c r="E10">
        <v>16</v>
      </c>
      <c r="F10">
        <v>48</v>
      </c>
      <c r="G10">
        <f t="shared" si="0"/>
        <v>100</v>
      </c>
      <c r="I10" s="8" t="s">
        <v>140</v>
      </c>
      <c r="J10" s="9" t="s">
        <v>223</v>
      </c>
      <c r="K10" s="17" t="s">
        <v>143</v>
      </c>
      <c r="M10" t="s">
        <v>47</v>
      </c>
      <c r="N10">
        <v>8</v>
      </c>
      <c r="O10">
        <v>12</v>
      </c>
      <c r="P10">
        <v>18</v>
      </c>
      <c r="Q10">
        <v>16</v>
      </c>
      <c r="R10">
        <v>64</v>
      </c>
      <c r="S10">
        <f t="shared" si="1"/>
        <v>118</v>
      </c>
      <c r="U10" s="8" t="s">
        <v>141</v>
      </c>
      <c r="V10" s="9" t="s">
        <v>224</v>
      </c>
      <c r="W10" s="17" t="s">
        <v>143</v>
      </c>
    </row>
    <row r="11" spans="1:23" x14ac:dyDescent="0.35">
      <c r="A11" t="s">
        <v>48</v>
      </c>
      <c r="B11">
        <v>32</v>
      </c>
      <c r="C11">
        <v>20</v>
      </c>
      <c r="D11">
        <v>16</v>
      </c>
      <c r="E11">
        <v>16</v>
      </c>
      <c r="G11">
        <f t="shared" si="0"/>
        <v>84</v>
      </c>
      <c r="I11" s="8" t="s">
        <v>141</v>
      </c>
      <c r="J11" s="9" t="s">
        <v>226</v>
      </c>
      <c r="K11" s="10" t="s">
        <v>76</v>
      </c>
      <c r="M11" t="s">
        <v>48</v>
      </c>
      <c r="N11">
        <v>8</v>
      </c>
      <c r="O11">
        <v>12</v>
      </c>
      <c r="P11">
        <v>18</v>
      </c>
      <c r="Q11">
        <v>16</v>
      </c>
      <c r="R11">
        <v>64</v>
      </c>
      <c r="S11">
        <f t="shared" si="1"/>
        <v>118</v>
      </c>
      <c r="U11" s="8" t="s">
        <v>477</v>
      </c>
      <c r="V11" s="9" t="s">
        <v>481</v>
      </c>
    </row>
    <row r="12" spans="1:23" x14ac:dyDescent="0.35">
      <c r="A12" t="s">
        <v>49</v>
      </c>
      <c r="E12">
        <v>16</v>
      </c>
      <c r="F12">
        <v>64</v>
      </c>
      <c r="G12">
        <f t="shared" si="0"/>
        <v>80</v>
      </c>
      <c r="I12" s="8" t="s">
        <v>235</v>
      </c>
      <c r="J12" s="9" t="s">
        <v>224</v>
      </c>
      <c r="K12" s="17" t="s">
        <v>143</v>
      </c>
      <c r="M12" t="s">
        <v>49</v>
      </c>
      <c r="N12">
        <v>8</v>
      </c>
      <c r="O12">
        <v>12</v>
      </c>
      <c r="P12">
        <v>18</v>
      </c>
      <c r="Q12">
        <v>16</v>
      </c>
      <c r="R12">
        <v>64</v>
      </c>
      <c r="S12">
        <f t="shared" si="1"/>
        <v>118</v>
      </c>
      <c r="U12" s="8" t="s">
        <v>478</v>
      </c>
      <c r="V12" s="9" t="s">
        <v>234</v>
      </c>
      <c r="W12" s="17" t="s">
        <v>143</v>
      </c>
    </row>
    <row r="13" spans="1:23" x14ac:dyDescent="0.35">
      <c r="A13" t="s">
        <v>50</v>
      </c>
      <c r="B13">
        <v>16</v>
      </c>
      <c r="E13">
        <v>16</v>
      </c>
      <c r="F13">
        <v>64</v>
      </c>
      <c r="G13">
        <f t="shared" si="0"/>
        <v>96</v>
      </c>
      <c r="I13" s="10" t="s">
        <v>75</v>
      </c>
      <c r="J13" s="9" t="s">
        <v>456</v>
      </c>
      <c r="K13" s="19" t="s">
        <v>42</v>
      </c>
      <c r="M13" t="s">
        <v>50</v>
      </c>
      <c r="N13">
        <v>8</v>
      </c>
      <c r="O13">
        <v>12</v>
      </c>
      <c r="P13">
        <v>18</v>
      </c>
      <c r="Q13">
        <v>16</v>
      </c>
      <c r="R13">
        <v>64</v>
      </c>
      <c r="S13">
        <f t="shared" si="1"/>
        <v>118</v>
      </c>
      <c r="U13" s="8" t="s">
        <v>479</v>
      </c>
      <c r="V13" s="9" t="s">
        <v>234</v>
      </c>
      <c r="W13" s="19" t="s">
        <v>42</v>
      </c>
    </row>
    <row r="14" spans="1:23" x14ac:dyDescent="0.35">
      <c r="A14" t="s">
        <v>51</v>
      </c>
      <c r="C14">
        <v>8</v>
      </c>
      <c r="D14">
        <v>8</v>
      </c>
      <c r="E14">
        <v>16</v>
      </c>
      <c r="F14">
        <v>64</v>
      </c>
      <c r="G14">
        <f t="shared" si="0"/>
        <v>96</v>
      </c>
      <c r="I14" s="8" t="s">
        <v>133</v>
      </c>
      <c r="J14" s="9" t="s">
        <v>234</v>
      </c>
      <c r="K14" s="17" t="s">
        <v>143</v>
      </c>
      <c r="M14" t="s">
        <v>51</v>
      </c>
      <c r="N14">
        <v>8</v>
      </c>
      <c r="O14">
        <v>12</v>
      </c>
      <c r="P14">
        <v>18</v>
      </c>
      <c r="Q14">
        <v>16</v>
      </c>
      <c r="R14">
        <v>48</v>
      </c>
      <c r="S14">
        <f t="shared" si="1"/>
        <v>102</v>
      </c>
      <c r="U14" s="8" t="s">
        <v>480</v>
      </c>
      <c r="V14" s="9" t="s">
        <v>78</v>
      </c>
      <c r="W14" s="17" t="s">
        <v>143</v>
      </c>
    </row>
    <row r="15" spans="1:23" x14ac:dyDescent="0.35">
      <c r="A15" t="s">
        <v>52</v>
      </c>
      <c r="B15">
        <v>8</v>
      </c>
      <c r="C15">
        <v>8</v>
      </c>
      <c r="D15">
        <v>8</v>
      </c>
      <c r="E15">
        <v>16</v>
      </c>
      <c r="G15">
        <f t="shared" si="0"/>
        <v>40</v>
      </c>
      <c r="I15" s="8" t="s">
        <v>133</v>
      </c>
      <c r="J15" s="9" t="s">
        <v>234</v>
      </c>
      <c r="K15" s="10" t="s">
        <v>77</v>
      </c>
      <c r="M15" t="s">
        <v>52</v>
      </c>
      <c r="N15">
        <v>8</v>
      </c>
      <c r="O15">
        <v>8</v>
      </c>
      <c r="P15">
        <v>8</v>
      </c>
      <c r="Q15">
        <v>16</v>
      </c>
      <c r="R15">
        <v>48</v>
      </c>
      <c r="S15">
        <f t="shared" si="1"/>
        <v>88</v>
      </c>
      <c r="U15" s="8" t="s">
        <v>133</v>
      </c>
      <c r="V15" s="9" t="s">
        <v>78</v>
      </c>
    </row>
    <row r="16" spans="1:23" x14ac:dyDescent="0.35">
      <c r="A16" t="s">
        <v>53</v>
      </c>
      <c r="C16">
        <v>4</v>
      </c>
      <c r="D16">
        <v>4</v>
      </c>
      <c r="E16">
        <v>8</v>
      </c>
      <c r="F16">
        <v>48</v>
      </c>
      <c r="G16">
        <f t="shared" si="0"/>
        <v>64</v>
      </c>
      <c r="I16" s="8" t="s">
        <v>132</v>
      </c>
      <c r="J16" s="9" t="s">
        <v>78</v>
      </c>
      <c r="K16" s="19" t="s">
        <v>43</v>
      </c>
      <c r="M16" t="s">
        <v>53</v>
      </c>
      <c r="N16">
        <v>8</v>
      </c>
      <c r="O16">
        <v>8</v>
      </c>
      <c r="P16">
        <v>8</v>
      </c>
      <c r="Q16">
        <v>8</v>
      </c>
      <c r="R16">
        <v>48</v>
      </c>
      <c r="S16">
        <f t="shared" si="1"/>
        <v>80</v>
      </c>
      <c r="U16" s="8" t="s">
        <v>133</v>
      </c>
      <c r="V16" s="9" t="s">
        <v>79</v>
      </c>
      <c r="W16" s="19" t="s">
        <v>43</v>
      </c>
    </row>
    <row r="17" spans="1:23" x14ac:dyDescent="0.35">
      <c r="A17" t="s">
        <v>54</v>
      </c>
      <c r="C17">
        <v>4</v>
      </c>
      <c r="D17">
        <v>4</v>
      </c>
      <c r="E17">
        <v>8</v>
      </c>
      <c r="F17">
        <v>64</v>
      </c>
      <c r="G17">
        <f t="shared" si="0"/>
        <v>80</v>
      </c>
      <c r="I17" s="8" t="s">
        <v>132</v>
      </c>
      <c r="J17" s="9" t="s">
        <v>78</v>
      </c>
      <c r="K17" s="17" t="s">
        <v>143</v>
      </c>
      <c r="M17" t="s">
        <v>54</v>
      </c>
      <c r="N17">
        <v>4</v>
      </c>
      <c r="O17">
        <v>4</v>
      </c>
      <c r="P17">
        <v>4</v>
      </c>
      <c r="Q17">
        <v>8</v>
      </c>
      <c r="R17">
        <v>48</v>
      </c>
      <c r="S17">
        <f t="shared" si="1"/>
        <v>68</v>
      </c>
      <c r="U17" s="8" t="s">
        <v>132</v>
      </c>
      <c r="V17" s="9" t="s">
        <v>79</v>
      </c>
      <c r="W17" s="17" t="s">
        <v>143</v>
      </c>
    </row>
    <row r="18" spans="1:23" x14ac:dyDescent="0.35">
      <c r="A18" t="s">
        <v>55</v>
      </c>
      <c r="C18">
        <v>2</v>
      </c>
      <c r="D18">
        <v>2</v>
      </c>
      <c r="E18">
        <v>4</v>
      </c>
      <c r="F18">
        <v>64</v>
      </c>
      <c r="G18">
        <f t="shared" si="0"/>
        <v>72</v>
      </c>
      <c r="I18" s="8" t="s">
        <v>134</v>
      </c>
      <c r="J18" s="9" t="s">
        <v>79</v>
      </c>
      <c r="K18" t="s">
        <v>45</v>
      </c>
      <c r="M18" t="s">
        <v>55</v>
      </c>
      <c r="N18">
        <v>4</v>
      </c>
      <c r="O18">
        <v>4</v>
      </c>
      <c r="P18">
        <v>4</v>
      </c>
      <c r="Q18">
        <v>4</v>
      </c>
      <c r="S18">
        <f t="shared" si="1"/>
        <v>16</v>
      </c>
      <c r="U18" s="8" t="s">
        <v>132</v>
      </c>
      <c r="V18" s="9" t="s">
        <v>80</v>
      </c>
      <c r="W18" t="s">
        <v>45</v>
      </c>
    </row>
    <row r="19" spans="1:23" x14ac:dyDescent="0.35">
      <c r="A19" t="s">
        <v>56</v>
      </c>
      <c r="C19">
        <v>2</v>
      </c>
      <c r="D19">
        <v>2</v>
      </c>
      <c r="E19">
        <v>4</v>
      </c>
      <c r="F19">
        <v>8</v>
      </c>
      <c r="G19">
        <f>SUM(B19:F19)</f>
        <v>16</v>
      </c>
      <c r="I19" s="8" t="s">
        <v>134</v>
      </c>
      <c r="J19" s="9" t="s">
        <v>79</v>
      </c>
      <c r="K19" t="s">
        <v>144</v>
      </c>
      <c r="M19" t="s">
        <v>56</v>
      </c>
      <c r="N19">
        <v>2</v>
      </c>
      <c r="O19">
        <v>2</v>
      </c>
      <c r="P19">
        <v>2</v>
      </c>
      <c r="Q19">
        <v>4</v>
      </c>
      <c r="S19">
        <f t="shared" si="1"/>
        <v>10</v>
      </c>
      <c r="U19" s="8" t="s">
        <v>134</v>
      </c>
      <c r="V19" s="9" t="s">
        <v>80</v>
      </c>
      <c r="W19" t="s">
        <v>144</v>
      </c>
    </row>
    <row r="20" spans="1:23" x14ac:dyDescent="0.35">
      <c r="A20" t="s">
        <v>57</v>
      </c>
      <c r="C20">
        <v>1</v>
      </c>
      <c r="D20">
        <v>1</v>
      </c>
      <c r="E20">
        <v>4</v>
      </c>
      <c r="G20">
        <f t="shared" si="0"/>
        <v>6</v>
      </c>
      <c r="I20" s="9" t="s">
        <v>80</v>
      </c>
      <c r="J20" s="9" t="s">
        <v>80</v>
      </c>
      <c r="K20" s="8" t="s">
        <v>135</v>
      </c>
      <c r="M20" t="s">
        <v>57</v>
      </c>
      <c r="N20">
        <v>2</v>
      </c>
      <c r="O20">
        <v>2</v>
      </c>
      <c r="P20">
        <v>2</v>
      </c>
      <c r="Q20">
        <v>4</v>
      </c>
      <c r="S20">
        <f t="shared" si="1"/>
        <v>10</v>
      </c>
      <c r="U20" s="8" t="s">
        <v>134</v>
      </c>
      <c r="V20" s="9" t="s">
        <v>37</v>
      </c>
    </row>
    <row r="21" spans="1:23" x14ac:dyDescent="0.35">
      <c r="A21" t="s">
        <v>58</v>
      </c>
      <c r="C21">
        <v>1</v>
      </c>
      <c r="D21">
        <v>1</v>
      </c>
      <c r="E21">
        <v>2</v>
      </c>
      <c r="G21">
        <f t="shared" si="0"/>
        <v>4</v>
      </c>
      <c r="I21" s="8" t="s">
        <v>135</v>
      </c>
      <c r="J21" s="9" t="s">
        <v>37</v>
      </c>
      <c r="K21" s="9" t="s">
        <v>37</v>
      </c>
      <c r="M21" t="s">
        <v>58</v>
      </c>
      <c r="N21">
        <v>1</v>
      </c>
      <c r="O21">
        <v>1</v>
      </c>
      <c r="P21">
        <v>1</v>
      </c>
      <c r="Q21">
        <v>2</v>
      </c>
      <c r="S21">
        <f t="shared" si="1"/>
        <v>5</v>
      </c>
      <c r="U21" s="8" t="s">
        <v>135</v>
      </c>
      <c r="V21" s="9" t="s">
        <v>37</v>
      </c>
    </row>
    <row r="22" spans="1:23" x14ac:dyDescent="0.35">
      <c r="M22" t="s">
        <v>59</v>
      </c>
      <c r="N22">
        <v>1</v>
      </c>
      <c r="O22">
        <v>1</v>
      </c>
      <c r="P22">
        <v>1</v>
      </c>
      <c r="S22">
        <f t="shared" si="1"/>
        <v>3</v>
      </c>
      <c r="U22" s="8" t="s">
        <v>135</v>
      </c>
      <c r="W22" s="10" t="s">
        <v>73</v>
      </c>
    </row>
    <row r="23" spans="1:23" x14ac:dyDescent="0.35">
      <c r="A23" t="s">
        <v>59</v>
      </c>
      <c r="F23">
        <v>6</v>
      </c>
      <c r="G23">
        <f t="shared" ref="G23:G29" si="2">SUM(B23:F23)</f>
        <v>6</v>
      </c>
      <c r="S23">
        <f t="shared" si="1"/>
        <v>0</v>
      </c>
      <c r="V23" s="10" t="s">
        <v>74</v>
      </c>
      <c r="W23" s="10" t="s">
        <v>76</v>
      </c>
    </row>
    <row r="24" spans="1:23" x14ac:dyDescent="0.35">
      <c r="A24" t="s">
        <v>60</v>
      </c>
      <c r="F24">
        <v>16</v>
      </c>
      <c r="G24">
        <f t="shared" si="2"/>
        <v>16</v>
      </c>
      <c r="M24" t="s">
        <v>60</v>
      </c>
      <c r="S24">
        <f t="shared" si="1"/>
        <v>0</v>
      </c>
      <c r="V24" s="10" t="s">
        <v>75</v>
      </c>
      <c r="W24" s="10" t="s">
        <v>77</v>
      </c>
    </row>
    <row r="25" spans="1:23" x14ac:dyDescent="0.35">
      <c r="A25" t="s">
        <v>61</v>
      </c>
      <c r="F25">
        <v>16</v>
      </c>
      <c r="G25">
        <f t="shared" si="2"/>
        <v>16</v>
      </c>
      <c r="M25" t="s">
        <v>61</v>
      </c>
      <c r="S25">
        <f t="shared" si="1"/>
        <v>0</v>
      </c>
    </row>
    <row r="26" spans="1:23" x14ac:dyDescent="0.35">
      <c r="A26" t="s">
        <v>62</v>
      </c>
      <c r="F26">
        <v>8</v>
      </c>
      <c r="G26">
        <f t="shared" si="2"/>
        <v>8</v>
      </c>
      <c r="M26" t="s">
        <v>62</v>
      </c>
      <c r="S26">
        <f t="shared" si="1"/>
        <v>0</v>
      </c>
    </row>
    <row r="27" spans="1:23" x14ac:dyDescent="0.35">
      <c r="A27" t="s">
        <v>63</v>
      </c>
      <c r="F27">
        <v>2</v>
      </c>
      <c r="G27">
        <f t="shared" si="2"/>
        <v>2</v>
      </c>
      <c r="M27" t="s">
        <v>63</v>
      </c>
      <c r="S27">
        <f t="shared" si="1"/>
        <v>0</v>
      </c>
    </row>
    <row r="28" spans="1:23" x14ac:dyDescent="0.35">
      <c r="A28" t="s">
        <v>64</v>
      </c>
      <c r="F28">
        <v>3</v>
      </c>
      <c r="G28">
        <f t="shared" si="2"/>
        <v>3</v>
      </c>
      <c r="M28" t="s">
        <v>64</v>
      </c>
      <c r="S28">
        <f t="shared" si="1"/>
        <v>0</v>
      </c>
    </row>
    <row r="29" spans="1:23" x14ac:dyDescent="0.35">
      <c r="A29" t="s">
        <v>65</v>
      </c>
      <c r="F29">
        <v>3</v>
      </c>
      <c r="G29">
        <f t="shared" si="2"/>
        <v>3</v>
      </c>
      <c r="M29" t="s">
        <v>65</v>
      </c>
      <c r="S29">
        <f t="shared" si="1"/>
        <v>0</v>
      </c>
    </row>
    <row r="31" spans="1:23" x14ac:dyDescent="0.35">
      <c r="B31" s="22">
        <f>SUM(B33:B52)</f>
        <v>0</v>
      </c>
      <c r="C31" s="22">
        <f>SUM(C33:C52)</f>
        <v>190</v>
      </c>
      <c r="D31" s="22">
        <f>SUM(D33:D52)</f>
        <v>190</v>
      </c>
      <c r="E31" s="22">
        <f>SUM(E33:E52)</f>
        <v>142</v>
      </c>
      <c r="F31" s="22" t="s">
        <v>482</v>
      </c>
      <c r="G31" s="22">
        <v>64</v>
      </c>
      <c r="I31">
        <f>482+768+120+60</f>
        <v>1430</v>
      </c>
      <c r="K31" s="8" t="s">
        <v>235</v>
      </c>
    </row>
    <row r="32" spans="1:23" x14ac:dyDescent="0.35">
      <c r="B32" t="s">
        <v>483</v>
      </c>
      <c r="C32" t="s">
        <v>66</v>
      </c>
      <c r="D32" t="s">
        <v>0</v>
      </c>
      <c r="E32" t="s">
        <v>67</v>
      </c>
      <c r="F32" t="s">
        <v>69</v>
      </c>
      <c r="G32" s="1" t="s">
        <v>127</v>
      </c>
      <c r="I32">
        <v>1412</v>
      </c>
    </row>
    <row r="33" spans="1:31" x14ac:dyDescent="0.35">
      <c r="A33">
        <v>1</v>
      </c>
      <c r="F33">
        <v>64</v>
      </c>
      <c r="G33">
        <f t="shared" ref="G33:G48" si="3">SUM(B33:F33)</f>
        <v>64</v>
      </c>
      <c r="I33" t="s">
        <v>484</v>
      </c>
      <c r="K33" s="3" t="s">
        <v>142</v>
      </c>
    </row>
    <row r="34" spans="1:31" x14ac:dyDescent="0.35">
      <c r="A34">
        <v>2</v>
      </c>
      <c r="F34">
        <v>64</v>
      </c>
      <c r="G34">
        <f t="shared" si="3"/>
        <v>64</v>
      </c>
      <c r="I34">
        <f>1274</f>
        <v>1274</v>
      </c>
      <c r="K34" s="3" t="s">
        <v>142</v>
      </c>
      <c r="U34" t="s">
        <v>530</v>
      </c>
    </row>
    <row r="35" spans="1:31" x14ac:dyDescent="0.35">
      <c r="A35">
        <v>3</v>
      </c>
      <c r="F35">
        <v>64</v>
      </c>
      <c r="G35">
        <f t="shared" si="3"/>
        <v>64</v>
      </c>
      <c r="K35" s="3" t="s">
        <v>142</v>
      </c>
      <c r="M35">
        <f>150+190+142+768+120+60</f>
        <v>1430</v>
      </c>
      <c r="N35" t="s">
        <v>504</v>
      </c>
      <c r="U35" t="s">
        <v>531</v>
      </c>
    </row>
    <row r="36" spans="1:31" x14ac:dyDescent="0.35">
      <c r="A36">
        <v>4</v>
      </c>
      <c r="C36">
        <v>16</v>
      </c>
      <c r="D36">
        <v>16</v>
      </c>
      <c r="E36">
        <v>16</v>
      </c>
      <c r="F36">
        <v>48</v>
      </c>
      <c r="G36">
        <f t="shared" si="3"/>
        <v>96</v>
      </c>
      <c r="I36" s="8" t="s">
        <v>136</v>
      </c>
      <c r="J36" s="9" t="s">
        <v>222</v>
      </c>
      <c r="K36" s="19" t="s">
        <v>39</v>
      </c>
      <c r="M36">
        <v>1550</v>
      </c>
      <c r="N36" t="s">
        <v>503</v>
      </c>
      <c r="P36" t="s">
        <v>498</v>
      </c>
      <c r="U36" t="s">
        <v>532</v>
      </c>
    </row>
    <row r="37" spans="1:31" x14ac:dyDescent="0.35">
      <c r="A37">
        <v>5</v>
      </c>
      <c r="C37">
        <v>16</v>
      </c>
      <c r="D37">
        <v>16</v>
      </c>
      <c r="E37">
        <v>16</v>
      </c>
      <c r="F37">
        <v>48</v>
      </c>
      <c r="G37">
        <f t="shared" si="3"/>
        <v>96</v>
      </c>
      <c r="I37" s="8" t="s">
        <v>137</v>
      </c>
      <c r="J37" s="9" t="s">
        <v>225</v>
      </c>
      <c r="K37" s="19" t="s">
        <v>41</v>
      </c>
      <c r="P37" t="s">
        <v>499</v>
      </c>
      <c r="U37" t="s">
        <v>533</v>
      </c>
    </row>
    <row r="38" spans="1:31" x14ac:dyDescent="0.35">
      <c r="A38">
        <v>6</v>
      </c>
      <c r="C38">
        <v>16</v>
      </c>
      <c r="D38">
        <v>16</v>
      </c>
      <c r="E38">
        <v>16</v>
      </c>
      <c r="F38">
        <v>64</v>
      </c>
      <c r="G38">
        <f t="shared" si="3"/>
        <v>112</v>
      </c>
      <c r="I38" s="8" t="s">
        <v>138</v>
      </c>
      <c r="J38" s="9" t="s">
        <v>223</v>
      </c>
      <c r="K38" s="3" t="s">
        <v>142</v>
      </c>
      <c r="M38">
        <f>190+190+142+768+120+64</f>
        <v>1474</v>
      </c>
      <c r="P38" t="s">
        <v>500</v>
      </c>
      <c r="Q38" t="s">
        <v>501</v>
      </c>
    </row>
    <row r="39" spans="1:31" x14ac:dyDescent="0.35">
      <c r="A39">
        <v>7</v>
      </c>
      <c r="C39">
        <v>16</v>
      </c>
      <c r="D39">
        <v>16</v>
      </c>
      <c r="E39">
        <v>16</v>
      </c>
      <c r="F39">
        <v>64</v>
      </c>
      <c r="G39">
        <f t="shared" si="3"/>
        <v>112</v>
      </c>
      <c r="I39" s="8" t="s">
        <v>139</v>
      </c>
      <c r="J39" s="9" t="s">
        <v>226</v>
      </c>
      <c r="K39" s="17" t="s">
        <v>143</v>
      </c>
      <c r="M39" t="s">
        <v>548</v>
      </c>
      <c r="Q39" t="s">
        <v>502</v>
      </c>
    </row>
    <row r="40" spans="1:31" x14ac:dyDescent="0.35">
      <c r="A40">
        <v>8</v>
      </c>
      <c r="C40">
        <v>32</v>
      </c>
      <c r="D40">
        <v>32</v>
      </c>
      <c r="G40">
        <f t="shared" si="3"/>
        <v>64</v>
      </c>
      <c r="I40" s="8" t="s">
        <v>140</v>
      </c>
      <c r="J40" s="8" t="s">
        <v>141</v>
      </c>
      <c r="M40" t="s">
        <v>549</v>
      </c>
      <c r="Q40" t="s">
        <v>505</v>
      </c>
    </row>
    <row r="41" spans="1:31" x14ac:dyDescent="0.35">
      <c r="A41">
        <v>9</v>
      </c>
      <c r="C41">
        <v>16</v>
      </c>
      <c r="D41">
        <v>16</v>
      </c>
      <c r="E41">
        <v>16</v>
      </c>
      <c r="F41">
        <v>48</v>
      </c>
      <c r="G41">
        <f t="shared" si="3"/>
        <v>96</v>
      </c>
      <c r="I41" s="8" t="s">
        <v>477</v>
      </c>
      <c r="J41" s="9" t="s">
        <v>224</v>
      </c>
      <c r="K41" s="19" t="s">
        <v>42</v>
      </c>
      <c r="Q41" t="s">
        <v>506</v>
      </c>
    </row>
    <row r="42" spans="1:31" x14ac:dyDescent="0.35">
      <c r="A42">
        <v>10</v>
      </c>
      <c r="C42">
        <v>16</v>
      </c>
      <c r="D42">
        <v>16</v>
      </c>
      <c r="E42">
        <v>16</v>
      </c>
      <c r="F42">
        <v>48</v>
      </c>
      <c r="G42">
        <f t="shared" si="3"/>
        <v>96</v>
      </c>
      <c r="I42" s="8" t="s">
        <v>478</v>
      </c>
      <c r="J42" s="9" t="s">
        <v>481</v>
      </c>
      <c r="K42" s="19" t="s">
        <v>43</v>
      </c>
    </row>
    <row r="43" spans="1:31" x14ac:dyDescent="0.35">
      <c r="A43">
        <v>11</v>
      </c>
      <c r="C43">
        <v>16</v>
      </c>
      <c r="D43">
        <v>16</v>
      </c>
      <c r="E43">
        <v>8</v>
      </c>
      <c r="F43">
        <v>64</v>
      </c>
      <c r="G43">
        <f t="shared" si="3"/>
        <v>104</v>
      </c>
      <c r="I43" s="8" t="s">
        <v>479</v>
      </c>
      <c r="J43" s="9" t="s">
        <v>496</v>
      </c>
      <c r="K43" s="17" t="s">
        <v>143</v>
      </c>
      <c r="M43">
        <v>150</v>
      </c>
      <c r="N43" t="s">
        <v>523</v>
      </c>
    </row>
    <row r="44" spans="1:31" x14ac:dyDescent="0.35">
      <c r="A44">
        <v>12</v>
      </c>
      <c r="C44">
        <v>16</v>
      </c>
      <c r="D44">
        <v>16</v>
      </c>
      <c r="E44">
        <v>8</v>
      </c>
      <c r="F44">
        <v>64</v>
      </c>
      <c r="G44">
        <f t="shared" si="3"/>
        <v>104</v>
      </c>
      <c r="I44" s="8" t="s">
        <v>480</v>
      </c>
      <c r="J44" s="9" t="s">
        <v>497</v>
      </c>
      <c r="K44" s="17" t="s">
        <v>143</v>
      </c>
      <c r="M44">
        <v>150</v>
      </c>
      <c r="N44" t="s">
        <v>523</v>
      </c>
      <c r="O44" t="s">
        <v>527</v>
      </c>
      <c r="P44" t="s">
        <v>498</v>
      </c>
      <c r="T44">
        <v>8</v>
      </c>
      <c r="U44" t="s">
        <v>534</v>
      </c>
      <c r="X44" t="s">
        <v>129</v>
      </c>
      <c r="Y44" t="s">
        <v>130</v>
      </c>
      <c r="Z44" t="s">
        <v>131</v>
      </c>
      <c r="AA44" t="s">
        <v>227</v>
      </c>
      <c r="AB44" t="s">
        <v>228</v>
      </c>
      <c r="AC44" t="s">
        <v>229</v>
      </c>
      <c r="AD44" t="s">
        <v>228</v>
      </c>
      <c r="AE44" t="s">
        <v>131</v>
      </c>
    </row>
    <row r="45" spans="1:31" x14ac:dyDescent="0.35">
      <c r="A45">
        <v>13</v>
      </c>
      <c r="C45">
        <v>8</v>
      </c>
      <c r="D45">
        <v>8</v>
      </c>
      <c r="E45">
        <v>8</v>
      </c>
      <c r="F45">
        <v>64</v>
      </c>
      <c r="G45">
        <f t="shared" si="3"/>
        <v>88</v>
      </c>
      <c r="I45" s="8" t="s">
        <v>133</v>
      </c>
      <c r="J45" s="9" t="s">
        <v>78</v>
      </c>
      <c r="K45" s="17" t="s">
        <v>143</v>
      </c>
      <c r="M45">
        <v>1470</v>
      </c>
      <c r="P45" t="s">
        <v>499</v>
      </c>
      <c r="T45">
        <v>8</v>
      </c>
      <c r="U45" t="s">
        <v>535</v>
      </c>
      <c r="X45" t="s">
        <v>129</v>
      </c>
      <c r="Y45" t="s">
        <v>130</v>
      </c>
      <c r="Z45" t="s">
        <v>131</v>
      </c>
      <c r="AA45" t="s">
        <v>227</v>
      </c>
      <c r="AB45" t="s">
        <v>228</v>
      </c>
      <c r="AC45" t="s">
        <v>229</v>
      </c>
      <c r="AD45" t="s">
        <v>130</v>
      </c>
      <c r="AE45" t="s">
        <v>229</v>
      </c>
    </row>
    <row r="46" spans="1:31" x14ac:dyDescent="0.35">
      <c r="A46">
        <v>14</v>
      </c>
      <c r="C46">
        <v>8</v>
      </c>
      <c r="D46">
        <v>8</v>
      </c>
      <c r="E46">
        <v>8</v>
      </c>
      <c r="F46">
        <v>64</v>
      </c>
      <c r="G46">
        <f t="shared" si="3"/>
        <v>88</v>
      </c>
      <c r="I46" s="8" t="s">
        <v>133</v>
      </c>
      <c r="J46" s="9" t="s">
        <v>78</v>
      </c>
      <c r="K46" t="s">
        <v>45</v>
      </c>
      <c r="P46" t="s">
        <v>525</v>
      </c>
      <c r="Q46" t="s">
        <v>528</v>
      </c>
      <c r="T46">
        <v>8</v>
      </c>
      <c r="U46" t="s">
        <v>536</v>
      </c>
      <c r="X46" t="s">
        <v>129</v>
      </c>
      <c r="Y46" t="s">
        <v>130</v>
      </c>
      <c r="Z46" t="s">
        <v>131</v>
      </c>
      <c r="AA46" t="s">
        <v>227</v>
      </c>
      <c r="AB46" t="s">
        <v>228</v>
      </c>
      <c r="AC46" t="s">
        <v>229</v>
      </c>
      <c r="AD46" t="s">
        <v>129</v>
      </c>
      <c r="AE46" t="s">
        <v>227</v>
      </c>
    </row>
    <row r="47" spans="1:31" x14ac:dyDescent="0.35">
      <c r="A47">
        <v>15</v>
      </c>
      <c r="C47">
        <v>4</v>
      </c>
      <c r="D47">
        <v>4</v>
      </c>
      <c r="E47">
        <v>4</v>
      </c>
      <c r="F47">
        <v>32</v>
      </c>
      <c r="G47">
        <f t="shared" si="3"/>
        <v>44</v>
      </c>
      <c r="I47" s="8" t="s">
        <v>132</v>
      </c>
      <c r="J47" s="9" t="s">
        <v>79</v>
      </c>
      <c r="K47" s="10" t="s">
        <v>73</v>
      </c>
      <c r="O47" t="s">
        <v>526</v>
      </c>
      <c r="Q47" t="s">
        <v>498</v>
      </c>
      <c r="T47">
        <v>6</v>
      </c>
      <c r="U47" t="s">
        <v>668</v>
      </c>
      <c r="X47" t="s">
        <v>129</v>
      </c>
      <c r="Y47" t="s">
        <v>130</v>
      </c>
      <c r="Z47" t="s">
        <v>131</v>
      </c>
      <c r="AA47" t="s">
        <v>227</v>
      </c>
      <c r="AB47" t="s">
        <v>228</v>
      </c>
      <c r="AC47" t="s">
        <v>229</v>
      </c>
    </row>
    <row r="48" spans="1:31" x14ac:dyDescent="0.35">
      <c r="A48">
        <v>16</v>
      </c>
      <c r="C48">
        <v>4</v>
      </c>
      <c r="D48">
        <v>4</v>
      </c>
      <c r="E48">
        <v>4</v>
      </c>
      <c r="F48">
        <v>32</v>
      </c>
      <c r="G48">
        <f t="shared" si="3"/>
        <v>44</v>
      </c>
      <c r="I48" s="8" t="s">
        <v>132</v>
      </c>
      <c r="J48" s="9" t="s">
        <v>79</v>
      </c>
      <c r="K48" s="10" t="s">
        <v>74</v>
      </c>
      <c r="Q48" t="s">
        <v>499</v>
      </c>
    </row>
    <row r="49" spans="1:27" x14ac:dyDescent="0.35">
      <c r="A49">
        <v>17</v>
      </c>
      <c r="C49">
        <v>2</v>
      </c>
      <c r="D49">
        <v>2</v>
      </c>
      <c r="E49">
        <v>2</v>
      </c>
      <c r="F49">
        <v>32</v>
      </c>
      <c r="G49">
        <f>SUM(B49:F49)</f>
        <v>38</v>
      </c>
      <c r="I49" s="8" t="s">
        <v>134</v>
      </c>
      <c r="J49" s="9" t="s">
        <v>80</v>
      </c>
      <c r="K49" s="10" t="s">
        <v>76</v>
      </c>
      <c r="Q49" t="s">
        <v>524</v>
      </c>
      <c r="T49" s="11" t="s">
        <v>529</v>
      </c>
      <c r="U49" t="s">
        <v>537</v>
      </c>
      <c r="AA49" t="s">
        <v>534</v>
      </c>
    </row>
    <row r="50" spans="1:27" x14ac:dyDescent="0.35">
      <c r="A50">
        <v>18</v>
      </c>
      <c r="C50">
        <v>2</v>
      </c>
      <c r="D50">
        <v>2</v>
      </c>
      <c r="E50">
        <v>2</v>
      </c>
      <c r="F50">
        <v>16</v>
      </c>
      <c r="G50">
        <f>SUM(B50:F50)</f>
        <v>22</v>
      </c>
      <c r="I50" s="8" t="s">
        <v>134</v>
      </c>
      <c r="J50" s="9" t="s">
        <v>80</v>
      </c>
      <c r="K50" s="10" t="s">
        <v>75</v>
      </c>
      <c r="T50">
        <v>8</v>
      </c>
      <c r="U50" t="s">
        <v>675</v>
      </c>
      <c r="AA50" t="s">
        <v>535</v>
      </c>
    </row>
    <row r="51" spans="1:27" x14ac:dyDescent="0.35">
      <c r="A51">
        <v>19</v>
      </c>
      <c r="C51">
        <v>1</v>
      </c>
      <c r="D51">
        <v>1</v>
      </c>
      <c r="E51">
        <v>1</v>
      </c>
      <c r="F51">
        <v>8</v>
      </c>
      <c r="G51">
        <f>SUM(B51:F51)</f>
        <v>11</v>
      </c>
      <c r="I51" s="8" t="s">
        <v>135</v>
      </c>
      <c r="J51" s="9" t="s">
        <v>37</v>
      </c>
      <c r="K51" s="10" t="s">
        <v>77</v>
      </c>
      <c r="T51">
        <v>8</v>
      </c>
      <c r="U51" t="s">
        <v>674</v>
      </c>
      <c r="Z51" t="s">
        <v>0</v>
      </c>
      <c r="AA51" t="s">
        <v>536</v>
      </c>
    </row>
    <row r="52" spans="1:27" x14ac:dyDescent="0.35">
      <c r="A52">
        <v>20</v>
      </c>
      <c r="C52">
        <v>1</v>
      </c>
      <c r="D52">
        <v>1</v>
      </c>
      <c r="E52">
        <v>1</v>
      </c>
      <c r="G52">
        <f>SUM(B52:F52)</f>
        <v>3</v>
      </c>
      <c r="I52" s="8" t="s">
        <v>135</v>
      </c>
      <c r="J52" s="9" t="s">
        <v>37</v>
      </c>
      <c r="T52" s="11" t="s">
        <v>538</v>
      </c>
      <c r="U52" t="s">
        <v>669</v>
      </c>
      <c r="Z52" t="s">
        <v>341</v>
      </c>
    </row>
    <row r="53" spans="1:27" x14ac:dyDescent="0.35">
      <c r="F53">
        <v>6</v>
      </c>
      <c r="G53">
        <f t="shared" ref="G53:G59" si="4">SUM(B53:F53)</f>
        <v>6</v>
      </c>
      <c r="Z53" t="s">
        <v>66</v>
      </c>
      <c r="AA53" t="s">
        <v>3457</v>
      </c>
    </row>
    <row r="54" spans="1:27" x14ac:dyDescent="0.35">
      <c r="F54">
        <v>16</v>
      </c>
      <c r="G54">
        <f t="shared" si="4"/>
        <v>16</v>
      </c>
      <c r="M54" s="26"/>
      <c r="N54" s="26" t="s">
        <v>517</v>
      </c>
      <c r="O54" s="26" t="s">
        <v>518</v>
      </c>
      <c r="P54" s="26" t="s">
        <v>519</v>
      </c>
      <c r="Q54" s="26" t="s">
        <v>520</v>
      </c>
      <c r="R54" s="26" t="s">
        <v>521</v>
      </c>
      <c r="S54" s="29" t="s">
        <v>522</v>
      </c>
      <c r="AA54" t="s">
        <v>3457</v>
      </c>
    </row>
    <row r="55" spans="1:27" x14ac:dyDescent="0.35">
      <c r="F55">
        <v>16</v>
      </c>
      <c r="G55">
        <f t="shared" si="4"/>
        <v>16</v>
      </c>
      <c r="K55" t="s">
        <v>485</v>
      </c>
      <c r="L55" t="s">
        <v>507</v>
      </c>
      <c r="M55" s="26">
        <v>1</v>
      </c>
      <c r="N55" s="28"/>
      <c r="O55" s="27" t="s">
        <v>129</v>
      </c>
      <c r="P55" s="27" t="s">
        <v>495</v>
      </c>
      <c r="Q55" s="27" t="s">
        <v>131</v>
      </c>
      <c r="R55" s="27" t="s">
        <v>230</v>
      </c>
      <c r="S55" s="30" t="s">
        <v>228</v>
      </c>
      <c r="AA55" t="s">
        <v>675</v>
      </c>
    </row>
    <row r="56" spans="1:27" x14ac:dyDescent="0.35">
      <c r="F56">
        <v>8</v>
      </c>
      <c r="G56">
        <f t="shared" si="4"/>
        <v>8</v>
      </c>
      <c r="K56" t="s">
        <v>491</v>
      </c>
      <c r="L56" t="s">
        <v>511</v>
      </c>
      <c r="M56" s="26">
        <v>2</v>
      </c>
      <c r="N56" s="27" t="s">
        <v>229</v>
      </c>
      <c r="O56" s="28"/>
      <c r="P56" s="27" t="s">
        <v>230</v>
      </c>
      <c r="Q56" s="27" t="s">
        <v>228</v>
      </c>
      <c r="R56" s="27" t="s">
        <v>131</v>
      </c>
      <c r="S56" s="30" t="s">
        <v>495</v>
      </c>
      <c r="AA56" t="s">
        <v>674</v>
      </c>
    </row>
    <row r="57" spans="1:27" x14ac:dyDescent="0.35">
      <c r="F57">
        <v>2</v>
      </c>
      <c r="G57">
        <f t="shared" si="4"/>
        <v>2</v>
      </c>
      <c r="K57" t="s">
        <v>487</v>
      </c>
      <c r="L57" t="s">
        <v>509</v>
      </c>
      <c r="M57" s="26">
        <v>3</v>
      </c>
      <c r="N57" s="27" t="s">
        <v>227</v>
      </c>
      <c r="O57" s="27" t="s">
        <v>130</v>
      </c>
      <c r="P57" s="28"/>
      <c r="Q57" s="27" t="s">
        <v>129</v>
      </c>
      <c r="R57" s="27" t="s">
        <v>228</v>
      </c>
      <c r="S57" s="30" t="s">
        <v>131</v>
      </c>
    </row>
    <row r="58" spans="1:27" x14ac:dyDescent="0.35">
      <c r="F58">
        <v>3</v>
      </c>
      <c r="G58">
        <f t="shared" si="4"/>
        <v>3</v>
      </c>
      <c r="K58" t="s">
        <v>493</v>
      </c>
      <c r="L58" t="s">
        <v>513</v>
      </c>
      <c r="M58" s="26">
        <v>4</v>
      </c>
      <c r="N58" s="27" t="s">
        <v>231</v>
      </c>
      <c r="O58" s="27" t="s">
        <v>246</v>
      </c>
      <c r="P58" s="27" t="s">
        <v>229</v>
      </c>
      <c r="Q58" s="28"/>
      <c r="R58" s="27" t="s">
        <v>495</v>
      </c>
      <c r="S58" s="30" t="s">
        <v>230</v>
      </c>
    </row>
    <row r="59" spans="1:27" x14ac:dyDescent="0.35">
      <c r="F59">
        <v>3</v>
      </c>
      <c r="G59">
        <f t="shared" si="4"/>
        <v>3</v>
      </c>
      <c r="K59" t="s">
        <v>489</v>
      </c>
      <c r="L59" t="s">
        <v>512</v>
      </c>
      <c r="M59" s="26">
        <v>5</v>
      </c>
      <c r="N59" s="27" t="s">
        <v>130</v>
      </c>
      <c r="O59" s="27" t="s">
        <v>231</v>
      </c>
      <c r="P59" s="27" t="s">
        <v>246</v>
      </c>
      <c r="Q59" s="27" t="s">
        <v>227</v>
      </c>
      <c r="R59" s="28"/>
      <c r="S59" s="30" t="s">
        <v>129</v>
      </c>
    </row>
    <row r="60" spans="1:27" x14ac:dyDescent="0.35">
      <c r="K60" t="s">
        <v>490</v>
      </c>
      <c r="L60" t="s">
        <v>514</v>
      </c>
      <c r="M60" s="29">
        <v>6</v>
      </c>
      <c r="N60" s="30" t="s">
        <v>246</v>
      </c>
      <c r="O60" s="30" t="s">
        <v>227</v>
      </c>
      <c r="P60" s="30" t="s">
        <v>231</v>
      </c>
      <c r="Q60" s="30" t="s">
        <v>130</v>
      </c>
      <c r="R60" s="30" t="s">
        <v>229</v>
      </c>
      <c r="S60" s="31"/>
    </row>
    <row r="61" spans="1:27" x14ac:dyDescent="0.35">
      <c r="K61" t="s">
        <v>486</v>
      </c>
      <c r="L61" t="s">
        <v>508</v>
      </c>
    </row>
    <row r="62" spans="1:27" x14ac:dyDescent="0.35">
      <c r="K62" t="s">
        <v>492</v>
      </c>
      <c r="L62" t="s">
        <v>515</v>
      </c>
    </row>
    <row r="63" spans="1:27" x14ac:dyDescent="0.35">
      <c r="K63" t="s">
        <v>488</v>
      </c>
      <c r="L63" t="s">
        <v>510</v>
      </c>
    </row>
    <row r="64" spans="1:27" x14ac:dyDescent="0.35">
      <c r="K64" t="s">
        <v>494</v>
      </c>
      <c r="L64" t="s">
        <v>516</v>
      </c>
    </row>
    <row r="69" spans="4:13" x14ac:dyDescent="0.35">
      <c r="L69">
        <f>29*2</f>
        <v>58</v>
      </c>
      <c r="M69">
        <v>6</v>
      </c>
    </row>
    <row r="71" spans="4:13" x14ac:dyDescent="0.35">
      <c r="D71">
        <v>4</v>
      </c>
      <c r="E71">
        <v>4</v>
      </c>
      <c r="F71">
        <v>4</v>
      </c>
      <c r="H71">
        <v>2</v>
      </c>
      <c r="J71">
        <v>1</v>
      </c>
      <c r="L71">
        <v>1</v>
      </c>
      <c r="M71">
        <v>1</v>
      </c>
    </row>
    <row r="72" spans="4:13" x14ac:dyDescent="0.35">
      <c r="D72" t="s">
        <v>539</v>
      </c>
      <c r="E72" t="s">
        <v>540</v>
      </c>
      <c r="F72" t="s">
        <v>541</v>
      </c>
      <c r="H72" t="s">
        <v>542</v>
      </c>
      <c r="J72" t="s">
        <v>543</v>
      </c>
      <c r="L72" t="s">
        <v>543</v>
      </c>
    </row>
    <row r="74" spans="4:13" x14ac:dyDescent="0.35">
      <c r="F74">
        <v>4</v>
      </c>
      <c r="G74">
        <v>4</v>
      </c>
      <c r="H74">
        <v>2</v>
      </c>
      <c r="I74">
        <v>2</v>
      </c>
      <c r="J74">
        <v>1</v>
      </c>
      <c r="K74">
        <v>1</v>
      </c>
    </row>
    <row r="75" spans="4:13" x14ac:dyDescent="0.35">
      <c r="F75" t="s">
        <v>539</v>
      </c>
      <c r="G75" t="s">
        <v>540</v>
      </c>
      <c r="H75" t="s">
        <v>544</v>
      </c>
      <c r="I75" t="s">
        <v>545</v>
      </c>
      <c r="J75" t="s">
        <v>546</v>
      </c>
      <c r="K75" t="s">
        <v>547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F113"/>
  <sheetViews>
    <sheetView workbookViewId="0">
      <selection activeCell="J18" sqref="J18"/>
    </sheetView>
  </sheetViews>
  <sheetFormatPr defaultRowHeight="14.5" x14ac:dyDescent="0.35"/>
  <cols>
    <col min="3" max="3" width="17.08984375" customWidth="1"/>
    <col min="4" max="5" width="8.90625" style="46"/>
    <col min="6" max="6" width="8.90625" style="116"/>
  </cols>
  <sheetData>
    <row r="2" spans="3:6" x14ac:dyDescent="0.35">
      <c r="C2" s="56" t="s">
        <v>245</v>
      </c>
      <c r="D2" s="27">
        <v>13</v>
      </c>
      <c r="E2" s="27">
        <v>9</v>
      </c>
      <c r="F2" s="116">
        <f t="shared" ref="F2:F33" si="0">D2-E2</f>
        <v>4</v>
      </c>
    </row>
    <row r="3" spans="3:6" x14ac:dyDescent="0.35">
      <c r="C3" s="57" t="s">
        <v>466</v>
      </c>
      <c r="D3" s="27">
        <v>12</v>
      </c>
      <c r="E3" s="27">
        <v>8</v>
      </c>
      <c r="F3" s="116">
        <f t="shared" si="0"/>
        <v>4</v>
      </c>
    </row>
    <row r="4" spans="3:6" x14ac:dyDescent="0.35">
      <c r="C4" s="58" t="s">
        <v>465</v>
      </c>
      <c r="D4" s="27">
        <v>11</v>
      </c>
      <c r="E4" s="27">
        <v>7</v>
      </c>
      <c r="F4" s="116">
        <f t="shared" si="0"/>
        <v>4</v>
      </c>
    </row>
    <row r="5" spans="3:6" x14ac:dyDescent="0.35">
      <c r="C5" s="117" t="s">
        <v>468</v>
      </c>
      <c r="D5" s="27">
        <v>11</v>
      </c>
      <c r="E5" s="27">
        <v>7</v>
      </c>
      <c r="F5" s="116">
        <f t="shared" si="0"/>
        <v>4</v>
      </c>
    </row>
    <row r="6" spans="3:6" x14ac:dyDescent="0.35">
      <c r="C6" s="117" t="s">
        <v>651</v>
      </c>
      <c r="D6" s="27">
        <v>11</v>
      </c>
      <c r="E6" s="27">
        <v>7</v>
      </c>
      <c r="F6" s="116">
        <f t="shared" si="0"/>
        <v>4</v>
      </c>
    </row>
    <row r="7" spans="3:6" x14ac:dyDescent="0.35">
      <c r="C7" s="4" t="s">
        <v>704</v>
      </c>
      <c r="D7" s="27">
        <v>10</v>
      </c>
      <c r="E7" s="27">
        <v>6</v>
      </c>
      <c r="F7" s="116">
        <f t="shared" si="0"/>
        <v>4</v>
      </c>
    </row>
    <row r="8" spans="3:6" x14ac:dyDescent="0.35">
      <c r="C8" s="4" t="s">
        <v>758</v>
      </c>
      <c r="D8" s="27">
        <v>10</v>
      </c>
      <c r="E8" s="27">
        <v>6</v>
      </c>
      <c r="F8" s="116">
        <f t="shared" si="0"/>
        <v>4</v>
      </c>
    </row>
    <row r="9" spans="3:6" x14ac:dyDescent="0.35">
      <c r="C9" s="118" t="s">
        <v>328</v>
      </c>
      <c r="D9" s="27">
        <v>10</v>
      </c>
      <c r="E9" s="27">
        <v>6</v>
      </c>
      <c r="F9" s="116">
        <f t="shared" si="0"/>
        <v>4</v>
      </c>
    </row>
    <row r="10" spans="3:6" x14ac:dyDescent="0.35">
      <c r="C10" s="58" t="s">
        <v>677</v>
      </c>
      <c r="D10" s="27">
        <v>9</v>
      </c>
      <c r="E10" s="27">
        <v>5</v>
      </c>
      <c r="F10" s="116">
        <f t="shared" si="0"/>
        <v>4</v>
      </c>
    </row>
    <row r="11" spans="3:6" x14ac:dyDescent="0.35">
      <c r="C11" s="4" t="s">
        <v>761</v>
      </c>
      <c r="D11" s="27">
        <v>6</v>
      </c>
      <c r="E11" s="27">
        <v>2</v>
      </c>
      <c r="F11" s="116">
        <f t="shared" si="0"/>
        <v>4</v>
      </c>
    </row>
    <row r="12" spans="3:6" x14ac:dyDescent="0.35">
      <c r="C12" s="4" t="s">
        <v>242</v>
      </c>
      <c r="D12" s="27">
        <v>12</v>
      </c>
      <c r="E12" s="27">
        <v>9</v>
      </c>
      <c r="F12" s="116">
        <f t="shared" si="0"/>
        <v>3</v>
      </c>
    </row>
    <row r="13" spans="3:6" x14ac:dyDescent="0.35">
      <c r="C13" s="118" t="s">
        <v>352</v>
      </c>
      <c r="D13" s="27">
        <v>12</v>
      </c>
      <c r="E13" s="27">
        <v>9</v>
      </c>
      <c r="F13" s="116">
        <f t="shared" si="0"/>
        <v>3</v>
      </c>
    </row>
    <row r="14" spans="3:6" x14ac:dyDescent="0.35">
      <c r="C14" s="4" t="s">
        <v>640</v>
      </c>
      <c r="D14" s="27">
        <v>11</v>
      </c>
      <c r="E14" s="27">
        <v>8</v>
      </c>
      <c r="F14" s="116">
        <f t="shared" si="0"/>
        <v>3</v>
      </c>
    </row>
    <row r="15" spans="3:6" x14ac:dyDescent="0.35">
      <c r="C15" s="57" t="s">
        <v>642</v>
      </c>
      <c r="D15" s="27">
        <v>11</v>
      </c>
      <c r="E15" s="27">
        <v>8</v>
      </c>
      <c r="F15" s="116">
        <f t="shared" si="0"/>
        <v>3</v>
      </c>
    </row>
    <row r="16" spans="3:6" x14ac:dyDescent="0.35">
      <c r="C16" s="33" t="s">
        <v>643</v>
      </c>
      <c r="D16" s="27">
        <v>11</v>
      </c>
      <c r="E16" s="27">
        <v>8</v>
      </c>
      <c r="F16" s="116">
        <f t="shared" si="0"/>
        <v>3</v>
      </c>
    </row>
    <row r="17" spans="3:6" x14ac:dyDescent="0.35">
      <c r="C17" s="121" t="s">
        <v>467</v>
      </c>
      <c r="D17" s="119">
        <v>10</v>
      </c>
      <c r="E17" s="119">
        <v>7</v>
      </c>
      <c r="F17" s="120">
        <f t="shared" si="0"/>
        <v>3</v>
      </c>
    </row>
    <row r="18" spans="3:6" x14ac:dyDescent="0.35">
      <c r="C18" s="4" t="s">
        <v>646</v>
      </c>
      <c r="D18" s="27">
        <v>10</v>
      </c>
      <c r="E18" s="27">
        <v>7</v>
      </c>
      <c r="F18" s="116">
        <f t="shared" si="0"/>
        <v>3</v>
      </c>
    </row>
    <row r="19" spans="3:6" x14ac:dyDescent="0.35">
      <c r="C19" s="58" t="s">
        <v>641</v>
      </c>
      <c r="D19" s="27">
        <v>10</v>
      </c>
      <c r="E19" s="27">
        <v>7</v>
      </c>
      <c r="F19" s="116">
        <f t="shared" si="0"/>
        <v>3</v>
      </c>
    </row>
    <row r="20" spans="3:6" x14ac:dyDescent="0.35">
      <c r="C20" s="58" t="s">
        <v>647</v>
      </c>
      <c r="D20" s="27">
        <v>10</v>
      </c>
      <c r="E20" s="27">
        <v>7</v>
      </c>
      <c r="F20" s="116">
        <f t="shared" si="0"/>
        <v>3</v>
      </c>
    </row>
    <row r="21" spans="3:6" x14ac:dyDescent="0.35">
      <c r="C21" s="57" t="s">
        <v>648</v>
      </c>
      <c r="D21" s="27">
        <v>10</v>
      </c>
      <c r="E21" s="27">
        <v>7</v>
      </c>
      <c r="F21" s="116">
        <f t="shared" si="0"/>
        <v>3</v>
      </c>
    </row>
    <row r="22" spans="3:6" x14ac:dyDescent="0.35">
      <c r="C22" s="117" t="s">
        <v>645</v>
      </c>
      <c r="D22" s="27">
        <v>10</v>
      </c>
      <c r="E22" s="27">
        <v>7</v>
      </c>
      <c r="F22" s="116">
        <f t="shared" si="0"/>
        <v>3</v>
      </c>
    </row>
    <row r="23" spans="3:6" x14ac:dyDescent="0.35">
      <c r="C23" s="118" t="s">
        <v>652</v>
      </c>
      <c r="D23" s="27">
        <v>10</v>
      </c>
      <c r="E23" s="27">
        <v>7</v>
      </c>
      <c r="F23" s="116">
        <f t="shared" si="0"/>
        <v>3</v>
      </c>
    </row>
    <row r="24" spans="3:6" x14ac:dyDescent="0.35">
      <c r="C24" s="58" t="s">
        <v>747</v>
      </c>
      <c r="D24" s="27">
        <v>9</v>
      </c>
      <c r="E24" s="27">
        <v>6</v>
      </c>
      <c r="F24" s="116">
        <f t="shared" si="0"/>
        <v>3</v>
      </c>
    </row>
    <row r="25" spans="3:6" x14ac:dyDescent="0.35">
      <c r="C25" s="58" t="s">
        <v>672</v>
      </c>
      <c r="D25" s="27">
        <v>9</v>
      </c>
      <c r="E25" s="27">
        <v>6</v>
      </c>
      <c r="F25" s="116">
        <f t="shared" si="0"/>
        <v>3</v>
      </c>
    </row>
    <row r="26" spans="3:6" x14ac:dyDescent="0.35">
      <c r="C26" s="57" t="s">
        <v>753</v>
      </c>
      <c r="D26" s="27">
        <v>9</v>
      </c>
      <c r="E26" s="27">
        <v>6</v>
      </c>
      <c r="F26" s="116">
        <f t="shared" si="0"/>
        <v>3</v>
      </c>
    </row>
    <row r="27" spans="3:6" x14ac:dyDescent="0.35">
      <c r="C27" s="33" t="s">
        <v>693</v>
      </c>
      <c r="D27" s="27">
        <v>9</v>
      </c>
      <c r="E27" s="27">
        <v>6</v>
      </c>
      <c r="F27" s="116">
        <f t="shared" si="0"/>
        <v>3</v>
      </c>
    </row>
    <row r="28" spans="3:6" x14ac:dyDescent="0.35">
      <c r="C28" s="56" t="s">
        <v>665</v>
      </c>
      <c r="D28" s="27">
        <v>9</v>
      </c>
      <c r="E28" s="27">
        <v>6</v>
      </c>
      <c r="F28" s="116">
        <f t="shared" si="0"/>
        <v>3</v>
      </c>
    </row>
    <row r="29" spans="3:6" x14ac:dyDescent="0.35">
      <c r="C29" s="118" t="s">
        <v>630</v>
      </c>
      <c r="D29" s="27">
        <v>9</v>
      </c>
      <c r="E29" s="27">
        <v>6</v>
      </c>
      <c r="F29" s="116">
        <f t="shared" si="0"/>
        <v>3</v>
      </c>
    </row>
    <row r="30" spans="3:6" x14ac:dyDescent="0.35">
      <c r="C30" s="57" t="s">
        <v>678</v>
      </c>
      <c r="D30" s="27">
        <v>8</v>
      </c>
      <c r="E30" s="27">
        <v>5</v>
      </c>
      <c r="F30" s="116">
        <f t="shared" si="0"/>
        <v>3</v>
      </c>
    </row>
    <row r="31" spans="3:6" x14ac:dyDescent="0.35">
      <c r="C31" s="33" t="s">
        <v>718</v>
      </c>
      <c r="D31" s="27">
        <v>8</v>
      </c>
      <c r="E31" s="27">
        <v>5</v>
      </c>
      <c r="F31" s="116">
        <f t="shared" si="0"/>
        <v>3</v>
      </c>
    </row>
    <row r="32" spans="3:6" x14ac:dyDescent="0.35">
      <c r="C32" s="56" t="s">
        <v>778</v>
      </c>
      <c r="D32" s="27">
        <v>8</v>
      </c>
      <c r="E32" s="27">
        <v>5</v>
      </c>
      <c r="F32" s="116">
        <f t="shared" si="0"/>
        <v>3</v>
      </c>
    </row>
    <row r="33" spans="3:6" x14ac:dyDescent="0.35">
      <c r="C33" s="4" t="s">
        <v>701</v>
      </c>
      <c r="D33" s="27">
        <v>7</v>
      </c>
      <c r="E33" s="27">
        <v>4</v>
      </c>
      <c r="F33" s="116">
        <f t="shared" si="0"/>
        <v>3</v>
      </c>
    </row>
    <row r="34" spans="3:6" x14ac:dyDescent="0.35">
      <c r="C34" s="33" t="s">
        <v>763</v>
      </c>
      <c r="D34" s="27">
        <v>7</v>
      </c>
      <c r="E34" s="27">
        <v>4</v>
      </c>
      <c r="F34" s="116">
        <f t="shared" ref="F34:F65" si="1">D34-E34</f>
        <v>3</v>
      </c>
    </row>
    <row r="35" spans="3:6" x14ac:dyDescent="0.35">
      <c r="C35" s="33" t="s">
        <v>780</v>
      </c>
      <c r="D35" s="27">
        <v>7</v>
      </c>
      <c r="E35" s="27">
        <v>4</v>
      </c>
      <c r="F35" s="116">
        <f t="shared" si="1"/>
        <v>3</v>
      </c>
    </row>
    <row r="36" spans="3:6" x14ac:dyDescent="0.35">
      <c r="C36" s="33" t="s">
        <v>679</v>
      </c>
      <c r="D36" s="27">
        <v>7</v>
      </c>
      <c r="E36" s="27">
        <v>4</v>
      </c>
      <c r="F36" s="116">
        <f t="shared" si="1"/>
        <v>3</v>
      </c>
    </row>
    <row r="37" spans="3:6" x14ac:dyDescent="0.35">
      <c r="C37" s="56" t="s">
        <v>751</v>
      </c>
      <c r="D37" s="27">
        <v>7</v>
      </c>
      <c r="E37" s="27">
        <v>4</v>
      </c>
      <c r="F37" s="116">
        <f t="shared" si="1"/>
        <v>3</v>
      </c>
    </row>
    <row r="38" spans="3:6" x14ac:dyDescent="0.35">
      <c r="C38" s="58" t="s">
        <v>783</v>
      </c>
      <c r="D38" s="27">
        <v>6</v>
      </c>
      <c r="E38" s="27">
        <v>3</v>
      </c>
      <c r="F38" s="116">
        <f t="shared" si="1"/>
        <v>3</v>
      </c>
    </row>
    <row r="39" spans="3:6" x14ac:dyDescent="0.35">
      <c r="C39" s="33" t="s">
        <v>772</v>
      </c>
      <c r="D39" s="27">
        <v>6</v>
      </c>
      <c r="E39" s="27">
        <v>3</v>
      </c>
      <c r="F39" s="116">
        <f t="shared" si="1"/>
        <v>3</v>
      </c>
    </row>
    <row r="40" spans="3:6" x14ac:dyDescent="0.35">
      <c r="C40" s="4" t="s">
        <v>738</v>
      </c>
      <c r="D40" s="27">
        <v>5</v>
      </c>
      <c r="E40" s="27">
        <v>2</v>
      </c>
      <c r="F40" s="116">
        <f t="shared" si="1"/>
        <v>3</v>
      </c>
    </row>
    <row r="41" spans="3:6" x14ac:dyDescent="0.35">
      <c r="C41" s="58" t="s">
        <v>779</v>
      </c>
      <c r="D41" s="27">
        <v>5</v>
      </c>
      <c r="E41" s="27">
        <v>2</v>
      </c>
      <c r="F41" s="116">
        <f t="shared" si="1"/>
        <v>3</v>
      </c>
    </row>
    <row r="42" spans="3:6" x14ac:dyDescent="0.35">
      <c r="C42" s="57" t="s">
        <v>709</v>
      </c>
      <c r="D42" s="27">
        <v>4</v>
      </c>
      <c r="E42" s="27">
        <v>1</v>
      </c>
      <c r="F42" s="116">
        <f t="shared" si="1"/>
        <v>3</v>
      </c>
    </row>
    <row r="43" spans="3:6" x14ac:dyDescent="0.35">
      <c r="C43" s="117" t="s">
        <v>1162</v>
      </c>
      <c r="D43" s="27">
        <v>4</v>
      </c>
      <c r="E43" s="27">
        <v>1</v>
      </c>
      <c r="F43" s="116">
        <f t="shared" si="1"/>
        <v>3</v>
      </c>
    </row>
    <row r="44" spans="3:6" x14ac:dyDescent="0.35">
      <c r="C44" s="56" t="s">
        <v>644</v>
      </c>
      <c r="D44" s="27">
        <v>10</v>
      </c>
      <c r="E44" s="27">
        <v>8</v>
      </c>
      <c r="F44" s="116">
        <f t="shared" si="1"/>
        <v>2</v>
      </c>
    </row>
    <row r="45" spans="3:6" x14ac:dyDescent="0.35">
      <c r="C45" s="118" t="s">
        <v>334</v>
      </c>
      <c r="D45" s="27">
        <v>10</v>
      </c>
      <c r="E45" s="27">
        <v>8</v>
      </c>
      <c r="F45" s="116">
        <f t="shared" si="1"/>
        <v>2</v>
      </c>
    </row>
    <row r="46" spans="3:6" x14ac:dyDescent="0.35">
      <c r="C46" s="58" t="s">
        <v>661</v>
      </c>
      <c r="D46" s="27">
        <v>9</v>
      </c>
      <c r="E46" s="27">
        <v>7</v>
      </c>
      <c r="F46" s="116">
        <f t="shared" si="1"/>
        <v>2</v>
      </c>
    </row>
    <row r="47" spans="3:6" x14ac:dyDescent="0.35">
      <c r="C47" s="117" t="s">
        <v>664</v>
      </c>
      <c r="D47" s="27">
        <v>9</v>
      </c>
      <c r="E47" s="27">
        <v>7</v>
      </c>
      <c r="F47" s="116">
        <f t="shared" si="1"/>
        <v>2</v>
      </c>
    </row>
    <row r="48" spans="3:6" x14ac:dyDescent="0.35">
      <c r="C48" s="118" t="s">
        <v>667</v>
      </c>
      <c r="D48" s="27">
        <v>9</v>
      </c>
      <c r="E48" s="27">
        <v>7</v>
      </c>
      <c r="F48" s="116">
        <f t="shared" si="1"/>
        <v>2</v>
      </c>
    </row>
    <row r="49" spans="3:6" x14ac:dyDescent="0.35">
      <c r="C49" s="118" t="s">
        <v>629</v>
      </c>
      <c r="D49" s="27">
        <v>9</v>
      </c>
      <c r="E49" s="27">
        <v>7</v>
      </c>
      <c r="F49" s="116">
        <f t="shared" si="1"/>
        <v>2</v>
      </c>
    </row>
    <row r="50" spans="3:6" x14ac:dyDescent="0.35">
      <c r="C50" s="57" t="s">
        <v>670</v>
      </c>
      <c r="D50" s="27">
        <v>8</v>
      </c>
      <c r="E50" s="27">
        <v>6</v>
      </c>
      <c r="F50" s="116">
        <f t="shared" si="1"/>
        <v>2</v>
      </c>
    </row>
    <row r="51" spans="3:6" x14ac:dyDescent="0.35">
      <c r="C51" s="33" t="s">
        <v>649</v>
      </c>
      <c r="D51" s="27">
        <v>8</v>
      </c>
      <c r="E51" s="27">
        <v>6</v>
      </c>
      <c r="F51" s="116">
        <f t="shared" si="1"/>
        <v>2</v>
      </c>
    </row>
    <row r="52" spans="3:6" x14ac:dyDescent="0.35">
      <c r="C52" s="4" t="s">
        <v>671</v>
      </c>
      <c r="D52" s="27">
        <v>7</v>
      </c>
      <c r="E52" s="27">
        <v>5</v>
      </c>
      <c r="F52" s="116">
        <f t="shared" si="1"/>
        <v>2</v>
      </c>
    </row>
    <row r="53" spans="3:6" x14ac:dyDescent="0.35">
      <c r="C53" s="58" t="s">
        <v>731</v>
      </c>
      <c r="D53" s="27">
        <v>7</v>
      </c>
      <c r="E53" s="27">
        <v>5</v>
      </c>
      <c r="F53" s="116">
        <f t="shared" si="1"/>
        <v>2</v>
      </c>
    </row>
    <row r="54" spans="3:6" x14ac:dyDescent="0.35">
      <c r="C54" s="57" t="s">
        <v>750</v>
      </c>
      <c r="D54" s="27">
        <v>7</v>
      </c>
      <c r="E54" s="27">
        <v>5</v>
      </c>
      <c r="F54" s="116">
        <f t="shared" si="1"/>
        <v>2</v>
      </c>
    </row>
    <row r="55" spans="3:6" x14ac:dyDescent="0.35">
      <c r="C55" s="56" t="s">
        <v>680</v>
      </c>
      <c r="D55" s="27">
        <v>7</v>
      </c>
      <c r="E55" s="27">
        <v>5</v>
      </c>
      <c r="F55" s="116">
        <f t="shared" si="1"/>
        <v>2</v>
      </c>
    </row>
    <row r="56" spans="3:6" x14ac:dyDescent="0.35">
      <c r="C56" s="117" t="s">
        <v>681</v>
      </c>
      <c r="D56" s="27">
        <v>7</v>
      </c>
      <c r="E56" s="27">
        <v>5</v>
      </c>
      <c r="F56" s="116">
        <f t="shared" si="1"/>
        <v>2</v>
      </c>
    </row>
    <row r="57" spans="3:6" x14ac:dyDescent="0.35">
      <c r="C57" s="58" t="s">
        <v>729</v>
      </c>
      <c r="D57" s="27">
        <v>6</v>
      </c>
      <c r="E57" s="27">
        <v>4</v>
      </c>
      <c r="F57" s="116">
        <f t="shared" si="1"/>
        <v>2</v>
      </c>
    </row>
    <row r="58" spans="3:6" x14ac:dyDescent="0.35">
      <c r="C58" s="58" t="s">
        <v>742</v>
      </c>
      <c r="D58" s="27">
        <v>6</v>
      </c>
      <c r="E58" s="27">
        <v>4</v>
      </c>
      <c r="F58" s="116">
        <f t="shared" si="1"/>
        <v>2</v>
      </c>
    </row>
    <row r="59" spans="3:6" x14ac:dyDescent="0.35">
      <c r="C59" s="33" t="s">
        <v>712</v>
      </c>
      <c r="D59" s="27">
        <v>6</v>
      </c>
      <c r="E59" s="27">
        <v>4</v>
      </c>
      <c r="F59" s="116">
        <f t="shared" si="1"/>
        <v>2</v>
      </c>
    </row>
    <row r="60" spans="3:6" x14ac:dyDescent="0.35">
      <c r="C60" s="33" t="s">
        <v>785</v>
      </c>
      <c r="D60" s="27">
        <v>6</v>
      </c>
      <c r="E60" s="27">
        <v>4</v>
      </c>
      <c r="F60" s="116">
        <f t="shared" si="1"/>
        <v>2</v>
      </c>
    </row>
    <row r="61" spans="3:6" x14ac:dyDescent="0.35">
      <c r="C61" s="56" t="s">
        <v>771</v>
      </c>
      <c r="D61" s="27">
        <v>6</v>
      </c>
      <c r="E61" s="27">
        <v>4</v>
      </c>
      <c r="F61" s="116">
        <f t="shared" si="1"/>
        <v>2</v>
      </c>
    </row>
    <row r="62" spans="3:6" x14ac:dyDescent="0.35">
      <c r="C62" s="56" t="s">
        <v>776</v>
      </c>
      <c r="D62" s="27">
        <v>6</v>
      </c>
      <c r="E62" s="27">
        <v>4</v>
      </c>
      <c r="F62" s="116">
        <f t="shared" si="1"/>
        <v>2</v>
      </c>
    </row>
    <row r="63" spans="3:6" x14ac:dyDescent="0.35">
      <c r="C63" s="4" t="s">
        <v>765</v>
      </c>
      <c r="D63" s="27">
        <v>5</v>
      </c>
      <c r="E63" s="27">
        <v>3</v>
      </c>
      <c r="F63" s="116">
        <f t="shared" si="1"/>
        <v>2</v>
      </c>
    </row>
    <row r="64" spans="3:6" x14ac:dyDescent="0.35">
      <c r="C64" s="57" t="s">
        <v>743</v>
      </c>
      <c r="D64" s="27">
        <v>5</v>
      </c>
      <c r="E64" s="27">
        <v>3</v>
      </c>
      <c r="F64" s="116">
        <f t="shared" si="1"/>
        <v>2</v>
      </c>
    </row>
    <row r="65" spans="3:6" x14ac:dyDescent="0.35">
      <c r="C65" s="57" t="s">
        <v>746</v>
      </c>
      <c r="D65" s="27">
        <v>5</v>
      </c>
      <c r="E65" s="27">
        <v>3</v>
      </c>
      <c r="F65" s="116">
        <f t="shared" si="1"/>
        <v>2</v>
      </c>
    </row>
    <row r="66" spans="3:6" x14ac:dyDescent="0.35">
      <c r="C66" s="33" t="s">
        <v>792</v>
      </c>
      <c r="D66" s="27">
        <v>5</v>
      </c>
      <c r="E66" s="27">
        <v>3</v>
      </c>
      <c r="F66" s="116">
        <f t="shared" ref="F66:F97" si="2">D66-E66</f>
        <v>2</v>
      </c>
    </row>
    <row r="67" spans="3:6" x14ac:dyDescent="0.35">
      <c r="C67" s="56" t="s">
        <v>756</v>
      </c>
      <c r="D67" s="27">
        <v>5</v>
      </c>
      <c r="E67" s="27">
        <v>3</v>
      </c>
      <c r="F67" s="116">
        <f t="shared" si="2"/>
        <v>2</v>
      </c>
    </row>
    <row r="68" spans="3:6" x14ac:dyDescent="0.35">
      <c r="C68" s="117" t="s">
        <v>1157</v>
      </c>
      <c r="D68" s="27">
        <v>5</v>
      </c>
      <c r="E68" s="27">
        <v>3</v>
      </c>
      <c r="F68" s="116">
        <f t="shared" si="2"/>
        <v>2</v>
      </c>
    </row>
    <row r="69" spans="3:6" x14ac:dyDescent="0.35">
      <c r="C69" s="58" t="s">
        <v>716</v>
      </c>
      <c r="D69" s="27">
        <v>4</v>
      </c>
      <c r="E69" s="27">
        <v>2</v>
      </c>
      <c r="F69" s="116">
        <f t="shared" si="2"/>
        <v>2</v>
      </c>
    </row>
    <row r="70" spans="3:6" x14ac:dyDescent="0.35">
      <c r="C70" s="56" t="s">
        <v>764</v>
      </c>
      <c r="D70" s="27">
        <v>4</v>
      </c>
      <c r="E70" s="27">
        <v>2</v>
      </c>
      <c r="F70" s="116">
        <f t="shared" si="2"/>
        <v>2</v>
      </c>
    </row>
    <row r="71" spans="3:6" x14ac:dyDescent="0.35">
      <c r="C71" s="118" t="s">
        <v>634</v>
      </c>
      <c r="D71" s="27">
        <v>4</v>
      </c>
      <c r="E71" s="27">
        <v>2</v>
      </c>
      <c r="F71" s="116">
        <f t="shared" si="2"/>
        <v>2</v>
      </c>
    </row>
    <row r="72" spans="3:6" x14ac:dyDescent="0.35">
      <c r="C72" s="118" t="s">
        <v>635</v>
      </c>
      <c r="D72" s="27">
        <v>4</v>
      </c>
      <c r="E72" s="27">
        <v>2</v>
      </c>
      <c r="F72" s="116">
        <f t="shared" si="2"/>
        <v>2</v>
      </c>
    </row>
    <row r="73" spans="3:6" x14ac:dyDescent="0.35">
      <c r="C73" s="4" t="s">
        <v>706</v>
      </c>
      <c r="D73" s="27">
        <v>3</v>
      </c>
      <c r="E73" s="27">
        <v>1</v>
      </c>
      <c r="F73" s="116">
        <f t="shared" si="2"/>
        <v>2</v>
      </c>
    </row>
    <row r="74" spans="3:6" x14ac:dyDescent="0.35">
      <c r="C74" s="33" t="s">
        <v>757</v>
      </c>
      <c r="D74" s="27">
        <v>3</v>
      </c>
      <c r="E74" s="27">
        <v>1</v>
      </c>
      <c r="F74" s="116">
        <f t="shared" si="2"/>
        <v>2</v>
      </c>
    </row>
    <row r="75" spans="3:6" x14ac:dyDescent="0.35">
      <c r="C75" s="57" t="s">
        <v>737</v>
      </c>
      <c r="D75" s="27">
        <v>2</v>
      </c>
      <c r="E75" s="27">
        <v>0</v>
      </c>
      <c r="F75" s="116">
        <f t="shared" si="2"/>
        <v>2</v>
      </c>
    </row>
    <row r="76" spans="3:6" x14ac:dyDescent="0.35">
      <c r="C76" s="4" t="s">
        <v>660</v>
      </c>
      <c r="D76" s="27">
        <v>8</v>
      </c>
      <c r="E76" s="27">
        <v>7</v>
      </c>
      <c r="F76" s="116">
        <f t="shared" si="2"/>
        <v>1</v>
      </c>
    </row>
    <row r="77" spans="3:6" x14ac:dyDescent="0.35">
      <c r="C77" s="57" t="s">
        <v>692</v>
      </c>
      <c r="D77" s="27">
        <v>8</v>
      </c>
      <c r="E77" s="27">
        <v>7</v>
      </c>
      <c r="F77" s="116">
        <f t="shared" si="2"/>
        <v>1</v>
      </c>
    </row>
    <row r="78" spans="3:6" x14ac:dyDescent="0.35">
      <c r="C78" s="56" t="s">
        <v>663</v>
      </c>
      <c r="D78" s="27">
        <v>8</v>
      </c>
      <c r="E78" s="27">
        <v>7</v>
      </c>
      <c r="F78" s="116">
        <f t="shared" si="2"/>
        <v>1</v>
      </c>
    </row>
    <row r="79" spans="3:6" x14ac:dyDescent="0.35">
      <c r="C79" s="56" t="s">
        <v>650</v>
      </c>
      <c r="D79" s="27">
        <v>8</v>
      </c>
      <c r="E79" s="27">
        <v>7</v>
      </c>
      <c r="F79" s="116">
        <f t="shared" si="2"/>
        <v>1</v>
      </c>
    </row>
    <row r="80" spans="3:6" x14ac:dyDescent="0.35">
      <c r="C80" s="57" t="s">
        <v>755</v>
      </c>
      <c r="D80" s="27">
        <v>6</v>
      </c>
      <c r="E80" s="27">
        <v>5</v>
      </c>
      <c r="F80" s="116">
        <f t="shared" si="2"/>
        <v>1</v>
      </c>
    </row>
    <row r="81" spans="3:6" x14ac:dyDescent="0.35">
      <c r="C81" s="33" t="s">
        <v>673</v>
      </c>
      <c r="D81" s="27">
        <v>6</v>
      </c>
      <c r="E81" s="27">
        <v>5</v>
      </c>
      <c r="F81" s="116">
        <f t="shared" si="2"/>
        <v>1</v>
      </c>
    </row>
    <row r="82" spans="3:6" x14ac:dyDescent="0.35">
      <c r="C82" s="117" t="s">
        <v>1163</v>
      </c>
      <c r="D82" s="27">
        <v>6</v>
      </c>
      <c r="E82" s="27">
        <v>5</v>
      </c>
      <c r="F82" s="116">
        <f t="shared" si="2"/>
        <v>1</v>
      </c>
    </row>
    <row r="83" spans="3:6" x14ac:dyDescent="0.35">
      <c r="C83" s="4" t="s">
        <v>713</v>
      </c>
      <c r="D83" s="27">
        <v>5</v>
      </c>
      <c r="E83" s="27">
        <v>4</v>
      </c>
      <c r="F83" s="116">
        <f t="shared" si="2"/>
        <v>1</v>
      </c>
    </row>
    <row r="84" spans="3:6" x14ac:dyDescent="0.35">
      <c r="C84" s="33" t="s">
        <v>760</v>
      </c>
      <c r="D84" s="27">
        <v>5</v>
      </c>
      <c r="E84" s="27">
        <v>4</v>
      </c>
      <c r="F84" s="116">
        <f t="shared" si="2"/>
        <v>1</v>
      </c>
    </row>
    <row r="85" spans="3:6" x14ac:dyDescent="0.35">
      <c r="C85" s="33" t="s">
        <v>768</v>
      </c>
      <c r="D85" s="27">
        <v>5</v>
      </c>
      <c r="E85" s="27">
        <v>4</v>
      </c>
      <c r="F85" s="116">
        <f t="shared" si="2"/>
        <v>1</v>
      </c>
    </row>
    <row r="86" spans="3:6" x14ac:dyDescent="0.35">
      <c r="C86" s="117" t="s">
        <v>1165</v>
      </c>
      <c r="D86" s="27">
        <v>5</v>
      </c>
      <c r="E86" s="27">
        <v>4</v>
      </c>
      <c r="F86" s="116">
        <f t="shared" si="2"/>
        <v>1</v>
      </c>
    </row>
    <row r="87" spans="3:6" x14ac:dyDescent="0.35">
      <c r="C87" s="117" t="s">
        <v>1161</v>
      </c>
      <c r="D87" s="27">
        <v>5</v>
      </c>
      <c r="E87" s="27">
        <v>4</v>
      </c>
      <c r="F87" s="116">
        <f t="shared" si="2"/>
        <v>1</v>
      </c>
    </row>
    <row r="88" spans="3:6" x14ac:dyDescent="0.35">
      <c r="C88" s="117" t="s">
        <v>1160</v>
      </c>
      <c r="D88" s="27">
        <v>5</v>
      </c>
      <c r="E88" s="27">
        <v>4</v>
      </c>
      <c r="F88" s="116">
        <f t="shared" si="2"/>
        <v>1</v>
      </c>
    </row>
    <row r="89" spans="3:6" x14ac:dyDescent="0.35">
      <c r="C89" s="118" t="s">
        <v>631</v>
      </c>
      <c r="D89" s="27">
        <v>5</v>
      </c>
      <c r="E89" s="27">
        <v>4</v>
      </c>
      <c r="F89" s="116">
        <f t="shared" si="2"/>
        <v>1</v>
      </c>
    </row>
    <row r="90" spans="3:6" x14ac:dyDescent="0.35">
      <c r="C90" s="118" t="s">
        <v>632</v>
      </c>
      <c r="D90" s="27">
        <v>5</v>
      </c>
      <c r="E90" s="27">
        <v>4</v>
      </c>
      <c r="F90" s="116">
        <f t="shared" si="2"/>
        <v>1</v>
      </c>
    </row>
    <row r="91" spans="3:6" x14ac:dyDescent="0.35">
      <c r="C91" s="58" t="s">
        <v>700</v>
      </c>
      <c r="D91" s="27">
        <v>4</v>
      </c>
      <c r="E91" s="27">
        <v>3</v>
      </c>
      <c r="F91" s="116">
        <f t="shared" si="2"/>
        <v>1</v>
      </c>
    </row>
    <row r="92" spans="3:6" x14ac:dyDescent="0.35">
      <c r="C92" s="57" t="s">
        <v>777</v>
      </c>
      <c r="D92" s="27">
        <v>4</v>
      </c>
      <c r="E92" s="27">
        <v>3</v>
      </c>
      <c r="F92" s="116">
        <f t="shared" si="2"/>
        <v>1</v>
      </c>
    </row>
    <row r="93" spans="3:6" x14ac:dyDescent="0.35">
      <c r="C93" s="56" t="s">
        <v>784</v>
      </c>
      <c r="D93" s="27">
        <v>4</v>
      </c>
      <c r="E93" s="27">
        <v>3</v>
      </c>
      <c r="F93" s="116">
        <f t="shared" si="2"/>
        <v>1</v>
      </c>
    </row>
    <row r="94" spans="3:6" x14ac:dyDescent="0.35">
      <c r="C94" s="56" t="s">
        <v>774</v>
      </c>
      <c r="D94" s="27">
        <v>4</v>
      </c>
      <c r="E94" s="27">
        <v>3</v>
      </c>
      <c r="F94" s="116">
        <f t="shared" si="2"/>
        <v>1</v>
      </c>
    </row>
    <row r="95" spans="3:6" x14ac:dyDescent="0.35">
      <c r="C95" s="118" t="s">
        <v>633</v>
      </c>
      <c r="D95" s="27">
        <v>4</v>
      </c>
      <c r="E95" s="27">
        <v>3</v>
      </c>
      <c r="F95" s="116">
        <f t="shared" si="2"/>
        <v>1</v>
      </c>
    </row>
    <row r="96" spans="3:6" x14ac:dyDescent="0.35">
      <c r="C96" s="4" t="s">
        <v>723</v>
      </c>
      <c r="D96" s="27">
        <v>3</v>
      </c>
      <c r="E96" s="27">
        <v>2</v>
      </c>
      <c r="F96" s="116">
        <f t="shared" si="2"/>
        <v>1</v>
      </c>
    </row>
    <row r="97" spans="3:6" x14ac:dyDescent="0.35">
      <c r="C97" s="58" t="s">
        <v>722</v>
      </c>
      <c r="D97" s="27">
        <v>3</v>
      </c>
      <c r="E97" s="27">
        <v>2</v>
      </c>
      <c r="F97" s="116">
        <f t="shared" si="2"/>
        <v>1</v>
      </c>
    </row>
    <row r="98" spans="3:6" x14ac:dyDescent="0.35">
      <c r="C98" s="117" t="s">
        <v>1164</v>
      </c>
      <c r="D98" s="27">
        <v>3</v>
      </c>
      <c r="E98" s="27">
        <v>2</v>
      </c>
      <c r="F98" s="116">
        <f t="shared" ref="F98:F113" si="3">D98-E98</f>
        <v>1</v>
      </c>
    </row>
    <row r="99" spans="3:6" x14ac:dyDescent="0.35">
      <c r="C99" s="56" t="s">
        <v>726</v>
      </c>
      <c r="D99" s="27">
        <v>2</v>
      </c>
      <c r="E99" s="27">
        <v>1</v>
      </c>
      <c r="F99" s="116">
        <f t="shared" si="3"/>
        <v>1</v>
      </c>
    </row>
    <row r="100" spans="3:6" x14ac:dyDescent="0.35">
      <c r="C100" s="117" t="s">
        <v>666</v>
      </c>
      <c r="D100" s="27">
        <v>7</v>
      </c>
      <c r="E100" s="27">
        <v>7</v>
      </c>
      <c r="F100" s="116">
        <f t="shared" si="3"/>
        <v>0</v>
      </c>
    </row>
    <row r="101" spans="3:6" x14ac:dyDescent="0.35">
      <c r="C101" s="4" t="s">
        <v>676</v>
      </c>
      <c r="D101" s="27">
        <v>5</v>
      </c>
      <c r="E101" s="27">
        <v>5</v>
      </c>
      <c r="F101" s="116">
        <f t="shared" si="3"/>
        <v>0</v>
      </c>
    </row>
    <row r="102" spans="3:6" x14ac:dyDescent="0.35">
      <c r="C102" s="57" t="s">
        <v>582</v>
      </c>
      <c r="D102" s="27">
        <v>3</v>
      </c>
      <c r="E102" s="27">
        <v>3</v>
      </c>
      <c r="F102" s="116">
        <f t="shared" si="3"/>
        <v>0</v>
      </c>
    </row>
    <row r="103" spans="3:6" x14ac:dyDescent="0.35">
      <c r="C103" s="117" t="s">
        <v>1155</v>
      </c>
      <c r="D103" s="27">
        <v>3</v>
      </c>
      <c r="E103" s="27">
        <v>3</v>
      </c>
      <c r="F103" s="116">
        <f t="shared" si="3"/>
        <v>0</v>
      </c>
    </row>
    <row r="104" spans="3:6" x14ac:dyDescent="0.35">
      <c r="C104" s="117" t="s">
        <v>1156</v>
      </c>
      <c r="D104" s="27">
        <v>3</v>
      </c>
      <c r="E104" s="27">
        <v>3</v>
      </c>
      <c r="F104" s="116">
        <f t="shared" si="3"/>
        <v>0</v>
      </c>
    </row>
    <row r="105" spans="3:6" x14ac:dyDescent="0.35">
      <c r="C105" s="117" t="s">
        <v>1158</v>
      </c>
      <c r="D105" s="27">
        <v>3</v>
      </c>
      <c r="E105" s="27">
        <v>3</v>
      </c>
      <c r="F105" s="116">
        <f t="shared" si="3"/>
        <v>0</v>
      </c>
    </row>
    <row r="106" spans="3:6" x14ac:dyDescent="0.35">
      <c r="C106" s="58" t="s">
        <v>734</v>
      </c>
      <c r="D106" s="27">
        <v>2</v>
      </c>
      <c r="E106" s="27">
        <v>2</v>
      </c>
      <c r="F106" s="116">
        <f t="shared" si="3"/>
        <v>0</v>
      </c>
    </row>
    <row r="107" spans="3:6" x14ac:dyDescent="0.35">
      <c r="C107" s="57" t="s">
        <v>732</v>
      </c>
      <c r="D107" s="27">
        <v>2</v>
      </c>
      <c r="E107" s="27">
        <v>2</v>
      </c>
      <c r="F107" s="116">
        <f t="shared" si="3"/>
        <v>0</v>
      </c>
    </row>
    <row r="108" spans="3:6" x14ac:dyDescent="0.35">
      <c r="C108" s="118" t="s">
        <v>637</v>
      </c>
      <c r="D108" s="27">
        <v>2</v>
      </c>
      <c r="E108" s="27">
        <v>2</v>
      </c>
      <c r="F108" s="116">
        <f t="shared" si="3"/>
        <v>0</v>
      </c>
    </row>
    <row r="109" spans="3:6" x14ac:dyDescent="0.35">
      <c r="C109" s="118" t="s">
        <v>636</v>
      </c>
      <c r="D109" s="27">
        <v>2</v>
      </c>
      <c r="E109" s="27">
        <v>2</v>
      </c>
      <c r="F109" s="116">
        <f t="shared" si="3"/>
        <v>0</v>
      </c>
    </row>
    <row r="110" spans="3:6" x14ac:dyDescent="0.35">
      <c r="C110" s="118" t="s">
        <v>638</v>
      </c>
      <c r="D110" s="27">
        <v>2</v>
      </c>
      <c r="E110" s="27">
        <v>2</v>
      </c>
      <c r="F110" s="116">
        <f t="shared" si="3"/>
        <v>0</v>
      </c>
    </row>
    <row r="111" spans="3:6" x14ac:dyDescent="0.35">
      <c r="C111" s="4" t="s">
        <v>767</v>
      </c>
      <c r="D111" s="27">
        <v>1</v>
      </c>
      <c r="E111" s="27">
        <v>1</v>
      </c>
      <c r="F111" s="116">
        <f t="shared" si="3"/>
        <v>0</v>
      </c>
    </row>
    <row r="112" spans="3:6" x14ac:dyDescent="0.35">
      <c r="C112" s="56" t="s">
        <v>720</v>
      </c>
      <c r="D112" s="27">
        <v>1</v>
      </c>
      <c r="E112" s="27">
        <v>1</v>
      </c>
      <c r="F112" s="116">
        <f t="shared" si="3"/>
        <v>0</v>
      </c>
    </row>
    <row r="113" spans="3:6" x14ac:dyDescent="0.35">
      <c r="C113" s="118" t="s">
        <v>639</v>
      </c>
      <c r="D113" s="27">
        <v>1</v>
      </c>
      <c r="E113" s="27">
        <v>1</v>
      </c>
      <c r="F113" s="116">
        <f t="shared" si="3"/>
        <v>0</v>
      </c>
    </row>
  </sheetData>
  <sortState xmlns:xlrd2="http://schemas.microsoft.com/office/spreadsheetml/2017/richdata2" ref="C2:G113">
    <sortCondition descending="1" ref="F2:F113"/>
    <sortCondition descending="1" ref="D2:D113"/>
  </sortState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823A31E-BA5A-49CF-8BA4-0F3EADE3FE9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14F565D3-F373-45EA-8EE3-34C1F1AC3795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C2:C113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CC129"/>
  <sheetViews>
    <sheetView workbookViewId="0">
      <pane xSplit="1" topLeftCell="B1" activePane="topRight" state="frozen"/>
      <selection pane="topRight" activeCell="CD3" sqref="CD3"/>
    </sheetView>
  </sheetViews>
  <sheetFormatPr defaultRowHeight="14.5" x14ac:dyDescent="0.35"/>
  <cols>
    <col min="1" max="1" width="18.08984375" customWidth="1"/>
    <col min="3" max="48" width="0" hidden="1" customWidth="1"/>
    <col min="49" max="49" width="8.90625" hidden="1" customWidth="1"/>
    <col min="50" max="62" width="0" hidden="1" customWidth="1"/>
  </cols>
  <sheetData>
    <row r="1" spans="1:81" x14ac:dyDescent="0.35">
      <c r="A1" t="s">
        <v>3436</v>
      </c>
      <c r="B1" t="s">
        <v>1325</v>
      </c>
      <c r="C1" t="s">
        <v>1098</v>
      </c>
      <c r="D1" t="s">
        <v>1099</v>
      </c>
      <c r="E1" t="s">
        <v>1100</v>
      </c>
      <c r="F1" t="s">
        <v>1101</v>
      </c>
      <c r="G1" t="s">
        <v>1102</v>
      </c>
      <c r="H1" t="s">
        <v>1103</v>
      </c>
      <c r="I1" t="s">
        <v>1104</v>
      </c>
      <c r="J1" t="s">
        <v>1105</v>
      </c>
      <c r="K1" t="s">
        <v>1106</v>
      </c>
      <c r="L1" t="s">
        <v>1107</v>
      </c>
      <c r="M1" t="s">
        <v>1108</v>
      </c>
      <c r="N1" t="s">
        <v>1109</v>
      </c>
      <c r="O1" t="s">
        <v>1110</v>
      </c>
      <c r="P1" t="s">
        <v>1111</v>
      </c>
      <c r="Q1" t="s">
        <v>1112</v>
      </c>
      <c r="R1" t="s">
        <v>1113</v>
      </c>
      <c r="S1" t="s">
        <v>1114</v>
      </c>
      <c r="T1" t="s">
        <v>1115</v>
      </c>
      <c r="U1" t="s">
        <v>1135</v>
      </c>
      <c r="V1" t="s">
        <v>1323</v>
      </c>
      <c r="W1" t="s">
        <v>1324</v>
      </c>
      <c r="X1" t="s">
        <v>1327</v>
      </c>
      <c r="Y1" t="s">
        <v>1328</v>
      </c>
      <c r="Z1" t="s">
        <v>1329</v>
      </c>
      <c r="AA1" t="s">
        <v>1330</v>
      </c>
      <c r="AB1" t="s">
        <v>1331</v>
      </c>
      <c r="AC1" t="s">
        <v>1332</v>
      </c>
      <c r="AD1" t="s">
        <v>1333</v>
      </c>
      <c r="AE1" t="s">
        <v>1334</v>
      </c>
      <c r="AF1" t="s">
        <v>1335</v>
      </c>
      <c r="AG1" t="s">
        <v>1336</v>
      </c>
      <c r="AH1" t="s">
        <v>1337</v>
      </c>
      <c r="AI1" t="s">
        <v>1338</v>
      </c>
      <c r="AJ1" t="s">
        <v>1339</v>
      </c>
      <c r="AK1" t="s">
        <v>1340</v>
      </c>
      <c r="AL1" t="s">
        <v>1341</v>
      </c>
      <c r="AM1" t="s">
        <v>1342</v>
      </c>
      <c r="AN1" t="s">
        <v>1343</v>
      </c>
      <c r="AO1" t="s">
        <v>1344</v>
      </c>
      <c r="AP1" t="s">
        <v>1345</v>
      </c>
      <c r="AQ1" t="s">
        <v>1346</v>
      </c>
      <c r="AR1" t="s">
        <v>1347</v>
      </c>
      <c r="AS1" t="s">
        <v>1348</v>
      </c>
      <c r="AT1" t="s">
        <v>1349</v>
      </c>
      <c r="AU1" t="s">
        <v>1350</v>
      </c>
      <c r="AV1" t="s">
        <v>1351</v>
      </c>
      <c r="AW1" t="s">
        <v>1352</v>
      </c>
      <c r="AX1" t="s">
        <v>1353</v>
      </c>
      <c r="AY1" t="s">
        <v>1354</v>
      </c>
      <c r="AZ1" t="s">
        <v>1355</v>
      </c>
      <c r="BA1" t="s">
        <v>3403</v>
      </c>
      <c r="BB1" t="s">
        <v>3404</v>
      </c>
      <c r="BC1" t="s">
        <v>3405</v>
      </c>
      <c r="BD1" t="s">
        <v>3407</v>
      </c>
      <c r="BE1" t="s">
        <v>3401</v>
      </c>
      <c r="BF1" t="s">
        <v>3408</v>
      </c>
      <c r="BG1" t="s">
        <v>3409</v>
      </c>
      <c r="BH1" t="s">
        <v>3411</v>
      </c>
      <c r="BI1" t="s">
        <v>3412</v>
      </c>
      <c r="BJ1" t="s">
        <v>3413</v>
      </c>
      <c r="BK1" t="s">
        <v>3414</v>
      </c>
      <c r="BL1" t="s">
        <v>3415</v>
      </c>
      <c r="BM1" t="s">
        <v>3416</v>
      </c>
      <c r="BN1" t="s">
        <v>3417</v>
      </c>
      <c r="BO1" t="s">
        <v>3418</v>
      </c>
      <c r="BP1" t="s">
        <v>3400</v>
      </c>
      <c r="BQ1" t="s">
        <v>3419</v>
      </c>
      <c r="BR1" t="s">
        <v>3399</v>
      </c>
      <c r="BS1" t="s">
        <v>3421</v>
      </c>
      <c r="BT1" t="s">
        <v>3422</v>
      </c>
      <c r="BU1" t="s">
        <v>3424</v>
      </c>
      <c r="BV1" t="s">
        <v>3425</v>
      </c>
      <c r="BW1" t="s">
        <v>3426</v>
      </c>
      <c r="BX1" t="s">
        <v>3423</v>
      </c>
      <c r="BY1" t="s">
        <v>3428</v>
      </c>
      <c r="BZ1" t="s">
        <v>3429</v>
      </c>
      <c r="CA1" t="s">
        <v>3402</v>
      </c>
      <c r="CB1" t="s">
        <v>3410</v>
      </c>
    </row>
    <row r="2" spans="1:81" s="2" customFormat="1" x14ac:dyDescent="0.35">
      <c r="A2" s="1" t="s">
        <v>466</v>
      </c>
      <c r="B2" s="2">
        <v>1782</v>
      </c>
      <c r="C2" s="2">
        <v>1796</v>
      </c>
      <c r="D2" s="2">
        <v>1814</v>
      </c>
      <c r="E2" s="2">
        <v>1834</v>
      </c>
      <c r="F2" s="2">
        <v>1846</v>
      </c>
      <c r="G2" s="2">
        <v>1846</v>
      </c>
      <c r="H2" s="2">
        <v>1846</v>
      </c>
      <c r="I2" s="2">
        <v>1855</v>
      </c>
      <c r="J2" s="2">
        <v>1855</v>
      </c>
      <c r="K2" s="2">
        <v>1870</v>
      </c>
      <c r="L2" s="2">
        <v>1889</v>
      </c>
      <c r="M2" s="2">
        <v>1907</v>
      </c>
      <c r="N2" s="2">
        <v>1920</v>
      </c>
      <c r="O2" s="2">
        <v>1901</v>
      </c>
      <c r="P2" s="2">
        <v>1915</v>
      </c>
      <c r="Q2" s="2">
        <v>1934</v>
      </c>
      <c r="R2" s="2">
        <v>1934</v>
      </c>
      <c r="S2" s="2">
        <v>1934</v>
      </c>
      <c r="T2" s="2">
        <v>1952</v>
      </c>
      <c r="U2" s="2">
        <v>1938</v>
      </c>
      <c r="V2" s="2">
        <v>1949</v>
      </c>
      <c r="W2" s="2">
        <v>1925</v>
      </c>
      <c r="X2" s="2">
        <v>1940</v>
      </c>
      <c r="Y2" s="2">
        <v>1956</v>
      </c>
      <c r="Z2" s="2">
        <v>1961</v>
      </c>
      <c r="AA2" s="2">
        <v>1961</v>
      </c>
      <c r="AB2" s="2">
        <v>1961</v>
      </c>
      <c r="AC2" s="2">
        <v>1982</v>
      </c>
      <c r="AD2" s="2">
        <v>1961</v>
      </c>
      <c r="AE2" s="2">
        <v>1972</v>
      </c>
      <c r="AF2" s="2">
        <v>1972</v>
      </c>
      <c r="AG2" s="2">
        <v>1972</v>
      </c>
      <c r="AH2" s="2">
        <v>1984</v>
      </c>
      <c r="AI2" s="2">
        <v>1959</v>
      </c>
      <c r="AJ2" s="2">
        <v>1972</v>
      </c>
      <c r="AK2" s="2">
        <v>1972</v>
      </c>
      <c r="AL2" s="2">
        <v>1972</v>
      </c>
      <c r="AM2" s="2">
        <v>1972</v>
      </c>
      <c r="AN2" s="2">
        <v>1972</v>
      </c>
      <c r="AO2" s="2">
        <v>1979</v>
      </c>
      <c r="AP2" s="2">
        <v>1979</v>
      </c>
      <c r="AQ2" s="2">
        <v>1979</v>
      </c>
      <c r="AR2" s="2">
        <v>1999</v>
      </c>
      <c r="AS2" s="2">
        <v>2013</v>
      </c>
      <c r="AT2" s="2">
        <v>2016</v>
      </c>
      <c r="AU2" s="2">
        <v>2034</v>
      </c>
      <c r="AV2" s="2">
        <v>2048</v>
      </c>
      <c r="AW2" s="2">
        <v>2048</v>
      </c>
      <c r="AX2" s="2">
        <v>2048</v>
      </c>
      <c r="AY2" s="2">
        <v>2061</v>
      </c>
      <c r="AZ2" s="2">
        <v>2075</v>
      </c>
      <c r="BA2" s="2">
        <v>2075</v>
      </c>
      <c r="BB2" s="2">
        <v>2075</v>
      </c>
      <c r="BC2" s="2">
        <v>2096</v>
      </c>
      <c r="BD2" s="2">
        <v>2114</v>
      </c>
      <c r="BE2" s="2">
        <v>2126</v>
      </c>
      <c r="BF2" s="2">
        <v>2126</v>
      </c>
      <c r="BG2" s="2">
        <v>2126</v>
      </c>
      <c r="BH2" s="2">
        <v>2126</v>
      </c>
      <c r="BI2" s="2">
        <v>2126</v>
      </c>
      <c r="BJ2" s="2">
        <v>2126</v>
      </c>
      <c r="BK2" s="2">
        <v>2126</v>
      </c>
      <c r="BL2" s="2">
        <v>2143</v>
      </c>
      <c r="BM2" s="2">
        <v>2107</v>
      </c>
      <c r="BN2" s="2">
        <v>2107</v>
      </c>
      <c r="BO2" s="2">
        <v>2107</v>
      </c>
      <c r="BP2" s="2">
        <v>2085</v>
      </c>
      <c r="BQ2" s="2">
        <v>2123</v>
      </c>
      <c r="BR2" s="2">
        <v>2123</v>
      </c>
      <c r="BS2" s="2">
        <v>2123</v>
      </c>
      <c r="BT2" s="2">
        <v>2101</v>
      </c>
      <c r="BU2" s="2">
        <v>2083</v>
      </c>
      <c r="BV2" s="2">
        <v>2065</v>
      </c>
      <c r="BW2" s="2">
        <v>2095</v>
      </c>
      <c r="BX2" s="2">
        <v>2127</v>
      </c>
      <c r="BY2" s="2">
        <v>2154</v>
      </c>
      <c r="BZ2">
        <v>2125</v>
      </c>
      <c r="CA2">
        <v>2158</v>
      </c>
      <c r="CB2">
        <v>2180</v>
      </c>
      <c r="CC2" s="2">
        <v>42</v>
      </c>
    </row>
    <row r="3" spans="1:81" s="2" customFormat="1" x14ac:dyDescent="0.35">
      <c r="A3" s="1" t="s">
        <v>245</v>
      </c>
      <c r="B3" s="2">
        <v>1906</v>
      </c>
      <c r="C3" s="2">
        <v>1918</v>
      </c>
      <c r="D3" s="2">
        <v>1928</v>
      </c>
      <c r="E3" s="2">
        <v>1941</v>
      </c>
      <c r="F3" s="2">
        <v>1953</v>
      </c>
      <c r="G3" s="2">
        <v>1953</v>
      </c>
      <c r="H3" s="2">
        <v>1953</v>
      </c>
      <c r="I3" s="2">
        <v>1962</v>
      </c>
      <c r="J3" s="2">
        <v>1962</v>
      </c>
      <c r="K3" s="2">
        <v>1962</v>
      </c>
      <c r="L3" s="2">
        <v>1969</v>
      </c>
      <c r="M3" s="2">
        <v>1969</v>
      </c>
      <c r="N3" s="2">
        <v>1969</v>
      </c>
      <c r="O3" s="2">
        <v>1979</v>
      </c>
      <c r="P3" s="2">
        <v>1990</v>
      </c>
      <c r="Q3" s="2">
        <v>1996</v>
      </c>
      <c r="R3" s="2">
        <v>2008</v>
      </c>
      <c r="S3" s="2">
        <v>1986</v>
      </c>
      <c r="T3" s="2">
        <v>1996</v>
      </c>
      <c r="U3" s="2">
        <v>2002</v>
      </c>
      <c r="V3" s="2">
        <v>2002</v>
      </c>
      <c r="W3" s="2">
        <v>2002</v>
      </c>
      <c r="X3" s="2">
        <v>2002</v>
      </c>
      <c r="Y3" s="2">
        <v>2002</v>
      </c>
      <c r="Z3" s="2">
        <v>2014</v>
      </c>
      <c r="AA3" s="2">
        <v>1993</v>
      </c>
      <c r="AB3" s="2">
        <v>2014</v>
      </c>
      <c r="AC3" s="2">
        <v>2029</v>
      </c>
      <c r="AD3" s="2">
        <v>2043</v>
      </c>
      <c r="AE3" s="2">
        <v>2052</v>
      </c>
      <c r="AF3" s="2">
        <v>2058</v>
      </c>
      <c r="AG3" s="2">
        <v>2064</v>
      </c>
      <c r="AH3" s="2">
        <v>2064</v>
      </c>
      <c r="AI3" s="2">
        <v>2064</v>
      </c>
      <c r="AJ3" s="2">
        <v>2070</v>
      </c>
      <c r="AK3" s="2">
        <v>2088</v>
      </c>
      <c r="AL3" s="2">
        <v>2106</v>
      </c>
      <c r="AM3" s="2">
        <v>2127</v>
      </c>
      <c r="AN3" s="2">
        <v>2105</v>
      </c>
      <c r="AO3" s="2">
        <v>2107</v>
      </c>
      <c r="AP3" s="2">
        <v>2119</v>
      </c>
      <c r="AQ3" s="2">
        <v>2088</v>
      </c>
      <c r="AR3" s="2">
        <v>2088</v>
      </c>
      <c r="AS3" s="2">
        <v>2088</v>
      </c>
      <c r="AT3" s="2">
        <v>2094</v>
      </c>
      <c r="AU3" s="2">
        <v>2117</v>
      </c>
      <c r="AV3" s="2">
        <v>2137</v>
      </c>
      <c r="AW3" s="2">
        <v>2109</v>
      </c>
      <c r="AX3" s="2">
        <v>2082</v>
      </c>
      <c r="AY3" s="2">
        <v>2056</v>
      </c>
      <c r="AZ3" s="2">
        <v>2075</v>
      </c>
      <c r="BA3" s="2">
        <v>2075</v>
      </c>
      <c r="BB3" s="2">
        <v>2075</v>
      </c>
      <c r="BC3" s="2">
        <v>2094</v>
      </c>
      <c r="BD3" s="2">
        <v>2094</v>
      </c>
      <c r="BE3" s="2">
        <v>2094</v>
      </c>
      <c r="BF3" s="2">
        <v>2094</v>
      </c>
      <c r="BG3" s="2">
        <v>2094</v>
      </c>
      <c r="BH3" s="2">
        <v>2094</v>
      </c>
      <c r="BI3" s="2">
        <v>2094</v>
      </c>
      <c r="BJ3" s="2">
        <v>2094</v>
      </c>
      <c r="BK3" s="2">
        <v>2094</v>
      </c>
      <c r="BL3" s="2">
        <v>2116</v>
      </c>
      <c r="BM3" s="2">
        <v>2139</v>
      </c>
      <c r="BN3" s="2">
        <v>2139</v>
      </c>
      <c r="BO3" s="2">
        <v>2139</v>
      </c>
      <c r="BP3" s="2">
        <v>2161</v>
      </c>
      <c r="BQ3" s="2">
        <v>2123</v>
      </c>
      <c r="BR3" s="2">
        <v>2143</v>
      </c>
      <c r="BS3" s="2">
        <v>2111</v>
      </c>
      <c r="BT3" s="2">
        <v>2141</v>
      </c>
      <c r="BU3" s="2">
        <v>2160</v>
      </c>
      <c r="BV3" s="2">
        <v>2178</v>
      </c>
      <c r="BW3" s="2">
        <v>2148</v>
      </c>
      <c r="BX3" s="2">
        <v>2148</v>
      </c>
      <c r="BY3" s="2">
        <v>2148</v>
      </c>
      <c r="BZ3" s="2">
        <v>2148</v>
      </c>
      <c r="CA3" s="2">
        <v>2148</v>
      </c>
      <c r="CB3" s="2">
        <v>2148</v>
      </c>
      <c r="CC3" s="2">
        <v>72</v>
      </c>
    </row>
    <row r="4" spans="1:81" s="2" customFormat="1" x14ac:dyDescent="0.35">
      <c r="A4" s="1" t="s">
        <v>468</v>
      </c>
      <c r="B4" s="2">
        <v>1849</v>
      </c>
      <c r="C4" s="2">
        <v>1833</v>
      </c>
      <c r="D4" s="2">
        <v>1852</v>
      </c>
      <c r="E4" s="2">
        <v>1871</v>
      </c>
      <c r="F4" s="2">
        <v>1881</v>
      </c>
      <c r="G4" s="2">
        <v>1881</v>
      </c>
      <c r="H4" s="2">
        <v>1881</v>
      </c>
      <c r="I4" s="2">
        <v>1893</v>
      </c>
      <c r="J4" s="2">
        <v>1893</v>
      </c>
      <c r="K4" s="2">
        <v>1893</v>
      </c>
      <c r="L4" s="2">
        <v>1906</v>
      </c>
      <c r="M4" s="2">
        <v>1906</v>
      </c>
      <c r="N4" s="2">
        <v>1906</v>
      </c>
      <c r="O4" s="2">
        <v>1919</v>
      </c>
      <c r="P4" s="2">
        <v>1894</v>
      </c>
      <c r="Q4" s="2">
        <v>1916</v>
      </c>
      <c r="R4" s="2">
        <v>1944</v>
      </c>
      <c r="S4" s="2">
        <v>1964</v>
      </c>
      <c r="T4" s="2">
        <v>1978</v>
      </c>
      <c r="U4" s="2">
        <v>1985</v>
      </c>
      <c r="V4" s="2">
        <v>1996</v>
      </c>
      <c r="W4" s="2">
        <v>2005</v>
      </c>
      <c r="X4" s="2">
        <v>2005</v>
      </c>
      <c r="Y4" s="2">
        <v>2005</v>
      </c>
      <c r="Z4" s="2">
        <v>2010</v>
      </c>
      <c r="AA4" s="2">
        <v>2021</v>
      </c>
      <c r="AB4" s="2">
        <v>2030</v>
      </c>
      <c r="AC4" s="2">
        <v>2043</v>
      </c>
      <c r="AD4" s="2">
        <v>2057</v>
      </c>
      <c r="AE4" s="2">
        <v>2063</v>
      </c>
      <c r="AF4" s="2">
        <v>2072</v>
      </c>
      <c r="AG4" s="2">
        <v>2082</v>
      </c>
      <c r="AH4" s="2">
        <v>2082</v>
      </c>
      <c r="AI4" s="2">
        <v>2082</v>
      </c>
      <c r="AJ4" s="2">
        <v>2086</v>
      </c>
      <c r="AK4" s="2">
        <v>2095</v>
      </c>
      <c r="AL4" s="2">
        <v>2107</v>
      </c>
      <c r="AM4" s="2">
        <v>2118</v>
      </c>
      <c r="AN4" s="2">
        <v>2131</v>
      </c>
      <c r="AO4" s="2">
        <v>2138</v>
      </c>
      <c r="AP4" s="2">
        <v>2142</v>
      </c>
      <c r="AQ4" s="2">
        <v>2146</v>
      </c>
      <c r="AR4" s="2">
        <v>2146</v>
      </c>
      <c r="AS4" s="2">
        <v>2146</v>
      </c>
      <c r="AT4" s="2">
        <v>2124</v>
      </c>
      <c r="AU4" s="2">
        <v>2101</v>
      </c>
      <c r="AV4" s="2">
        <v>2081</v>
      </c>
      <c r="AW4" s="2">
        <v>2100</v>
      </c>
      <c r="AX4" s="2">
        <v>2115</v>
      </c>
      <c r="AY4" s="2">
        <v>2115</v>
      </c>
      <c r="AZ4" s="2">
        <v>2115</v>
      </c>
      <c r="BA4" s="2">
        <v>2134</v>
      </c>
      <c r="BB4" s="2">
        <v>2108</v>
      </c>
      <c r="BC4" s="2">
        <v>2115</v>
      </c>
      <c r="BD4" s="2">
        <v>2095</v>
      </c>
      <c r="BE4" s="2">
        <v>2075</v>
      </c>
      <c r="BF4" s="2">
        <v>2075</v>
      </c>
      <c r="BG4" s="2">
        <v>2075</v>
      </c>
      <c r="BH4" s="2">
        <v>2075</v>
      </c>
      <c r="BI4" s="2">
        <v>2075</v>
      </c>
      <c r="BJ4" s="2">
        <v>2089</v>
      </c>
      <c r="BK4" s="2">
        <v>2104</v>
      </c>
      <c r="BL4" s="2">
        <v>2130</v>
      </c>
      <c r="BM4" s="2">
        <v>2102</v>
      </c>
      <c r="BN4" s="2">
        <v>2102</v>
      </c>
      <c r="BO4" s="2">
        <v>2102</v>
      </c>
      <c r="BP4" s="2">
        <v>2132</v>
      </c>
      <c r="BQ4" s="2">
        <v>2158</v>
      </c>
      <c r="BR4" s="2">
        <v>2158</v>
      </c>
      <c r="BS4" s="2">
        <v>2158</v>
      </c>
      <c r="BT4" s="2">
        <v>2180</v>
      </c>
      <c r="BU4" s="2">
        <v>2198</v>
      </c>
      <c r="BV4" s="2">
        <v>2198</v>
      </c>
      <c r="BW4" s="2">
        <v>2198</v>
      </c>
      <c r="BX4" s="2">
        <v>2166</v>
      </c>
      <c r="BY4" s="2">
        <v>2139</v>
      </c>
      <c r="BZ4">
        <v>2168</v>
      </c>
      <c r="CA4">
        <v>2135</v>
      </c>
      <c r="CB4">
        <v>2113</v>
      </c>
      <c r="CC4" s="2">
        <v>87</v>
      </c>
    </row>
    <row r="5" spans="1:81" s="2" customFormat="1" x14ac:dyDescent="0.35">
      <c r="A5" s="1" t="s">
        <v>352</v>
      </c>
      <c r="B5" s="2">
        <v>1796</v>
      </c>
      <c r="C5" s="2">
        <v>1809</v>
      </c>
      <c r="D5" s="2">
        <v>1824</v>
      </c>
      <c r="E5" s="2">
        <v>1834</v>
      </c>
      <c r="F5" s="2">
        <v>1852</v>
      </c>
      <c r="G5" s="2">
        <v>1852</v>
      </c>
      <c r="H5" s="2">
        <v>1870</v>
      </c>
      <c r="I5" s="2">
        <v>1880</v>
      </c>
      <c r="J5" s="2">
        <v>1891</v>
      </c>
      <c r="K5" s="2">
        <v>1867</v>
      </c>
      <c r="L5" s="2">
        <v>1877</v>
      </c>
      <c r="M5" s="2">
        <v>1892</v>
      </c>
      <c r="N5" s="2">
        <v>1908</v>
      </c>
      <c r="O5" s="2">
        <v>1908</v>
      </c>
      <c r="P5" s="2">
        <v>1908</v>
      </c>
      <c r="Q5" s="2">
        <v>1890</v>
      </c>
      <c r="R5" s="2">
        <v>1890</v>
      </c>
      <c r="S5" s="2">
        <v>1890</v>
      </c>
      <c r="T5" s="2">
        <v>1890</v>
      </c>
      <c r="U5" s="2">
        <v>1902</v>
      </c>
      <c r="V5" s="2">
        <v>1924</v>
      </c>
      <c r="W5" s="2">
        <v>1904</v>
      </c>
      <c r="X5" s="2">
        <v>1904</v>
      </c>
      <c r="Y5" s="2">
        <v>1904</v>
      </c>
      <c r="Z5" s="2">
        <v>1913</v>
      </c>
      <c r="AA5" s="2">
        <v>1913</v>
      </c>
      <c r="AB5" s="2">
        <v>1913</v>
      </c>
      <c r="AC5" s="2">
        <v>1913</v>
      </c>
      <c r="AD5" s="2">
        <v>1913</v>
      </c>
      <c r="AE5" s="2">
        <v>1919</v>
      </c>
      <c r="AF5" s="2">
        <v>1941</v>
      </c>
      <c r="AG5" s="2">
        <v>1955</v>
      </c>
      <c r="AH5" s="2">
        <v>1955</v>
      </c>
      <c r="AI5" s="2">
        <v>1955</v>
      </c>
      <c r="AJ5" s="2">
        <v>1968</v>
      </c>
      <c r="AK5" s="2">
        <v>1968</v>
      </c>
      <c r="AL5" s="2">
        <v>1968</v>
      </c>
      <c r="AM5" s="2">
        <v>1968</v>
      </c>
      <c r="AN5" s="2">
        <v>1968</v>
      </c>
      <c r="AO5" s="2">
        <v>1979</v>
      </c>
      <c r="AP5" s="2">
        <v>1995</v>
      </c>
      <c r="AQ5" s="2">
        <v>2012</v>
      </c>
      <c r="AR5" s="2">
        <v>2012</v>
      </c>
      <c r="AS5" s="2">
        <v>2012</v>
      </c>
      <c r="AT5" s="2">
        <v>2020</v>
      </c>
      <c r="AU5" s="2">
        <v>2020</v>
      </c>
      <c r="AV5" s="2">
        <v>2020</v>
      </c>
      <c r="AW5" s="2">
        <v>2048</v>
      </c>
      <c r="AX5" s="2">
        <v>2075</v>
      </c>
      <c r="AY5" s="2">
        <v>2075</v>
      </c>
      <c r="AZ5" s="2">
        <v>2075</v>
      </c>
      <c r="BA5" s="2">
        <v>2056</v>
      </c>
      <c r="BB5" s="2">
        <v>2082</v>
      </c>
      <c r="BC5" s="2">
        <v>2096</v>
      </c>
      <c r="BD5" s="2">
        <v>2096</v>
      </c>
      <c r="BE5" s="2">
        <v>2096</v>
      </c>
      <c r="BF5" s="2">
        <v>2096</v>
      </c>
      <c r="BG5" s="2">
        <v>2096</v>
      </c>
      <c r="BH5" s="2">
        <v>2096</v>
      </c>
      <c r="BI5" s="2">
        <v>2096</v>
      </c>
      <c r="BJ5" s="2">
        <v>2096</v>
      </c>
      <c r="BK5" s="2">
        <v>2096</v>
      </c>
      <c r="BL5" s="2">
        <v>2070</v>
      </c>
      <c r="BM5" s="2">
        <v>2098</v>
      </c>
      <c r="BN5" s="2">
        <v>2115</v>
      </c>
      <c r="BO5" s="2">
        <v>2128</v>
      </c>
      <c r="BP5" s="2">
        <v>2092</v>
      </c>
      <c r="BQ5" s="2">
        <v>2060</v>
      </c>
      <c r="BR5" s="2">
        <v>2060</v>
      </c>
      <c r="BS5" s="2">
        <v>2060</v>
      </c>
      <c r="BT5" s="2">
        <v>2060</v>
      </c>
      <c r="BU5" s="2">
        <v>2060</v>
      </c>
      <c r="BV5" s="2">
        <v>2060</v>
      </c>
      <c r="BW5" s="2">
        <v>2060</v>
      </c>
      <c r="BX5" s="2">
        <v>2060</v>
      </c>
      <c r="BY5" s="2">
        <v>2060</v>
      </c>
      <c r="BZ5" s="2">
        <v>2060</v>
      </c>
      <c r="CA5" s="2">
        <v>2060</v>
      </c>
      <c r="CB5" s="2">
        <v>2060</v>
      </c>
      <c r="CC5" s="2">
        <v>107</v>
      </c>
    </row>
    <row r="6" spans="1:81" s="2" customFormat="1" x14ac:dyDescent="0.35">
      <c r="A6" s="1" t="s">
        <v>242</v>
      </c>
      <c r="B6" s="2">
        <v>1888</v>
      </c>
      <c r="C6" s="2">
        <v>1904</v>
      </c>
      <c r="D6" s="2">
        <v>1920</v>
      </c>
      <c r="E6" s="2">
        <v>1934</v>
      </c>
      <c r="F6" s="2">
        <v>1940</v>
      </c>
      <c r="G6" s="2">
        <v>1940</v>
      </c>
      <c r="H6" s="2">
        <v>1940</v>
      </c>
      <c r="I6" s="2">
        <v>1949</v>
      </c>
      <c r="J6" s="2">
        <v>1949</v>
      </c>
      <c r="K6" s="2">
        <v>1949</v>
      </c>
      <c r="L6" s="2">
        <v>1955</v>
      </c>
      <c r="M6" s="2">
        <v>1955</v>
      </c>
      <c r="N6" s="2">
        <v>1955</v>
      </c>
      <c r="O6" s="2">
        <v>1971</v>
      </c>
      <c r="P6" s="2">
        <v>1986</v>
      </c>
      <c r="Q6" s="2">
        <v>1970</v>
      </c>
      <c r="R6" s="2">
        <v>1951</v>
      </c>
      <c r="S6" s="2">
        <v>1969</v>
      </c>
      <c r="T6" s="2">
        <v>1981</v>
      </c>
      <c r="U6" s="2">
        <v>1994</v>
      </c>
      <c r="V6" s="2">
        <v>1994</v>
      </c>
      <c r="W6" s="2">
        <v>1994</v>
      </c>
      <c r="X6" s="2">
        <v>1994</v>
      </c>
      <c r="Y6" s="2">
        <v>1994</v>
      </c>
      <c r="Z6" s="2">
        <v>2005</v>
      </c>
      <c r="AA6" s="2">
        <v>2013</v>
      </c>
      <c r="AB6" s="2">
        <v>2020</v>
      </c>
      <c r="AC6" s="2">
        <v>1991</v>
      </c>
      <c r="AD6" s="2">
        <v>2010</v>
      </c>
      <c r="AE6" s="2">
        <v>2017</v>
      </c>
      <c r="AF6" s="2">
        <v>2028</v>
      </c>
      <c r="AG6" s="2">
        <v>2035</v>
      </c>
      <c r="AH6" s="2">
        <v>2035</v>
      </c>
      <c r="AI6" s="2">
        <v>2035</v>
      </c>
      <c r="AJ6" s="2">
        <v>2044</v>
      </c>
      <c r="AK6" s="2">
        <v>2026</v>
      </c>
      <c r="AL6" s="2">
        <v>2008</v>
      </c>
      <c r="AM6" s="2">
        <v>2032</v>
      </c>
      <c r="AN6" s="2">
        <v>2005</v>
      </c>
      <c r="AO6" s="2">
        <v>2013</v>
      </c>
      <c r="AP6" s="2">
        <v>2038</v>
      </c>
      <c r="AQ6" s="2">
        <v>2053</v>
      </c>
      <c r="AR6" s="2">
        <v>2053</v>
      </c>
      <c r="AS6" s="2">
        <v>2053</v>
      </c>
      <c r="AT6" s="2">
        <v>2064</v>
      </c>
      <c r="AU6" s="2">
        <v>2064</v>
      </c>
      <c r="AV6" s="2">
        <v>2064</v>
      </c>
      <c r="AW6" s="2">
        <v>2091</v>
      </c>
      <c r="AX6" s="2">
        <v>2108</v>
      </c>
      <c r="AY6" s="2">
        <v>2108</v>
      </c>
      <c r="AZ6" s="2">
        <v>2108</v>
      </c>
      <c r="BA6" s="2">
        <v>2121</v>
      </c>
      <c r="BB6" s="2">
        <v>2090</v>
      </c>
      <c r="BC6" s="2">
        <v>2109</v>
      </c>
      <c r="BD6" s="2">
        <v>2129</v>
      </c>
      <c r="BE6" s="2">
        <v>2149</v>
      </c>
      <c r="BF6" s="2">
        <v>2149</v>
      </c>
      <c r="BG6" s="2">
        <v>2149</v>
      </c>
      <c r="BH6" s="2">
        <v>2149</v>
      </c>
      <c r="BI6" s="2">
        <v>2149</v>
      </c>
      <c r="BJ6" s="2">
        <v>2149</v>
      </c>
      <c r="BK6" s="2">
        <v>2149</v>
      </c>
      <c r="BL6" s="2">
        <v>2167</v>
      </c>
      <c r="BM6" s="2">
        <v>2188</v>
      </c>
      <c r="BN6" s="2">
        <v>2188</v>
      </c>
      <c r="BO6" s="2">
        <v>2188</v>
      </c>
      <c r="BP6" s="2">
        <v>2158</v>
      </c>
      <c r="BQ6" s="2">
        <v>2132</v>
      </c>
      <c r="BR6" s="2">
        <v>2144</v>
      </c>
      <c r="BS6" s="2">
        <v>2106</v>
      </c>
      <c r="BT6" s="2">
        <v>2076</v>
      </c>
      <c r="BU6" s="2">
        <v>2057</v>
      </c>
      <c r="BV6" s="2">
        <v>2057</v>
      </c>
      <c r="BW6" s="2">
        <v>2057</v>
      </c>
      <c r="BX6" s="2">
        <v>2057</v>
      </c>
      <c r="BY6" s="2">
        <v>2057</v>
      </c>
      <c r="BZ6" s="2">
        <v>2057</v>
      </c>
      <c r="CA6" s="2">
        <v>2057</v>
      </c>
      <c r="CB6" s="2">
        <v>2057</v>
      </c>
      <c r="CC6" s="2">
        <v>13</v>
      </c>
    </row>
    <row r="7" spans="1:81" s="2" customFormat="1" x14ac:dyDescent="0.35">
      <c r="A7" s="1" t="s">
        <v>643</v>
      </c>
      <c r="B7" s="2">
        <v>1782</v>
      </c>
      <c r="C7" s="2">
        <v>1799</v>
      </c>
      <c r="D7" s="2">
        <v>1788</v>
      </c>
      <c r="E7" s="2">
        <v>1780</v>
      </c>
      <c r="F7" s="2">
        <v>1794</v>
      </c>
      <c r="G7" s="2">
        <v>1794</v>
      </c>
      <c r="H7" s="2">
        <v>1794</v>
      </c>
      <c r="I7" s="2">
        <v>1812</v>
      </c>
      <c r="J7" s="2">
        <v>1812</v>
      </c>
      <c r="K7" s="2">
        <v>1812</v>
      </c>
      <c r="L7" s="2">
        <v>1821</v>
      </c>
      <c r="M7" s="2">
        <v>1821</v>
      </c>
      <c r="N7" s="2">
        <v>1821</v>
      </c>
      <c r="O7" s="2">
        <v>1849</v>
      </c>
      <c r="P7" s="2">
        <v>1833</v>
      </c>
      <c r="Q7" s="2">
        <v>1848</v>
      </c>
      <c r="R7" s="2">
        <v>1864</v>
      </c>
      <c r="S7" s="2">
        <v>1875</v>
      </c>
      <c r="T7" s="2">
        <v>1898</v>
      </c>
      <c r="U7" s="2">
        <v>1906</v>
      </c>
      <c r="V7" s="2">
        <v>1906</v>
      </c>
      <c r="W7" s="2">
        <v>1906</v>
      </c>
      <c r="X7" s="2">
        <v>1906</v>
      </c>
      <c r="Y7" s="2">
        <v>1906</v>
      </c>
      <c r="Z7" s="2">
        <v>1915</v>
      </c>
      <c r="AA7" s="2">
        <v>1926</v>
      </c>
      <c r="AB7" s="2">
        <v>1937</v>
      </c>
      <c r="AC7" s="2">
        <v>1952</v>
      </c>
      <c r="AD7" s="2">
        <v>1923</v>
      </c>
      <c r="AE7" s="2">
        <v>1931</v>
      </c>
      <c r="AF7" s="2">
        <v>1945</v>
      </c>
      <c r="AG7" s="2">
        <v>1921</v>
      </c>
      <c r="AH7" s="2">
        <v>1921</v>
      </c>
      <c r="AI7" s="2">
        <v>1921</v>
      </c>
      <c r="AJ7" s="2">
        <v>1926</v>
      </c>
      <c r="AK7" s="2">
        <v>1941</v>
      </c>
      <c r="AL7" s="2">
        <v>1956</v>
      </c>
      <c r="AM7" s="2">
        <v>1986</v>
      </c>
      <c r="AN7" s="2">
        <v>2012</v>
      </c>
      <c r="AO7" s="2">
        <v>2024</v>
      </c>
      <c r="AP7" s="2">
        <v>2041</v>
      </c>
      <c r="AQ7" s="2">
        <v>2008</v>
      </c>
      <c r="AR7" s="2">
        <v>2008</v>
      </c>
      <c r="AS7" s="2">
        <v>2008</v>
      </c>
      <c r="AT7" s="2">
        <v>2013</v>
      </c>
      <c r="AU7" s="2">
        <v>1993</v>
      </c>
      <c r="AV7" s="2">
        <v>2020</v>
      </c>
      <c r="AW7" s="2">
        <v>2020</v>
      </c>
      <c r="AX7" s="2">
        <v>2020</v>
      </c>
      <c r="AY7" s="2">
        <v>2046</v>
      </c>
      <c r="AZ7" s="2">
        <v>2027</v>
      </c>
      <c r="BA7" s="2">
        <v>2027</v>
      </c>
      <c r="BB7" s="2">
        <v>2027</v>
      </c>
      <c r="BC7" s="2">
        <v>2006</v>
      </c>
      <c r="BD7" s="2">
        <v>1985</v>
      </c>
      <c r="BE7" s="2">
        <v>1970</v>
      </c>
      <c r="BF7" s="2">
        <v>1970</v>
      </c>
      <c r="BG7" s="2">
        <v>1970</v>
      </c>
      <c r="BH7" s="2">
        <v>1970</v>
      </c>
      <c r="BI7" s="2">
        <v>1970</v>
      </c>
      <c r="BJ7" s="2">
        <v>1989</v>
      </c>
      <c r="BK7" s="2">
        <v>2006</v>
      </c>
      <c r="BL7" s="2">
        <v>1988</v>
      </c>
      <c r="BM7" s="2">
        <v>1967</v>
      </c>
      <c r="BN7" s="2">
        <v>2003</v>
      </c>
      <c r="BO7" s="2">
        <v>1977</v>
      </c>
      <c r="BP7" s="2">
        <v>2013</v>
      </c>
      <c r="BQ7" s="2">
        <v>2045</v>
      </c>
      <c r="BR7" s="2">
        <v>2025</v>
      </c>
      <c r="BS7" s="2">
        <v>2057</v>
      </c>
      <c r="BT7" s="2">
        <v>2057</v>
      </c>
      <c r="BU7" s="2">
        <v>2057</v>
      </c>
      <c r="BV7" s="2">
        <v>2057</v>
      </c>
      <c r="BW7" s="2">
        <v>2057</v>
      </c>
      <c r="BX7" s="2">
        <v>2057</v>
      </c>
      <c r="BY7" s="2">
        <v>2057</v>
      </c>
      <c r="BZ7" s="2">
        <v>2057</v>
      </c>
      <c r="CA7" s="2">
        <v>2057</v>
      </c>
      <c r="CB7" s="2">
        <v>2057</v>
      </c>
      <c r="CC7" s="2">
        <v>56</v>
      </c>
    </row>
    <row r="8" spans="1:81" s="2" customFormat="1" x14ac:dyDescent="0.35">
      <c r="A8" s="1" t="s">
        <v>642</v>
      </c>
      <c r="B8" s="2">
        <v>1835</v>
      </c>
      <c r="C8" s="2">
        <v>1845</v>
      </c>
      <c r="D8" s="2">
        <v>1854</v>
      </c>
      <c r="E8" s="2">
        <v>1839</v>
      </c>
      <c r="F8" s="2">
        <v>1856</v>
      </c>
      <c r="G8" s="2">
        <v>1856</v>
      </c>
      <c r="H8" s="2">
        <v>1856</v>
      </c>
      <c r="I8" s="2">
        <v>1869</v>
      </c>
      <c r="J8" s="2">
        <v>1869</v>
      </c>
      <c r="K8" s="2">
        <v>1883</v>
      </c>
      <c r="L8" s="2">
        <v>1894</v>
      </c>
      <c r="M8" s="2">
        <v>1908</v>
      </c>
      <c r="N8" s="2">
        <v>1919</v>
      </c>
      <c r="O8" s="2">
        <v>1934</v>
      </c>
      <c r="P8" s="2">
        <v>1947</v>
      </c>
      <c r="Q8" s="2">
        <v>1928</v>
      </c>
      <c r="R8" s="2">
        <v>1928</v>
      </c>
      <c r="S8" s="2">
        <v>1928</v>
      </c>
      <c r="T8" s="2">
        <v>1940</v>
      </c>
      <c r="U8" s="2">
        <v>1945</v>
      </c>
      <c r="V8" s="2">
        <v>1955</v>
      </c>
      <c r="W8" s="2">
        <v>1962</v>
      </c>
      <c r="X8" s="2">
        <v>1972</v>
      </c>
      <c r="Y8" s="2">
        <v>1983</v>
      </c>
      <c r="Z8" s="2">
        <v>1994</v>
      </c>
      <c r="AA8" s="2">
        <v>1994</v>
      </c>
      <c r="AB8" s="2">
        <v>1994</v>
      </c>
      <c r="AC8" s="2">
        <v>1973</v>
      </c>
      <c r="AD8" s="2">
        <v>1994</v>
      </c>
      <c r="AE8" s="2">
        <v>1999</v>
      </c>
      <c r="AF8" s="2">
        <v>2016</v>
      </c>
      <c r="AG8" s="2">
        <v>2032</v>
      </c>
      <c r="AH8" s="2">
        <v>2042</v>
      </c>
      <c r="AI8" s="2">
        <v>2014</v>
      </c>
      <c r="AJ8" s="2">
        <v>2021</v>
      </c>
      <c r="AK8" s="2">
        <v>2021</v>
      </c>
      <c r="AL8" s="2">
        <v>2021</v>
      </c>
      <c r="AM8" s="2">
        <v>2044</v>
      </c>
      <c r="AN8" s="2">
        <v>2061</v>
      </c>
      <c r="AO8" s="2">
        <v>2067</v>
      </c>
      <c r="AP8" s="2">
        <v>2044</v>
      </c>
      <c r="AQ8" s="2">
        <v>2021</v>
      </c>
      <c r="AR8" s="2">
        <v>2029</v>
      </c>
      <c r="AS8" s="2">
        <v>2039</v>
      </c>
      <c r="AT8" s="2">
        <v>2044</v>
      </c>
      <c r="AU8" s="2">
        <v>2057</v>
      </c>
      <c r="AV8" s="2">
        <v>2071</v>
      </c>
      <c r="AW8" s="2">
        <v>2071</v>
      </c>
      <c r="AX8" s="2">
        <v>2071</v>
      </c>
      <c r="AY8" s="2">
        <v>2040</v>
      </c>
      <c r="AZ8" s="2">
        <v>2017</v>
      </c>
      <c r="BA8" s="2">
        <v>2017</v>
      </c>
      <c r="BB8" s="2">
        <v>2017</v>
      </c>
      <c r="BC8" s="2">
        <v>1996</v>
      </c>
      <c r="BD8" s="2">
        <v>1996</v>
      </c>
      <c r="BE8" s="2">
        <v>1996</v>
      </c>
      <c r="BF8" s="2">
        <v>1996</v>
      </c>
      <c r="BG8" s="2">
        <v>1996</v>
      </c>
      <c r="BH8" s="2">
        <v>1996</v>
      </c>
      <c r="BI8" s="2">
        <v>1996</v>
      </c>
      <c r="BJ8" s="2">
        <v>1974</v>
      </c>
      <c r="BK8" s="2">
        <v>2004</v>
      </c>
      <c r="BL8" s="2">
        <v>1987</v>
      </c>
      <c r="BM8" s="2">
        <v>2023</v>
      </c>
      <c r="BN8" s="2">
        <v>2036</v>
      </c>
      <c r="BO8" s="2">
        <v>2000</v>
      </c>
      <c r="BP8" s="2">
        <v>2000</v>
      </c>
      <c r="BQ8" s="2">
        <v>2000</v>
      </c>
      <c r="BR8" s="2">
        <v>2000</v>
      </c>
      <c r="BS8" s="2">
        <v>2000</v>
      </c>
      <c r="BT8" s="2">
        <v>2000</v>
      </c>
      <c r="BU8" s="2">
        <v>2000</v>
      </c>
      <c r="BV8" s="2">
        <v>2000</v>
      </c>
      <c r="BW8" s="2">
        <v>2000</v>
      </c>
      <c r="BX8" s="2">
        <v>2000</v>
      </c>
      <c r="BY8" s="2">
        <v>2000</v>
      </c>
      <c r="BZ8" s="2">
        <v>2000</v>
      </c>
      <c r="CA8" s="2">
        <v>2000</v>
      </c>
      <c r="CB8" s="2">
        <v>2000</v>
      </c>
      <c r="CC8" s="2">
        <v>44</v>
      </c>
    </row>
    <row r="9" spans="1:81" s="2" customFormat="1" x14ac:dyDescent="0.35">
      <c r="A9" s="1" t="s">
        <v>644</v>
      </c>
      <c r="B9" s="2">
        <v>1977</v>
      </c>
      <c r="C9" s="2">
        <v>1989</v>
      </c>
      <c r="D9" s="2">
        <v>1998</v>
      </c>
      <c r="E9" s="2">
        <v>1979</v>
      </c>
      <c r="F9" s="2">
        <v>1987</v>
      </c>
      <c r="G9" s="2">
        <v>1987</v>
      </c>
      <c r="H9" s="2">
        <v>1987</v>
      </c>
      <c r="I9" s="2">
        <v>2002</v>
      </c>
      <c r="J9" s="2">
        <v>2002</v>
      </c>
      <c r="K9" s="2">
        <v>2002</v>
      </c>
      <c r="L9" s="2">
        <v>1983</v>
      </c>
      <c r="M9" s="2">
        <v>1983</v>
      </c>
      <c r="N9" s="2">
        <v>1983</v>
      </c>
      <c r="O9" s="2">
        <v>1992</v>
      </c>
      <c r="P9" s="2">
        <v>2001</v>
      </c>
      <c r="Q9" s="2">
        <v>2007</v>
      </c>
      <c r="R9" s="2">
        <v>2016</v>
      </c>
      <c r="S9" s="2">
        <v>2025</v>
      </c>
      <c r="T9" s="2">
        <v>2034</v>
      </c>
      <c r="U9" s="2">
        <v>2041</v>
      </c>
      <c r="V9" s="2">
        <v>2048</v>
      </c>
      <c r="W9" s="2">
        <v>2053</v>
      </c>
      <c r="X9" s="2">
        <v>2053</v>
      </c>
      <c r="Y9" s="2">
        <v>2053</v>
      </c>
      <c r="Z9" s="2">
        <v>2058</v>
      </c>
      <c r="AA9" s="2">
        <v>2067</v>
      </c>
      <c r="AB9" s="2">
        <v>2042</v>
      </c>
      <c r="AC9" s="2">
        <v>2048</v>
      </c>
      <c r="AD9" s="2">
        <v>2055</v>
      </c>
      <c r="AE9" s="2">
        <v>2061</v>
      </c>
      <c r="AF9" s="2">
        <v>2040</v>
      </c>
      <c r="AG9" s="2">
        <v>2059</v>
      </c>
      <c r="AH9" s="2">
        <v>2059</v>
      </c>
      <c r="AI9" s="2">
        <v>2059</v>
      </c>
      <c r="AJ9" s="2">
        <v>2065</v>
      </c>
      <c r="AK9" s="2">
        <v>2080</v>
      </c>
      <c r="AL9" s="2">
        <v>2096</v>
      </c>
      <c r="AM9" s="2">
        <v>2075</v>
      </c>
      <c r="AN9" s="2">
        <v>2097</v>
      </c>
      <c r="AO9" s="2">
        <v>2101</v>
      </c>
      <c r="AP9" s="2">
        <v>2109</v>
      </c>
      <c r="AQ9" s="2">
        <v>2119</v>
      </c>
      <c r="AR9" s="2">
        <v>2119</v>
      </c>
      <c r="AS9" s="2">
        <v>2119</v>
      </c>
      <c r="AT9" s="2">
        <v>2095</v>
      </c>
      <c r="AU9" s="2">
        <v>2065</v>
      </c>
      <c r="AV9" s="2">
        <v>2081</v>
      </c>
      <c r="AW9" s="2">
        <v>2054</v>
      </c>
      <c r="AX9" s="2">
        <v>2037</v>
      </c>
      <c r="AY9" s="2">
        <v>2013</v>
      </c>
      <c r="AZ9" s="2">
        <v>2037</v>
      </c>
      <c r="BA9" s="2">
        <v>2037</v>
      </c>
      <c r="BB9" s="2">
        <v>2037</v>
      </c>
      <c r="BC9" s="2">
        <v>2018</v>
      </c>
      <c r="BD9" s="2">
        <v>2018</v>
      </c>
      <c r="BE9" s="2">
        <v>2018</v>
      </c>
      <c r="BF9" s="2">
        <v>2018</v>
      </c>
      <c r="BG9" s="2">
        <v>2018</v>
      </c>
      <c r="BH9" s="2">
        <v>2018</v>
      </c>
      <c r="BI9" s="2">
        <v>2018</v>
      </c>
      <c r="BJ9" s="2">
        <v>2040</v>
      </c>
      <c r="BK9" s="2">
        <v>2010</v>
      </c>
      <c r="BL9" s="2">
        <v>2010</v>
      </c>
      <c r="BM9" s="2">
        <v>2010</v>
      </c>
      <c r="BN9" s="2">
        <v>1974</v>
      </c>
      <c r="BO9" s="2">
        <v>2000</v>
      </c>
      <c r="BP9" s="2">
        <v>2000</v>
      </c>
      <c r="BQ9" s="2">
        <v>2000</v>
      </c>
      <c r="BR9" s="2">
        <v>2000</v>
      </c>
      <c r="BS9" s="2">
        <v>2000</v>
      </c>
      <c r="BT9" s="2">
        <v>2000</v>
      </c>
      <c r="BU9" s="2">
        <v>2000</v>
      </c>
      <c r="BV9" s="2">
        <v>2000</v>
      </c>
      <c r="BW9" s="2">
        <v>2000</v>
      </c>
      <c r="BX9" s="2">
        <v>2000</v>
      </c>
      <c r="BY9" s="2">
        <v>2000</v>
      </c>
      <c r="BZ9" s="2">
        <v>2000</v>
      </c>
      <c r="CA9" s="2">
        <v>2000</v>
      </c>
      <c r="CB9" s="2">
        <v>2000</v>
      </c>
      <c r="CC9" s="2">
        <v>80</v>
      </c>
    </row>
    <row r="10" spans="1:81" s="2" customFormat="1" x14ac:dyDescent="0.35">
      <c r="A10" s="1" t="s">
        <v>467</v>
      </c>
      <c r="B10" s="2">
        <v>1928</v>
      </c>
      <c r="C10" s="2">
        <v>1936</v>
      </c>
      <c r="D10" s="2">
        <v>1942</v>
      </c>
      <c r="E10" s="2">
        <v>1948</v>
      </c>
      <c r="F10" s="2">
        <v>1956</v>
      </c>
      <c r="G10" s="2">
        <v>1956</v>
      </c>
      <c r="H10" s="2">
        <v>1956</v>
      </c>
      <c r="I10" s="2">
        <v>1930</v>
      </c>
      <c r="J10" s="2">
        <v>1930</v>
      </c>
      <c r="K10" s="2">
        <v>1930</v>
      </c>
      <c r="L10" s="2">
        <v>1914</v>
      </c>
      <c r="M10" s="2">
        <v>1914</v>
      </c>
      <c r="N10" s="2">
        <v>1914</v>
      </c>
      <c r="O10" s="2">
        <v>1926</v>
      </c>
      <c r="P10" s="2">
        <v>1936</v>
      </c>
      <c r="Q10" s="2">
        <v>1943</v>
      </c>
      <c r="R10" s="2">
        <v>1925</v>
      </c>
      <c r="S10" s="2">
        <v>1939</v>
      </c>
      <c r="T10" s="2">
        <v>1958</v>
      </c>
      <c r="U10" s="2">
        <v>1965</v>
      </c>
      <c r="V10" s="2">
        <v>1965</v>
      </c>
      <c r="W10" s="2">
        <v>1965</v>
      </c>
      <c r="X10" s="2">
        <v>1965</v>
      </c>
      <c r="Y10" s="2">
        <v>1965</v>
      </c>
      <c r="Z10" s="2">
        <v>1976</v>
      </c>
      <c r="AA10" s="2">
        <v>1984</v>
      </c>
      <c r="AB10" s="2">
        <v>1994</v>
      </c>
      <c r="AC10" s="2">
        <v>1976</v>
      </c>
      <c r="AD10" s="2">
        <v>1955</v>
      </c>
      <c r="AE10" s="2">
        <v>1967</v>
      </c>
      <c r="AF10" s="2">
        <v>1978</v>
      </c>
      <c r="AG10" s="2">
        <v>1987</v>
      </c>
      <c r="AH10" s="2">
        <v>1987</v>
      </c>
      <c r="AI10" s="2">
        <v>1987</v>
      </c>
      <c r="AJ10" s="2">
        <v>1995</v>
      </c>
      <c r="AK10" s="2">
        <v>1973</v>
      </c>
      <c r="AL10" s="2">
        <v>2000</v>
      </c>
      <c r="AM10" s="2">
        <v>2000</v>
      </c>
      <c r="AN10" s="2">
        <v>2000</v>
      </c>
      <c r="AO10" s="2">
        <v>1988</v>
      </c>
      <c r="AP10" s="2">
        <v>1963</v>
      </c>
      <c r="AQ10" s="2">
        <v>1948</v>
      </c>
      <c r="AR10" s="2">
        <v>1948</v>
      </c>
      <c r="AS10" s="2">
        <v>1948</v>
      </c>
      <c r="AT10" s="2">
        <v>1956</v>
      </c>
      <c r="AU10" s="2">
        <v>1989</v>
      </c>
      <c r="AV10" s="2">
        <v>2014</v>
      </c>
      <c r="AW10" s="2">
        <v>2014</v>
      </c>
      <c r="AX10" s="2">
        <v>2014</v>
      </c>
      <c r="AY10" s="2">
        <v>2038</v>
      </c>
      <c r="AZ10" s="2">
        <v>2014</v>
      </c>
      <c r="BA10" s="2">
        <v>2014</v>
      </c>
      <c r="BB10" s="2">
        <v>2014</v>
      </c>
      <c r="BC10" s="2">
        <v>2035</v>
      </c>
      <c r="BD10" s="2">
        <v>2056</v>
      </c>
      <c r="BE10" s="2">
        <v>2071</v>
      </c>
      <c r="BF10" s="2">
        <v>2071</v>
      </c>
      <c r="BG10" s="2">
        <v>2071</v>
      </c>
      <c r="BH10" s="2">
        <v>2071</v>
      </c>
      <c r="BI10" s="2">
        <v>2071</v>
      </c>
      <c r="BJ10" s="2">
        <v>2039</v>
      </c>
      <c r="BK10" s="2">
        <v>2059</v>
      </c>
      <c r="BL10" s="2">
        <v>2037</v>
      </c>
      <c r="BM10" s="2">
        <v>2014</v>
      </c>
      <c r="BN10" s="2">
        <v>2028</v>
      </c>
      <c r="BO10" s="2">
        <v>1982</v>
      </c>
      <c r="BP10" s="2">
        <v>1982</v>
      </c>
      <c r="BQ10" s="2">
        <v>1982</v>
      </c>
      <c r="BR10" s="2">
        <v>1982</v>
      </c>
      <c r="BS10" s="2">
        <v>1982</v>
      </c>
      <c r="BT10" s="2">
        <v>1982</v>
      </c>
      <c r="BU10" s="2">
        <v>1982</v>
      </c>
      <c r="BV10" s="2">
        <v>1982</v>
      </c>
      <c r="BW10" s="2">
        <v>1982</v>
      </c>
      <c r="BX10" s="2">
        <v>1982</v>
      </c>
      <c r="BY10" s="2">
        <v>1982</v>
      </c>
      <c r="BZ10" s="2">
        <v>1982</v>
      </c>
      <c r="CA10" s="2">
        <v>1982</v>
      </c>
      <c r="CB10" s="2">
        <v>1982</v>
      </c>
      <c r="CC10" s="2">
        <v>58</v>
      </c>
    </row>
    <row r="11" spans="1:81" s="2" customFormat="1" x14ac:dyDescent="0.35">
      <c r="A11" s="1" t="s">
        <v>704</v>
      </c>
      <c r="B11" s="2">
        <v>1810</v>
      </c>
      <c r="C11" s="2">
        <v>1822</v>
      </c>
      <c r="D11" s="2">
        <v>1835</v>
      </c>
      <c r="E11" s="2">
        <v>1849</v>
      </c>
      <c r="F11" s="2">
        <v>1833</v>
      </c>
      <c r="G11" s="2">
        <v>1833</v>
      </c>
      <c r="H11" s="2">
        <v>1833</v>
      </c>
      <c r="I11" s="2">
        <v>1845</v>
      </c>
      <c r="J11" s="2">
        <v>1858</v>
      </c>
      <c r="K11" s="2">
        <v>1858</v>
      </c>
      <c r="L11" s="2">
        <v>1867</v>
      </c>
      <c r="M11" s="2">
        <v>1878</v>
      </c>
      <c r="N11" s="2">
        <v>1889</v>
      </c>
      <c r="O11" s="2">
        <v>1914</v>
      </c>
      <c r="P11" s="2">
        <v>1927</v>
      </c>
      <c r="Q11" s="2">
        <v>1934</v>
      </c>
      <c r="R11" s="2">
        <v>1943</v>
      </c>
      <c r="S11" s="2">
        <v>1951</v>
      </c>
      <c r="T11" s="2">
        <v>1968</v>
      </c>
      <c r="U11" s="2">
        <v>1945</v>
      </c>
      <c r="V11" s="2">
        <v>1957</v>
      </c>
      <c r="W11" s="2">
        <v>1930</v>
      </c>
      <c r="X11" s="2">
        <v>1930</v>
      </c>
      <c r="Y11" s="2">
        <v>1930</v>
      </c>
      <c r="Z11" s="2">
        <v>1943</v>
      </c>
      <c r="AA11" s="2">
        <v>1964</v>
      </c>
      <c r="AB11" s="2">
        <v>1943</v>
      </c>
      <c r="AC11" s="2">
        <v>1957</v>
      </c>
      <c r="AD11" s="2">
        <v>1971</v>
      </c>
      <c r="AE11" s="2">
        <v>1981</v>
      </c>
      <c r="AF11" s="2">
        <v>1981</v>
      </c>
      <c r="AG11" s="2">
        <v>1981</v>
      </c>
      <c r="AH11" s="2">
        <v>1981</v>
      </c>
      <c r="AI11" s="2">
        <v>1981</v>
      </c>
      <c r="AJ11" s="2">
        <v>1992</v>
      </c>
      <c r="AK11" s="2">
        <v>1971</v>
      </c>
      <c r="AL11" s="2">
        <v>1995</v>
      </c>
      <c r="AM11" s="2">
        <v>1971</v>
      </c>
      <c r="AN11" s="2">
        <v>1998</v>
      </c>
      <c r="AO11" s="2">
        <v>2008</v>
      </c>
      <c r="AP11" s="2">
        <v>2008</v>
      </c>
      <c r="AQ11" s="2">
        <v>2008</v>
      </c>
      <c r="AR11" s="2">
        <v>2008</v>
      </c>
      <c r="AS11" s="2">
        <v>2008</v>
      </c>
      <c r="AT11" s="2">
        <v>1993</v>
      </c>
      <c r="AU11" s="2">
        <v>1993</v>
      </c>
      <c r="AV11" s="2">
        <v>1993</v>
      </c>
      <c r="AW11" s="2">
        <v>1993</v>
      </c>
      <c r="AX11" s="2">
        <v>1993</v>
      </c>
      <c r="AY11" s="2">
        <v>1993</v>
      </c>
      <c r="AZ11" s="2">
        <v>1993</v>
      </c>
      <c r="BA11" s="2">
        <v>1993</v>
      </c>
      <c r="BB11" s="2">
        <v>1993</v>
      </c>
      <c r="BC11" s="2">
        <v>1993</v>
      </c>
      <c r="BD11" s="2">
        <v>1993</v>
      </c>
      <c r="BE11" s="2">
        <v>1993</v>
      </c>
      <c r="BF11" s="2">
        <v>2012</v>
      </c>
      <c r="BG11" s="2">
        <v>1982</v>
      </c>
      <c r="BH11" s="2">
        <v>1982</v>
      </c>
      <c r="BI11" s="2">
        <v>1982</v>
      </c>
      <c r="BJ11" s="2">
        <v>1982</v>
      </c>
      <c r="BK11" s="2">
        <v>1982</v>
      </c>
      <c r="BL11" s="2">
        <v>1982</v>
      </c>
      <c r="BM11" s="2">
        <v>1982</v>
      </c>
      <c r="BN11" s="2">
        <v>1982</v>
      </c>
      <c r="BO11" s="2">
        <v>1982</v>
      </c>
      <c r="BP11" s="2">
        <v>1982</v>
      </c>
      <c r="BQ11" s="2">
        <v>1982</v>
      </c>
      <c r="BR11" s="2">
        <v>1982</v>
      </c>
      <c r="BS11" s="2">
        <v>1982</v>
      </c>
      <c r="BT11" s="2">
        <v>1982</v>
      </c>
      <c r="BU11" s="2">
        <v>1982</v>
      </c>
      <c r="BV11" s="2">
        <v>1982</v>
      </c>
      <c r="BW11" s="2">
        <v>1982</v>
      </c>
      <c r="BX11" s="2">
        <v>1982</v>
      </c>
      <c r="BY11" s="2">
        <v>1982</v>
      </c>
      <c r="BZ11" s="2">
        <v>1982</v>
      </c>
      <c r="CA11" s="2">
        <v>1982</v>
      </c>
      <c r="CB11" s="2">
        <v>1982</v>
      </c>
      <c r="CC11" s="2">
        <v>1</v>
      </c>
    </row>
    <row r="12" spans="1:81" s="2" customFormat="1" x14ac:dyDescent="0.35">
      <c r="A12" s="2" t="s">
        <v>718</v>
      </c>
      <c r="B12" s="2">
        <v>1908</v>
      </c>
      <c r="C12" s="2">
        <v>1889</v>
      </c>
      <c r="D12" s="2">
        <v>1898</v>
      </c>
      <c r="E12" s="2">
        <v>1909</v>
      </c>
      <c r="F12" s="2">
        <v>1920</v>
      </c>
      <c r="G12" s="2">
        <v>1920</v>
      </c>
      <c r="H12" s="2">
        <v>1920</v>
      </c>
      <c r="I12" s="2">
        <v>1928</v>
      </c>
      <c r="J12" s="2">
        <v>1928</v>
      </c>
      <c r="K12" s="2">
        <v>1938</v>
      </c>
      <c r="L12" s="2">
        <v>1945</v>
      </c>
      <c r="M12" s="2">
        <v>1945</v>
      </c>
      <c r="N12" s="2">
        <v>1945</v>
      </c>
      <c r="O12" s="2">
        <v>1957</v>
      </c>
      <c r="P12" s="2">
        <v>1968</v>
      </c>
      <c r="Q12" s="2">
        <v>1975</v>
      </c>
      <c r="R12" s="2">
        <v>1994</v>
      </c>
      <c r="S12" s="2">
        <v>1977</v>
      </c>
      <c r="T12" s="2">
        <v>1986</v>
      </c>
      <c r="U12" s="2">
        <v>1992</v>
      </c>
      <c r="V12" s="2">
        <v>2000</v>
      </c>
      <c r="W12" s="2">
        <v>2008</v>
      </c>
      <c r="X12" s="2">
        <v>2008</v>
      </c>
      <c r="Y12" s="2">
        <v>2008</v>
      </c>
      <c r="Z12" s="2">
        <v>1991</v>
      </c>
      <c r="AA12" s="2">
        <v>1999</v>
      </c>
      <c r="AB12" s="2">
        <v>2006</v>
      </c>
      <c r="AC12" s="2">
        <v>2024</v>
      </c>
      <c r="AD12" s="2">
        <v>2045</v>
      </c>
      <c r="AE12" s="2">
        <v>2026</v>
      </c>
      <c r="AF12" s="2">
        <v>2033</v>
      </c>
      <c r="AG12" s="2">
        <v>2040</v>
      </c>
      <c r="AH12" s="2">
        <v>2040</v>
      </c>
      <c r="AI12" s="2">
        <v>2040</v>
      </c>
      <c r="AJ12" s="2">
        <v>2045</v>
      </c>
      <c r="AK12" s="2">
        <v>2055</v>
      </c>
      <c r="AL12" s="2">
        <v>2064</v>
      </c>
      <c r="AM12" s="2">
        <v>2034</v>
      </c>
      <c r="AN12" s="2">
        <v>2008</v>
      </c>
      <c r="AO12" s="2">
        <v>1988</v>
      </c>
      <c r="AP12" s="2">
        <v>2011</v>
      </c>
      <c r="AQ12" s="2">
        <v>2034</v>
      </c>
      <c r="AR12" s="2">
        <v>2034</v>
      </c>
      <c r="AS12" s="2">
        <v>2034</v>
      </c>
      <c r="AT12" s="2">
        <v>2012</v>
      </c>
      <c r="AU12" s="2">
        <v>2032</v>
      </c>
      <c r="AV12" s="2">
        <v>2005</v>
      </c>
      <c r="AW12" s="2">
        <v>1986</v>
      </c>
      <c r="AX12" s="2">
        <v>1971</v>
      </c>
      <c r="AY12" s="2">
        <v>1971</v>
      </c>
      <c r="AZ12" s="2">
        <v>1971</v>
      </c>
      <c r="BA12" s="2">
        <v>1971</v>
      </c>
      <c r="BB12" s="2">
        <v>1971</v>
      </c>
      <c r="BC12" s="2">
        <v>1971</v>
      </c>
      <c r="BD12" s="2">
        <v>1971</v>
      </c>
      <c r="BE12" s="2">
        <v>1971</v>
      </c>
      <c r="BF12" s="2">
        <v>1971</v>
      </c>
      <c r="BG12" s="2">
        <v>1971</v>
      </c>
      <c r="BH12" s="2">
        <v>1971</v>
      </c>
      <c r="BI12" s="2">
        <v>1971</v>
      </c>
      <c r="BJ12" s="2">
        <v>1971</v>
      </c>
      <c r="BK12" s="2">
        <v>1971</v>
      </c>
      <c r="BL12" s="2">
        <v>1971</v>
      </c>
      <c r="BM12" s="2">
        <v>1971</v>
      </c>
      <c r="BN12" s="2">
        <v>1971</v>
      </c>
      <c r="BO12" s="2">
        <v>1971</v>
      </c>
      <c r="BP12" s="2">
        <v>1971</v>
      </c>
      <c r="BQ12" s="2">
        <v>1971</v>
      </c>
      <c r="BR12" s="2">
        <v>1971</v>
      </c>
      <c r="BS12" s="2">
        <v>1971</v>
      </c>
      <c r="BT12" s="2">
        <v>1971</v>
      </c>
      <c r="BU12" s="2">
        <v>1971</v>
      </c>
      <c r="BV12" s="2">
        <v>1971</v>
      </c>
      <c r="BW12" s="2">
        <v>1971</v>
      </c>
      <c r="BX12" s="2">
        <v>1971</v>
      </c>
      <c r="BY12" s="2">
        <v>1971</v>
      </c>
      <c r="BZ12" s="2">
        <v>1971</v>
      </c>
      <c r="CA12" s="2">
        <v>1971</v>
      </c>
      <c r="CB12" s="2">
        <v>1971</v>
      </c>
      <c r="CC12" s="2">
        <v>61</v>
      </c>
    </row>
    <row r="13" spans="1:81" s="2" customFormat="1" x14ac:dyDescent="0.35">
      <c r="A13" s="2" t="s">
        <v>731</v>
      </c>
      <c r="B13" s="2">
        <v>1940</v>
      </c>
      <c r="C13" s="2">
        <v>1949</v>
      </c>
      <c r="D13" s="2">
        <v>1931</v>
      </c>
      <c r="E13" s="2">
        <v>1913</v>
      </c>
      <c r="F13" s="2">
        <v>1895</v>
      </c>
      <c r="G13" s="2">
        <v>1895</v>
      </c>
      <c r="H13" s="2">
        <v>1895</v>
      </c>
      <c r="I13" s="2">
        <v>1907</v>
      </c>
      <c r="J13" s="2">
        <v>1907</v>
      </c>
      <c r="K13" s="2">
        <v>1907</v>
      </c>
      <c r="L13" s="2">
        <v>1917</v>
      </c>
      <c r="M13" s="2">
        <v>1917</v>
      </c>
      <c r="N13" s="2">
        <v>1917</v>
      </c>
      <c r="O13" s="2">
        <v>1926</v>
      </c>
      <c r="P13" s="2">
        <v>1936</v>
      </c>
      <c r="Q13" s="2">
        <v>1914</v>
      </c>
      <c r="R13" s="2">
        <v>1933</v>
      </c>
      <c r="S13" s="2">
        <v>1915</v>
      </c>
      <c r="T13" s="2">
        <v>1930</v>
      </c>
      <c r="U13" s="2">
        <v>1942</v>
      </c>
      <c r="V13" s="2">
        <v>1942</v>
      </c>
      <c r="W13" s="2">
        <v>1942</v>
      </c>
      <c r="X13" s="2">
        <v>1942</v>
      </c>
      <c r="Y13" s="2">
        <v>1942</v>
      </c>
      <c r="Z13" s="2">
        <v>1930</v>
      </c>
      <c r="AA13" s="2">
        <v>1945</v>
      </c>
      <c r="AB13" s="2">
        <v>1957</v>
      </c>
      <c r="AC13" s="2">
        <v>1975</v>
      </c>
      <c r="AD13" s="2">
        <v>1987</v>
      </c>
      <c r="AE13" s="2">
        <v>1999</v>
      </c>
      <c r="AF13" s="2">
        <v>2020</v>
      </c>
      <c r="AG13" s="2">
        <v>2001</v>
      </c>
      <c r="AH13" s="2">
        <v>2001</v>
      </c>
      <c r="AI13" s="2">
        <v>2001</v>
      </c>
      <c r="AJ13" s="2">
        <v>2007</v>
      </c>
      <c r="AK13" s="2">
        <v>2028</v>
      </c>
      <c r="AL13" s="2">
        <v>2004</v>
      </c>
      <c r="AM13" s="2">
        <v>2024</v>
      </c>
      <c r="AN13" s="2">
        <v>2041</v>
      </c>
      <c r="AO13" s="2">
        <v>2018</v>
      </c>
      <c r="AP13" s="2">
        <v>2018</v>
      </c>
      <c r="AQ13" s="2">
        <v>2018</v>
      </c>
      <c r="AR13" s="2">
        <v>2018</v>
      </c>
      <c r="AS13" s="2">
        <v>2018</v>
      </c>
      <c r="AT13" s="2">
        <v>2022</v>
      </c>
      <c r="AU13" s="2">
        <v>1989</v>
      </c>
      <c r="AV13" s="2">
        <v>1964</v>
      </c>
      <c r="AW13" s="2">
        <v>1964</v>
      </c>
      <c r="AX13" s="2">
        <v>1964</v>
      </c>
      <c r="AY13" s="2">
        <v>1964</v>
      </c>
      <c r="AZ13" s="2">
        <v>1964</v>
      </c>
      <c r="BA13" s="2">
        <v>1964</v>
      </c>
      <c r="BB13" s="2">
        <v>1964</v>
      </c>
      <c r="BC13" s="2">
        <v>1964</v>
      </c>
      <c r="BD13" s="2">
        <v>1964</v>
      </c>
      <c r="BE13" s="2">
        <v>1964</v>
      </c>
      <c r="BF13" s="2">
        <v>1964</v>
      </c>
      <c r="BG13" s="2">
        <v>1964</v>
      </c>
      <c r="BH13" s="2">
        <v>1964</v>
      </c>
      <c r="BI13" s="2">
        <v>1964</v>
      </c>
      <c r="BJ13" s="2">
        <v>1964</v>
      </c>
      <c r="BK13" s="2">
        <v>1964</v>
      </c>
      <c r="BL13" s="2">
        <v>1964</v>
      </c>
      <c r="BM13" s="2">
        <v>1964</v>
      </c>
      <c r="BN13" s="2">
        <v>1964</v>
      </c>
      <c r="BO13" s="2">
        <v>1964</v>
      </c>
      <c r="BP13" s="2">
        <v>1964</v>
      </c>
      <c r="BQ13" s="2">
        <v>1964</v>
      </c>
      <c r="BR13" s="2">
        <v>1964</v>
      </c>
      <c r="BS13" s="2">
        <v>1964</v>
      </c>
      <c r="BT13" s="2">
        <v>1964</v>
      </c>
      <c r="BU13" s="2">
        <v>1964</v>
      </c>
      <c r="BV13" s="2">
        <v>1964</v>
      </c>
      <c r="BW13" s="2">
        <v>1964</v>
      </c>
      <c r="BX13" s="2">
        <v>1964</v>
      </c>
      <c r="BY13" s="2">
        <v>1964</v>
      </c>
      <c r="BZ13" s="2">
        <v>1964</v>
      </c>
      <c r="CA13" s="2">
        <v>1964</v>
      </c>
      <c r="CB13" s="2">
        <v>1964</v>
      </c>
      <c r="CC13" s="2">
        <v>23</v>
      </c>
    </row>
    <row r="14" spans="1:81" s="2" customFormat="1" x14ac:dyDescent="0.35">
      <c r="A14" s="2" t="s">
        <v>670</v>
      </c>
      <c r="B14" s="2">
        <v>1927</v>
      </c>
      <c r="C14" s="2">
        <v>1936</v>
      </c>
      <c r="D14" s="2">
        <v>1918</v>
      </c>
      <c r="E14" s="2">
        <v>1926</v>
      </c>
      <c r="F14" s="2">
        <v>1904</v>
      </c>
      <c r="G14" s="2">
        <v>1904</v>
      </c>
      <c r="H14" s="2">
        <v>1904</v>
      </c>
      <c r="I14" s="2">
        <v>1913</v>
      </c>
      <c r="J14" s="2">
        <v>1913</v>
      </c>
      <c r="K14" s="2">
        <v>1913</v>
      </c>
      <c r="L14" s="2">
        <v>1898</v>
      </c>
      <c r="M14" s="2">
        <v>1898</v>
      </c>
      <c r="N14" s="2">
        <v>1898</v>
      </c>
      <c r="O14" s="2">
        <v>1873</v>
      </c>
      <c r="P14" s="2">
        <v>1860</v>
      </c>
      <c r="Q14" s="2">
        <v>1871</v>
      </c>
      <c r="R14" s="2">
        <v>1859</v>
      </c>
      <c r="S14" s="2">
        <v>1881</v>
      </c>
      <c r="T14" s="2">
        <v>1863</v>
      </c>
      <c r="U14" s="2">
        <v>1874</v>
      </c>
      <c r="V14" s="2">
        <v>1874</v>
      </c>
      <c r="W14" s="2">
        <v>1874</v>
      </c>
      <c r="X14" s="2">
        <v>1874</v>
      </c>
      <c r="Y14" s="2">
        <v>1874</v>
      </c>
      <c r="Z14" s="2">
        <v>1885</v>
      </c>
      <c r="AA14" s="2">
        <v>1898</v>
      </c>
      <c r="AB14" s="2">
        <v>1911</v>
      </c>
      <c r="AC14" s="2">
        <v>1911</v>
      </c>
      <c r="AD14" s="2">
        <v>1911</v>
      </c>
      <c r="AE14" s="2">
        <v>1918</v>
      </c>
      <c r="AF14" s="2">
        <v>1931</v>
      </c>
      <c r="AG14" s="2">
        <v>1943</v>
      </c>
      <c r="AH14" s="2">
        <v>1943</v>
      </c>
      <c r="AI14" s="2">
        <v>1943</v>
      </c>
      <c r="AJ14" s="2">
        <v>1932</v>
      </c>
      <c r="AK14" s="2">
        <v>1932</v>
      </c>
      <c r="AL14" s="2">
        <v>1932</v>
      </c>
      <c r="AM14" s="2">
        <v>1932</v>
      </c>
      <c r="AN14" s="2">
        <v>1932</v>
      </c>
      <c r="AO14" s="2">
        <v>1941</v>
      </c>
      <c r="AP14" s="2">
        <v>1924</v>
      </c>
      <c r="AQ14" s="2">
        <v>1957</v>
      </c>
      <c r="AR14" s="2">
        <v>1923</v>
      </c>
      <c r="AS14" s="2">
        <v>1900</v>
      </c>
      <c r="AT14" s="2">
        <v>1887</v>
      </c>
      <c r="AU14" s="2">
        <v>1887</v>
      </c>
      <c r="AV14" s="2">
        <v>1887</v>
      </c>
      <c r="AW14" s="2">
        <v>1905</v>
      </c>
      <c r="AX14" s="2">
        <v>1921</v>
      </c>
      <c r="AY14" s="2">
        <v>1921</v>
      </c>
      <c r="AZ14" s="2">
        <v>1921</v>
      </c>
      <c r="BA14" s="2">
        <v>1908</v>
      </c>
      <c r="BB14" s="2">
        <v>1939</v>
      </c>
      <c r="BC14" s="2">
        <v>1939</v>
      </c>
      <c r="BD14" s="2">
        <v>1939</v>
      </c>
      <c r="BE14" s="2">
        <v>1939</v>
      </c>
      <c r="BF14" s="2">
        <v>1939</v>
      </c>
      <c r="BG14" s="2">
        <v>1939</v>
      </c>
      <c r="BH14" s="2">
        <v>1939</v>
      </c>
      <c r="BI14" s="2">
        <v>1939</v>
      </c>
      <c r="BJ14" s="2">
        <v>1939</v>
      </c>
      <c r="BK14" s="2">
        <v>1939</v>
      </c>
      <c r="BL14" s="2">
        <v>1939</v>
      </c>
      <c r="BM14" s="2">
        <v>1939</v>
      </c>
      <c r="BN14" s="2">
        <v>1939</v>
      </c>
      <c r="BO14" s="2">
        <v>1939</v>
      </c>
      <c r="BP14" s="2">
        <v>1939</v>
      </c>
      <c r="BQ14" s="2">
        <v>1939</v>
      </c>
      <c r="BR14" s="2">
        <v>1939</v>
      </c>
      <c r="BS14" s="2">
        <v>1939</v>
      </c>
      <c r="BT14" s="2">
        <v>1939</v>
      </c>
      <c r="BU14" s="2">
        <v>1939</v>
      </c>
      <c r="BV14" s="2">
        <v>1939</v>
      </c>
      <c r="BW14" s="2">
        <v>1939</v>
      </c>
      <c r="BX14" s="2">
        <v>1939</v>
      </c>
      <c r="BY14" s="2">
        <v>1939</v>
      </c>
      <c r="BZ14" s="2">
        <v>1939</v>
      </c>
      <c r="CA14" s="2">
        <v>1939</v>
      </c>
      <c r="CB14" s="2">
        <v>1939</v>
      </c>
      <c r="CC14" s="2">
        <v>48</v>
      </c>
    </row>
    <row r="15" spans="1:81" s="2" customFormat="1" x14ac:dyDescent="0.35">
      <c r="A15" s="1" t="s">
        <v>747</v>
      </c>
      <c r="B15" s="2">
        <v>1840</v>
      </c>
      <c r="C15" s="2">
        <v>1854</v>
      </c>
      <c r="D15" s="2">
        <v>1871</v>
      </c>
      <c r="E15" s="2">
        <v>1884</v>
      </c>
      <c r="F15" s="2">
        <v>1896</v>
      </c>
      <c r="G15" s="2">
        <v>1896</v>
      </c>
      <c r="H15" s="2">
        <v>1896</v>
      </c>
      <c r="I15" s="2">
        <v>1875</v>
      </c>
      <c r="J15" s="2">
        <v>1875</v>
      </c>
      <c r="K15" s="2">
        <v>1891</v>
      </c>
      <c r="L15" s="2">
        <v>1879</v>
      </c>
      <c r="M15" s="2">
        <v>1879</v>
      </c>
      <c r="N15" s="2">
        <v>1879</v>
      </c>
      <c r="O15" s="2">
        <v>1851</v>
      </c>
      <c r="P15" s="2">
        <v>1867</v>
      </c>
      <c r="Q15" s="2">
        <v>1880</v>
      </c>
      <c r="R15" s="2">
        <v>1903</v>
      </c>
      <c r="S15" s="2">
        <v>1917</v>
      </c>
      <c r="T15" s="2">
        <v>1935</v>
      </c>
      <c r="U15" s="2">
        <v>1942</v>
      </c>
      <c r="V15" s="2">
        <v>1955</v>
      </c>
      <c r="W15" s="2">
        <v>1967</v>
      </c>
      <c r="X15" s="2">
        <v>1967</v>
      </c>
      <c r="Y15" s="2">
        <v>1967</v>
      </c>
      <c r="Z15" s="2">
        <v>1948</v>
      </c>
      <c r="AA15" s="2">
        <v>1958</v>
      </c>
      <c r="AB15" s="2">
        <v>1964</v>
      </c>
      <c r="AC15" s="2">
        <v>1941</v>
      </c>
      <c r="AD15" s="2">
        <v>1964</v>
      </c>
      <c r="AE15" s="2">
        <v>1971</v>
      </c>
      <c r="AF15" s="2">
        <v>1950</v>
      </c>
      <c r="AG15" s="2">
        <v>1931</v>
      </c>
      <c r="AH15" s="2">
        <v>1931</v>
      </c>
      <c r="AI15" s="2">
        <v>1931</v>
      </c>
      <c r="AJ15" s="2">
        <v>1936</v>
      </c>
      <c r="AK15" s="2">
        <v>1949</v>
      </c>
      <c r="AL15" s="2">
        <v>1958</v>
      </c>
      <c r="AM15" s="2">
        <v>1938</v>
      </c>
      <c r="AN15" s="2">
        <v>1921</v>
      </c>
      <c r="AO15" s="2">
        <v>1903</v>
      </c>
      <c r="AP15" s="2">
        <v>1903</v>
      </c>
      <c r="AQ15" s="2">
        <v>1903</v>
      </c>
      <c r="AR15" s="2">
        <v>1903</v>
      </c>
      <c r="AS15" s="2">
        <v>1903</v>
      </c>
      <c r="AT15" s="2">
        <v>1914</v>
      </c>
      <c r="AU15" s="2">
        <v>1944</v>
      </c>
      <c r="AV15" s="2">
        <v>1928</v>
      </c>
      <c r="AW15" s="2">
        <v>1928</v>
      </c>
      <c r="AX15" s="2">
        <v>1928</v>
      </c>
      <c r="AY15" s="2">
        <v>1928</v>
      </c>
      <c r="AZ15" s="2">
        <v>1928</v>
      </c>
      <c r="BA15" s="2">
        <v>1928</v>
      </c>
      <c r="BB15" s="2">
        <v>1928</v>
      </c>
      <c r="BC15" s="2">
        <v>1928</v>
      </c>
      <c r="BD15" s="2">
        <v>1928</v>
      </c>
      <c r="BE15" s="2">
        <v>1928</v>
      </c>
      <c r="BF15" s="2">
        <v>1909</v>
      </c>
      <c r="BG15" s="2">
        <v>1939</v>
      </c>
      <c r="BH15" s="2">
        <v>1903</v>
      </c>
      <c r="BI15" s="2">
        <v>1933</v>
      </c>
      <c r="BJ15" s="2">
        <v>1933</v>
      </c>
      <c r="BK15" s="2">
        <v>1933</v>
      </c>
      <c r="BL15" s="2">
        <v>1933</v>
      </c>
      <c r="BM15" s="2">
        <v>1933</v>
      </c>
      <c r="BN15" s="2">
        <v>1933</v>
      </c>
      <c r="BO15" s="2">
        <v>1933</v>
      </c>
      <c r="BP15" s="2">
        <v>1933</v>
      </c>
      <c r="BQ15" s="2">
        <v>1933</v>
      </c>
      <c r="BR15" s="2">
        <v>1933</v>
      </c>
      <c r="BS15" s="2">
        <v>1933</v>
      </c>
      <c r="BT15" s="2">
        <v>1933</v>
      </c>
      <c r="BU15" s="2">
        <v>1933</v>
      </c>
      <c r="BV15" s="2">
        <v>1933</v>
      </c>
      <c r="BW15" s="2">
        <v>1933</v>
      </c>
      <c r="BX15" s="2">
        <v>1933</v>
      </c>
      <c r="BY15" s="2">
        <v>1933</v>
      </c>
      <c r="BZ15" s="2">
        <v>1933</v>
      </c>
      <c r="CA15" s="2">
        <v>1933</v>
      </c>
      <c r="CB15" s="2">
        <v>1933</v>
      </c>
      <c r="CC15" s="2">
        <v>17</v>
      </c>
    </row>
    <row r="16" spans="1:81" s="2" customFormat="1" x14ac:dyDescent="0.35">
      <c r="A16" s="2" t="s">
        <v>328</v>
      </c>
      <c r="B16" s="2">
        <v>1808</v>
      </c>
      <c r="C16" s="2">
        <v>1819</v>
      </c>
      <c r="D16" s="2">
        <v>1829</v>
      </c>
      <c r="E16" s="2">
        <v>1849</v>
      </c>
      <c r="F16" s="2">
        <v>1859</v>
      </c>
      <c r="G16" s="2">
        <v>1859</v>
      </c>
      <c r="H16" s="2">
        <v>1859</v>
      </c>
      <c r="I16" s="2">
        <v>1870</v>
      </c>
      <c r="J16" s="2">
        <v>1870</v>
      </c>
      <c r="K16" s="2">
        <v>1870</v>
      </c>
      <c r="L16" s="2">
        <v>1883</v>
      </c>
      <c r="M16" s="2">
        <v>1883</v>
      </c>
      <c r="N16" s="2">
        <v>1883</v>
      </c>
      <c r="O16" s="2">
        <v>1897</v>
      </c>
      <c r="P16" s="2">
        <v>1909</v>
      </c>
      <c r="Q16" s="2">
        <v>1925</v>
      </c>
      <c r="R16" s="2">
        <v>1897</v>
      </c>
      <c r="S16" s="2">
        <v>1877</v>
      </c>
      <c r="T16" s="2">
        <v>1905</v>
      </c>
      <c r="U16" s="2">
        <v>1914</v>
      </c>
      <c r="V16" s="2">
        <v>1914</v>
      </c>
      <c r="W16" s="2">
        <v>1914</v>
      </c>
      <c r="X16" s="2">
        <v>1914</v>
      </c>
      <c r="Y16" s="2">
        <v>1914</v>
      </c>
      <c r="Z16" s="2">
        <v>1925</v>
      </c>
      <c r="AA16" s="2">
        <v>1938</v>
      </c>
      <c r="AB16" s="2">
        <v>1953</v>
      </c>
      <c r="AC16" s="2">
        <v>1967</v>
      </c>
      <c r="AD16" s="2">
        <v>1983</v>
      </c>
      <c r="AE16" s="2">
        <v>1966</v>
      </c>
      <c r="AF16" s="2">
        <v>1943</v>
      </c>
      <c r="AG16" s="2">
        <v>1960</v>
      </c>
      <c r="AH16" s="2">
        <v>1960</v>
      </c>
      <c r="AI16" s="2">
        <v>1960</v>
      </c>
      <c r="AJ16" s="2">
        <v>1947</v>
      </c>
      <c r="AK16" s="2">
        <v>1969</v>
      </c>
      <c r="AL16" s="2">
        <v>1942</v>
      </c>
      <c r="AM16" s="2">
        <v>1918</v>
      </c>
      <c r="AN16" s="2">
        <v>1941</v>
      </c>
      <c r="AO16" s="2">
        <v>1948</v>
      </c>
      <c r="AP16" s="2">
        <v>1948</v>
      </c>
      <c r="AQ16" s="2">
        <v>1948</v>
      </c>
      <c r="AR16" s="2">
        <v>1948</v>
      </c>
      <c r="AS16" s="2">
        <v>1948</v>
      </c>
      <c r="AT16" s="2">
        <v>1932</v>
      </c>
      <c r="AU16" s="2">
        <v>1932</v>
      </c>
      <c r="AV16" s="2">
        <v>1932</v>
      </c>
      <c r="AW16" s="2">
        <v>1932</v>
      </c>
      <c r="AX16" s="2">
        <v>1932</v>
      </c>
      <c r="AY16" s="2">
        <v>1932</v>
      </c>
      <c r="AZ16" s="2">
        <v>1932</v>
      </c>
      <c r="BA16" s="2">
        <v>1932</v>
      </c>
      <c r="BB16" s="2">
        <v>1932</v>
      </c>
      <c r="BC16" s="2">
        <v>1932</v>
      </c>
      <c r="BD16" s="2">
        <v>1932</v>
      </c>
      <c r="BE16" s="2">
        <v>1932</v>
      </c>
      <c r="BF16" s="2">
        <v>1932</v>
      </c>
      <c r="BG16" s="2">
        <v>1932</v>
      </c>
      <c r="BH16" s="2">
        <v>1932</v>
      </c>
      <c r="BI16" s="2">
        <v>1932</v>
      </c>
      <c r="BJ16" s="2">
        <v>1932</v>
      </c>
      <c r="BK16" s="2">
        <v>1932</v>
      </c>
      <c r="BL16" s="2">
        <v>1932</v>
      </c>
      <c r="BM16" s="2">
        <v>1932</v>
      </c>
      <c r="BN16" s="2">
        <v>1932</v>
      </c>
      <c r="BO16" s="2">
        <v>1932</v>
      </c>
      <c r="BP16" s="2">
        <v>1932</v>
      </c>
      <c r="BQ16" s="2">
        <v>1932</v>
      </c>
      <c r="BR16" s="2">
        <v>1932</v>
      </c>
      <c r="BS16" s="2">
        <v>1932</v>
      </c>
      <c r="BT16" s="2">
        <v>1932</v>
      </c>
      <c r="BU16" s="2">
        <v>1932</v>
      </c>
      <c r="BV16" s="2">
        <v>1932</v>
      </c>
      <c r="BW16" s="2">
        <v>1932</v>
      </c>
      <c r="BX16" s="2">
        <v>1932</v>
      </c>
      <c r="BY16" s="2">
        <v>1932</v>
      </c>
      <c r="BZ16" s="2">
        <v>1932</v>
      </c>
      <c r="CA16" s="2">
        <v>1932</v>
      </c>
      <c r="CB16" s="2">
        <v>1932</v>
      </c>
      <c r="CC16" s="2">
        <v>106</v>
      </c>
    </row>
    <row r="17" spans="1:81" s="2" customFormat="1" x14ac:dyDescent="0.35">
      <c r="A17" t="s">
        <v>648</v>
      </c>
      <c r="B17" s="2">
        <v>1881</v>
      </c>
      <c r="C17" s="2">
        <v>1890</v>
      </c>
      <c r="D17" s="2">
        <v>1874</v>
      </c>
      <c r="E17" s="2">
        <v>1883</v>
      </c>
      <c r="F17" s="2">
        <v>1865</v>
      </c>
      <c r="G17" s="2">
        <v>1865</v>
      </c>
      <c r="H17" s="2">
        <v>1865</v>
      </c>
      <c r="I17" s="2">
        <v>1874</v>
      </c>
      <c r="J17" s="2">
        <v>1874</v>
      </c>
      <c r="K17" s="2">
        <v>1886</v>
      </c>
      <c r="L17" s="2">
        <v>1892</v>
      </c>
      <c r="M17" s="2">
        <v>1892</v>
      </c>
      <c r="N17" s="2">
        <v>1892</v>
      </c>
      <c r="O17" s="2">
        <v>1906</v>
      </c>
      <c r="P17" s="2">
        <v>1884</v>
      </c>
      <c r="Q17" s="2">
        <v>1891</v>
      </c>
      <c r="R17" s="2">
        <v>1891</v>
      </c>
      <c r="S17" s="2">
        <v>1891</v>
      </c>
      <c r="T17" s="2">
        <v>1912</v>
      </c>
      <c r="U17" s="2">
        <v>1926</v>
      </c>
      <c r="V17" s="2">
        <v>1904</v>
      </c>
      <c r="W17" s="2">
        <v>1924</v>
      </c>
      <c r="X17" s="2">
        <v>1934</v>
      </c>
      <c r="Y17" s="2">
        <v>1913</v>
      </c>
      <c r="Z17" s="2">
        <v>1922</v>
      </c>
      <c r="AA17" s="2">
        <v>1922</v>
      </c>
      <c r="AB17" s="2">
        <v>1922</v>
      </c>
      <c r="AC17" s="2">
        <v>1945</v>
      </c>
      <c r="AD17" s="2">
        <v>1961</v>
      </c>
      <c r="AE17" s="2">
        <v>1970</v>
      </c>
      <c r="AF17" s="2">
        <v>1970</v>
      </c>
      <c r="AG17" s="2">
        <v>1970</v>
      </c>
      <c r="AH17" s="2">
        <v>1946</v>
      </c>
      <c r="AI17" s="2">
        <v>1958</v>
      </c>
      <c r="AJ17" s="2">
        <v>1945</v>
      </c>
      <c r="AK17" s="2">
        <v>1945</v>
      </c>
      <c r="AL17" s="2">
        <v>1945</v>
      </c>
      <c r="AM17" s="2">
        <v>1922</v>
      </c>
      <c r="AN17" s="2">
        <v>1905</v>
      </c>
      <c r="AO17" s="2">
        <v>1911</v>
      </c>
      <c r="AP17" s="2">
        <v>1911</v>
      </c>
      <c r="AQ17" s="2">
        <v>1911</v>
      </c>
      <c r="AR17" s="2">
        <v>1911</v>
      </c>
      <c r="AS17" s="2">
        <v>1911</v>
      </c>
      <c r="AT17" s="2">
        <v>1924</v>
      </c>
      <c r="AU17" s="2">
        <v>1924</v>
      </c>
      <c r="AV17" s="2">
        <v>1924</v>
      </c>
      <c r="AW17" s="2">
        <v>1924</v>
      </c>
      <c r="AX17" s="2">
        <v>1924</v>
      </c>
      <c r="AY17" s="2">
        <v>1924</v>
      </c>
      <c r="AZ17" s="2">
        <v>1924</v>
      </c>
      <c r="BA17" s="2">
        <v>1924</v>
      </c>
      <c r="BB17" s="2">
        <v>1924</v>
      </c>
      <c r="BC17" s="2">
        <v>1924</v>
      </c>
      <c r="BD17" s="2">
        <v>1924</v>
      </c>
      <c r="BE17" s="2">
        <v>1924</v>
      </c>
      <c r="BF17" s="2">
        <v>1924</v>
      </c>
      <c r="BG17" s="2">
        <v>1924</v>
      </c>
      <c r="BH17" s="2">
        <v>1924</v>
      </c>
      <c r="BI17" s="2">
        <v>1924</v>
      </c>
      <c r="BJ17" s="2">
        <v>1924</v>
      </c>
      <c r="BK17" s="2">
        <v>1924</v>
      </c>
      <c r="BL17" s="2">
        <v>1924</v>
      </c>
      <c r="BM17" s="2">
        <v>1924</v>
      </c>
      <c r="BN17" s="2">
        <v>1924</v>
      </c>
      <c r="BO17" s="2">
        <v>1924</v>
      </c>
      <c r="BP17" s="2">
        <v>1924</v>
      </c>
      <c r="BQ17" s="2">
        <v>1924</v>
      </c>
      <c r="BR17" s="2">
        <v>1924</v>
      </c>
      <c r="BS17" s="2">
        <v>1924</v>
      </c>
      <c r="BT17" s="2">
        <v>1924</v>
      </c>
      <c r="BU17" s="2">
        <v>1924</v>
      </c>
      <c r="BV17" s="2">
        <v>1924</v>
      </c>
      <c r="BW17" s="2">
        <v>1924</v>
      </c>
      <c r="BX17" s="2">
        <v>1924</v>
      </c>
      <c r="BY17" s="2">
        <v>1924</v>
      </c>
      <c r="BZ17" s="2">
        <v>1924</v>
      </c>
      <c r="CA17" s="2">
        <v>1924</v>
      </c>
      <c r="CB17" s="2">
        <v>1924</v>
      </c>
      <c r="CC17" s="2">
        <v>45</v>
      </c>
    </row>
    <row r="18" spans="1:81" s="2" customFormat="1" x14ac:dyDescent="0.35">
      <c r="A18" s="1" t="s">
        <v>647</v>
      </c>
      <c r="B18" s="2">
        <v>1802</v>
      </c>
      <c r="C18" s="2">
        <v>1814</v>
      </c>
      <c r="D18" s="2">
        <v>1797</v>
      </c>
      <c r="E18" s="2">
        <v>1811</v>
      </c>
      <c r="F18" s="2">
        <v>1823</v>
      </c>
      <c r="G18" s="2">
        <v>1823</v>
      </c>
      <c r="H18" s="2">
        <v>1823</v>
      </c>
      <c r="I18" s="2">
        <v>1843</v>
      </c>
      <c r="J18" s="2">
        <v>1843</v>
      </c>
      <c r="K18" s="2">
        <v>1843</v>
      </c>
      <c r="L18" s="2">
        <v>1859</v>
      </c>
      <c r="M18" s="2">
        <v>1844</v>
      </c>
      <c r="N18" s="2">
        <v>1828</v>
      </c>
      <c r="O18" s="2">
        <v>1844</v>
      </c>
      <c r="P18" s="2">
        <v>1861</v>
      </c>
      <c r="Q18" s="2">
        <v>1873</v>
      </c>
      <c r="R18" s="2">
        <v>1891</v>
      </c>
      <c r="S18" s="2">
        <v>1877</v>
      </c>
      <c r="T18" s="2">
        <v>1859</v>
      </c>
      <c r="U18" s="2">
        <v>1872</v>
      </c>
      <c r="V18" s="2">
        <v>1872</v>
      </c>
      <c r="W18" s="2">
        <v>1872</v>
      </c>
      <c r="X18" s="2">
        <v>1872</v>
      </c>
      <c r="Y18" s="2">
        <v>1872</v>
      </c>
      <c r="Z18" s="2">
        <v>1891</v>
      </c>
      <c r="AA18" s="2">
        <v>1908</v>
      </c>
      <c r="AB18" s="2">
        <v>1886</v>
      </c>
      <c r="AC18" s="2">
        <v>1886</v>
      </c>
      <c r="AD18" s="2">
        <v>1886</v>
      </c>
      <c r="AE18" s="2">
        <v>1876</v>
      </c>
      <c r="AF18" s="2">
        <v>1876</v>
      </c>
      <c r="AG18" s="2">
        <v>1876</v>
      </c>
      <c r="AH18" s="2">
        <v>1876</v>
      </c>
      <c r="AI18" s="2">
        <v>1876</v>
      </c>
      <c r="AJ18" s="2">
        <v>1860</v>
      </c>
      <c r="AK18" s="2">
        <v>1851</v>
      </c>
      <c r="AL18" s="2">
        <v>1839</v>
      </c>
      <c r="AM18" s="2">
        <v>1839</v>
      </c>
      <c r="AN18" s="2">
        <v>1839</v>
      </c>
      <c r="AO18" s="2">
        <v>1857</v>
      </c>
      <c r="AP18" s="2">
        <v>1857</v>
      </c>
      <c r="AQ18" s="2">
        <v>1857</v>
      </c>
      <c r="AR18" s="2">
        <v>1857</v>
      </c>
      <c r="AS18" s="2">
        <v>1857</v>
      </c>
      <c r="AT18" s="2">
        <v>1873</v>
      </c>
      <c r="AU18" s="2">
        <v>1873</v>
      </c>
      <c r="AV18" s="2">
        <v>1873</v>
      </c>
      <c r="AW18" s="2">
        <v>1873</v>
      </c>
      <c r="AX18" s="2">
        <v>1873</v>
      </c>
      <c r="AY18" s="2">
        <v>1873</v>
      </c>
      <c r="AZ18" s="2">
        <v>1873</v>
      </c>
      <c r="BA18" s="2">
        <v>1873</v>
      </c>
      <c r="BB18" s="2">
        <v>1873</v>
      </c>
      <c r="BC18" s="2">
        <v>1873</v>
      </c>
      <c r="BD18" s="2">
        <v>1873</v>
      </c>
      <c r="BE18" s="2">
        <v>1873</v>
      </c>
      <c r="BF18" s="2">
        <v>1907</v>
      </c>
      <c r="BG18" s="2">
        <v>1941</v>
      </c>
      <c r="BH18" s="2">
        <v>1941</v>
      </c>
      <c r="BI18" s="2">
        <v>1941</v>
      </c>
      <c r="BJ18" s="2">
        <v>1973</v>
      </c>
      <c r="BK18" s="2">
        <v>1953</v>
      </c>
      <c r="BL18" s="2">
        <v>1953</v>
      </c>
      <c r="BM18" s="2">
        <v>1953</v>
      </c>
      <c r="BN18" s="2">
        <v>1936</v>
      </c>
      <c r="BO18" s="2">
        <v>1923</v>
      </c>
      <c r="BP18" s="2">
        <v>1923</v>
      </c>
      <c r="BQ18" s="2">
        <v>1923</v>
      </c>
      <c r="BR18" s="2">
        <v>1923</v>
      </c>
      <c r="BS18" s="2">
        <v>1923</v>
      </c>
      <c r="BT18" s="2">
        <v>1923</v>
      </c>
      <c r="BU18" s="2">
        <v>1923</v>
      </c>
      <c r="BV18" s="2">
        <v>1923</v>
      </c>
      <c r="BW18" s="2">
        <v>1923</v>
      </c>
      <c r="BX18" s="2">
        <v>1923</v>
      </c>
      <c r="BY18" s="2">
        <v>1923</v>
      </c>
      <c r="BZ18" s="2">
        <v>1923</v>
      </c>
      <c r="CA18" s="2">
        <v>1923</v>
      </c>
      <c r="CB18" s="2">
        <v>1923</v>
      </c>
      <c r="CC18" s="2">
        <v>32</v>
      </c>
    </row>
    <row r="19" spans="1:81" s="2" customFormat="1" x14ac:dyDescent="0.35">
      <c r="A19" s="2" t="s">
        <v>663</v>
      </c>
      <c r="B19" s="2">
        <v>2050</v>
      </c>
      <c r="C19" s="2">
        <v>2056</v>
      </c>
      <c r="D19" s="2">
        <v>2060</v>
      </c>
      <c r="E19" s="2">
        <v>2037</v>
      </c>
      <c r="F19" s="2">
        <v>2043</v>
      </c>
      <c r="G19" s="2">
        <v>2043</v>
      </c>
      <c r="H19" s="2">
        <v>2043</v>
      </c>
      <c r="I19" s="2">
        <v>2028</v>
      </c>
      <c r="J19" s="2">
        <v>2028</v>
      </c>
      <c r="K19" s="2">
        <v>2028</v>
      </c>
      <c r="L19" s="2">
        <v>2035</v>
      </c>
      <c r="M19" s="2">
        <v>2035</v>
      </c>
      <c r="N19" s="2">
        <v>2035</v>
      </c>
      <c r="O19" s="2">
        <v>2041</v>
      </c>
      <c r="P19" s="2">
        <v>2047</v>
      </c>
      <c r="Q19" s="2">
        <v>2022</v>
      </c>
      <c r="R19" s="2">
        <v>2003</v>
      </c>
      <c r="S19" s="2">
        <v>2020</v>
      </c>
      <c r="T19" s="2">
        <v>1985</v>
      </c>
      <c r="U19" s="2">
        <v>1992</v>
      </c>
      <c r="V19" s="2">
        <v>1992</v>
      </c>
      <c r="W19" s="2">
        <v>1992</v>
      </c>
      <c r="X19" s="2">
        <v>1992</v>
      </c>
      <c r="Y19" s="2">
        <v>1992</v>
      </c>
      <c r="Z19" s="2">
        <v>1976</v>
      </c>
      <c r="AA19" s="2">
        <v>1956</v>
      </c>
      <c r="AB19" s="2">
        <v>1971</v>
      </c>
      <c r="AC19" s="2">
        <v>1971</v>
      </c>
      <c r="AD19" s="2">
        <v>1971</v>
      </c>
      <c r="AE19" s="2">
        <v>1978</v>
      </c>
      <c r="AF19" s="2">
        <v>1961</v>
      </c>
      <c r="AG19" s="2">
        <v>1945</v>
      </c>
      <c r="AH19" s="2">
        <v>1945</v>
      </c>
      <c r="AI19" s="2">
        <v>1945</v>
      </c>
      <c r="AJ19" s="2">
        <v>1930</v>
      </c>
      <c r="AK19" s="2">
        <v>1915</v>
      </c>
      <c r="AL19" s="2">
        <v>1899</v>
      </c>
      <c r="AM19" s="2">
        <v>1899</v>
      </c>
      <c r="AN19" s="2">
        <v>1899</v>
      </c>
      <c r="AO19" s="2">
        <v>1908</v>
      </c>
      <c r="AP19" s="2">
        <v>1908</v>
      </c>
      <c r="AQ19" s="2">
        <v>1908</v>
      </c>
      <c r="AR19" s="2">
        <v>1908</v>
      </c>
      <c r="AS19" s="2">
        <v>1908</v>
      </c>
      <c r="AT19" s="2">
        <v>1920</v>
      </c>
      <c r="AU19" s="2">
        <v>1920</v>
      </c>
      <c r="AV19" s="2">
        <v>1920</v>
      </c>
      <c r="AW19" s="2">
        <v>1920</v>
      </c>
      <c r="AX19" s="2">
        <v>1920</v>
      </c>
      <c r="AY19" s="2">
        <v>1920</v>
      </c>
      <c r="AZ19" s="2">
        <v>1920</v>
      </c>
      <c r="BA19" s="2">
        <v>1920</v>
      </c>
      <c r="BB19" s="2">
        <v>1920</v>
      </c>
      <c r="BC19" s="2">
        <v>1920</v>
      </c>
      <c r="BD19" s="2">
        <v>1920</v>
      </c>
      <c r="BE19" s="2">
        <v>1920</v>
      </c>
      <c r="BF19" s="2">
        <v>1920</v>
      </c>
      <c r="BG19" s="2">
        <v>1920</v>
      </c>
      <c r="BH19" s="2">
        <v>1920</v>
      </c>
      <c r="BI19" s="2">
        <v>1920</v>
      </c>
      <c r="BJ19" s="2">
        <v>1920</v>
      </c>
      <c r="BK19" s="2">
        <v>1920</v>
      </c>
      <c r="BL19" s="2">
        <v>1920</v>
      </c>
      <c r="BM19" s="2">
        <v>1920</v>
      </c>
      <c r="BN19" s="2">
        <v>1920</v>
      </c>
      <c r="BO19" s="2">
        <v>1920</v>
      </c>
      <c r="BP19" s="2">
        <v>1920</v>
      </c>
      <c r="BQ19" s="2">
        <v>1920</v>
      </c>
      <c r="BR19" s="2">
        <v>1920</v>
      </c>
      <c r="BS19" s="2">
        <v>1920</v>
      </c>
      <c r="BT19" s="2">
        <v>1920</v>
      </c>
      <c r="BU19" s="2">
        <v>1920</v>
      </c>
      <c r="BV19" s="2">
        <v>1920</v>
      </c>
      <c r="BW19" s="2">
        <v>1920</v>
      </c>
      <c r="BX19" s="2">
        <v>1920</v>
      </c>
      <c r="BY19" s="2">
        <v>1920</v>
      </c>
      <c r="BZ19" s="2">
        <v>1920</v>
      </c>
      <c r="CA19" s="2">
        <v>1920</v>
      </c>
      <c r="CB19" s="2">
        <v>1920</v>
      </c>
      <c r="CC19" s="2">
        <v>67</v>
      </c>
    </row>
    <row r="20" spans="1:81" s="2" customFormat="1" x14ac:dyDescent="0.35">
      <c r="A20" s="1" t="s">
        <v>465</v>
      </c>
      <c r="B20" s="2">
        <v>1690</v>
      </c>
      <c r="C20" s="2">
        <v>1703</v>
      </c>
      <c r="D20" s="2">
        <v>1720</v>
      </c>
      <c r="E20" s="2">
        <v>1741</v>
      </c>
      <c r="F20" s="2">
        <v>1756</v>
      </c>
      <c r="G20" s="2">
        <v>1773</v>
      </c>
      <c r="H20" s="2">
        <v>1790</v>
      </c>
      <c r="I20" s="2">
        <v>1775</v>
      </c>
      <c r="J20" s="2">
        <v>1796</v>
      </c>
      <c r="K20" s="2">
        <v>1780</v>
      </c>
      <c r="L20" s="2">
        <v>1794</v>
      </c>
      <c r="M20" s="2">
        <v>1811</v>
      </c>
      <c r="N20" s="2">
        <v>1792</v>
      </c>
      <c r="O20" s="2">
        <v>1792</v>
      </c>
      <c r="P20" s="2">
        <v>1792</v>
      </c>
      <c r="Q20" s="2">
        <v>1803</v>
      </c>
      <c r="R20" s="2">
        <v>1803</v>
      </c>
      <c r="S20" s="2">
        <v>1803</v>
      </c>
      <c r="T20" s="2">
        <v>1803</v>
      </c>
      <c r="U20" s="2">
        <v>1817</v>
      </c>
      <c r="V20" s="2">
        <v>1802</v>
      </c>
      <c r="W20" s="2">
        <v>1820</v>
      </c>
      <c r="X20" s="2">
        <v>1820</v>
      </c>
      <c r="Y20" s="2">
        <v>1820</v>
      </c>
      <c r="Z20" s="2">
        <v>1830</v>
      </c>
      <c r="AA20" s="2">
        <v>1830</v>
      </c>
      <c r="AB20" s="2">
        <v>1830</v>
      </c>
      <c r="AC20" s="2">
        <v>1830</v>
      </c>
      <c r="AD20" s="2">
        <v>1830</v>
      </c>
      <c r="AE20" s="2">
        <v>1823</v>
      </c>
      <c r="AF20" s="2">
        <v>1823</v>
      </c>
      <c r="AG20" s="2">
        <v>1823</v>
      </c>
      <c r="AH20" s="2">
        <v>1823</v>
      </c>
      <c r="AI20" s="2">
        <v>1823</v>
      </c>
      <c r="AJ20" s="2">
        <v>1838</v>
      </c>
      <c r="AK20" s="2">
        <v>1838</v>
      </c>
      <c r="AL20" s="2">
        <v>1838</v>
      </c>
      <c r="AM20" s="2">
        <v>1838</v>
      </c>
      <c r="AN20" s="2">
        <v>1838</v>
      </c>
      <c r="AO20" s="2">
        <v>1854</v>
      </c>
      <c r="AP20" s="2">
        <v>1854</v>
      </c>
      <c r="AQ20" s="2">
        <v>1854</v>
      </c>
      <c r="AR20" s="2">
        <v>1854</v>
      </c>
      <c r="AS20" s="2">
        <v>1854</v>
      </c>
      <c r="AT20" s="2">
        <v>1870</v>
      </c>
      <c r="AU20" s="2">
        <v>1870</v>
      </c>
      <c r="AV20" s="2">
        <v>1870</v>
      </c>
      <c r="AW20" s="2">
        <v>1870</v>
      </c>
      <c r="AX20" s="2">
        <v>1870</v>
      </c>
      <c r="AY20" s="2">
        <v>1870</v>
      </c>
      <c r="AZ20" s="2">
        <v>1870</v>
      </c>
      <c r="BA20" s="2">
        <v>1870</v>
      </c>
      <c r="BB20" s="2">
        <v>1870</v>
      </c>
      <c r="BC20" s="2">
        <v>1890</v>
      </c>
      <c r="BD20" s="2">
        <v>1890</v>
      </c>
      <c r="BE20" s="2">
        <v>1890</v>
      </c>
      <c r="BF20" s="2">
        <v>1890</v>
      </c>
      <c r="BG20" s="2">
        <v>1890</v>
      </c>
      <c r="BH20" s="2">
        <v>1890</v>
      </c>
      <c r="BI20" s="2">
        <v>1890</v>
      </c>
      <c r="BJ20" s="2">
        <v>1871</v>
      </c>
      <c r="BK20" s="2">
        <v>1854</v>
      </c>
      <c r="BL20" s="2">
        <v>1854</v>
      </c>
      <c r="BM20" s="2">
        <v>1854</v>
      </c>
      <c r="BN20" s="2">
        <v>1841</v>
      </c>
      <c r="BO20" s="2">
        <v>1877</v>
      </c>
      <c r="BP20" s="2">
        <v>1853</v>
      </c>
      <c r="BQ20" s="2">
        <v>1887</v>
      </c>
      <c r="BR20" s="2">
        <v>1875</v>
      </c>
      <c r="BS20" s="2">
        <v>1913</v>
      </c>
      <c r="BT20" s="2">
        <v>1913</v>
      </c>
      <c r="BU20" s="2">
        <v>1913</v>
      </c>
      <c r="BV20" s="2">
        <v>1913</v>
      </c>
      <c r="BW20" s="2">
        <v>1913</v>
      </c>
      <c r="BX20" s="2">
        <v>1913</v>
      </c>
      <c r="BY20" s="2">
        <v>1913</v>
      </c>
      <c r="BZ20" s="2">
        <v>1913</v>
      </c>
      <c r="CA20" s="2">
        <v>1913</v>
      </c>
      <c r="CB20" s="2">
        <v>1913</v>
      </c>
      <c r="CC20" s="2">
        <v>25</v>
      </c>
    </row>
    <row r="21" spans="1:81" s="2" customFormat="1" x14ac:dyDescent="0.35">
      <c r="A21" s="2" t="s">
        <v>758</v>
      </c>
      <c r="B21" s="2">
        <v>1772</v>
      </c>
      <c r="C21" s="2">
        <v>1792</v>
      </c>
      <c r="D21" s="2">
        <v>1808</v>
      </c>
      <c r="E21" s="2">
        <v>1821</v>
      </c>
      <c r="F21" s="2">
        <v>1807</v>
      </c>
      <c r="G21" s="2">
        <v>1807</v>
      </c>
      <c r="H21" s="2">
        <v>1823</v>
      </c>
      <c r="I21" s="2">
        <v>1807</v>
      </c>
      <c r="J21" s="2">
        <v>1824</v>
      </c>
      <c r="K21" s="2">
        <v>1840</v>
      </c>
      <c r="L21" s="2">
        <v>1852</v>
      </c>
      <c r="M21" s="2">
        <v>1867</v>
      </c>
      <c r="N21" s="2">
        <v>1883</v>
      </c>
      <c r="O21" s="2">
        <v>1883</v>
      </c>
      <c r="P21" s="2">
        <v>1883</v>
      </c>
      <c r="Q21" s="2">
        <v>1896</v>
      </c>
      <c r="R21" s="2">
        <v>1896</v>
      </c>
      <c r="S21" s="2">
        <v>1896</v>
      </c>
      <c r="T21" s="2">
        <v>1879</v>
      </c>
      <c r="U21" s="2">
        <v>1886</v>
      </c>
      <c r="V21" s="2">
        <v>1901</v>
      </c>
      <c r="W21" s="2">
        <v>1883</v>
      </c>
      <c r="X21" s="2">
        <v>1883</v>
      </c>
      <c r="Y21" s="2">
        <v>1883</v>
      </c>
      <c r="Z21" s="2">
        <v>1895</v>
      </c>
      <c r="AA21" s="2">
        <v>1895</v>
      </c>
      <c r="AB21" s="2">
        <v>1895</v>
      </c>
      <c r="AC21" s="2">
        <v>1895</v>
      </c>
      <c r="AD21" s="2">
        <v>1895</v>
      </c>
      <c r="AE21" s="2">
        <v>1908</v>
      </c>
      <c r="AF21" s="2">
        <v>1931</v>
      </c>
      <c r="AG21" s="2">
        <v>1914</v>
      </c>
      <c r="AH21" s="2">
        <v>1914</v>
      </c>
      <c r="AI21" s="2">
        <v>1914</v>
      </c>
      <c r="AJ21" s="2">
        <v>1922</v>
      </c>
      <c r="AK21" s="2">
        <v>1922</v>
      </c>
      <c r="AL21" s="2">
        <v>1922</v>
      </c>
      <c r="AM21" s="2">
        <v>1922</v>
      </c>
      <c r="AN21" s="2">
        <v>1922</v>
      </c>
      <c r="AO21" s="2">
        <v>1912</v>
      </c>
      <c r="AP21" s="2">
        <v>1896</v>
      </c>
      <c r="AQ21" s="2">
        <v>1879</v>
      </c>
      <c r="AR21" s="2">
        <v>1879</v>
      </c>
      <c r="AS21" s="2">
        <v>1879</v>
      </c>
      <c r="AT21" s="2">
        <v>1889</v>
      </c>
      <c r="AU21" s="2">
        <v>1889</v>
      </c>
      <c r="AV21" s="2">
        <v>1889</v>
      </c>
      <c r="AW21" s="2">
        <v>1889</v>
      </c>
      <c r="AX21" s="2">
        <v>1889</v>
      </c>
      <c r="AY21" s="2">
        <v>1889</v>
      </c>
      <c r="AZ21" s="2">
        <v>1889</v>
      </c>
      <c r="BA21" s="2">
        <v>1889</v>
      </c>
      <c r="BB21" s="2">
        <v>1889</v>
      </c>
      <c r="BC21" s="2">
        <v>1889</v>
      </c>
      <c r="BD21" s="2">
        <v>1889</v>
      </c>
      <c r="BE21" s="2">
        <v>1889</v>
      </c>
      <c r="BF21" s="2">
        <v>1889</v>
      </c>
      <c r="BG21" s="2">
        <v>1889</v>
      </c>
      <c r="BH21" s="2">
        <v>1889</v>
      </c>
      <c r="BI21" s="2">
        <v>1889</v>
      </c>
      <c r="BJ21" s="2">
        <v>1889</v>
      </c>
      <c r="BK21" s="2">
        <v>1889</v>
      </c>
      <c r="BL21" s="2">
        <v>1889</v>
      </c>
      <c r="BM21" s="2">
        <v>1889</v>
      </c>
      <c r="BN21" s="2">
        <v>1889</v>
      </c>
      <c r="BO21" s="2">
        <v>1889</v>
      </c>
      <c r="BP21" s="2">
        <v>1889</v>
      </c>
      <c r="BQ21" s="2">
        <v>1889</v>
      </c>
      <c r="BR21" s="2">
        <v>1889</v>
      </c>
      <c r="BS21" s="2">
        <v>1889</v>
      </c>
      <c r="BT21" s="2">
        <v>1889</v>
      </c>
      <c r="BU21" s="2">
        <v>1889</v>
      </c>
      <c r="BV21" s="2">
        <v>1889</v>
      </c>
      <c r="BW21" s="2">
        <v>1889</v>
      </c>
      <c r="BX21" s="2">
        <v>1889</v>
      </c>
      <c r="BY21" s="2">
        <v>1889</v>
      </c>
      <c r="BZ21" s="2">
        <v>1889</v>
      </c>
      <c r="CA21" s="2">
        <v>1889</v>
      </c>
      <c r="CB21" s="2">
        <v>1889</v>
      </c>
      <c r="CC21" s="2">
        <v>12</v>
      </c>
    </row>
    <row r="22" spans="1:81" s="2" customFormat="1" x14ac:dyDescent="0.35">
      <c r="A22" s="2" t="s">
        <v>651</v>
      </c>
      <c r="B22" s="2">
        <v>1800</v>
      </c>
      <c r="C22" s="2">
        <v>1818</v>
      </c>
      <c r="D22" s="2">
        <v>1830</v>
      </c>
      <c r="E22" s="2">
        <v>1841</v>
      </c>
      <c r="F22" s="2">
        <v>1854</v>
      </c>
      <c r="G22" s="2">
        <v>1854</v>
      </c>
      <c r="H22" s="2">
        <v>1854</v>
      </c>
      <c r="I22" s="2">
        <v>1842</v>
      </c>
      <c r="J22" s="2">
        <v>1818</v>
      </c>
      <c r="K22" s="2">
        <v>1834</v>
      </c>
      <c r="L22" s="2">
        <v>1846</v>
      </c>
      <c r="M22" s="2">
        <v>1846</v>
      </c>
      <c r="N22" s="2">
        <v>1846</v>
      </c>
      <c r="O22" s="2">
        <v>1829</v>
      </c>
      <c r="P22" s="2">
        <v>1844</v>
      </c>
      <c r="Q22" s="2">
        <v>1854</v>
      </c>
      <c r="R22" s="2">
        <v>1854</v>
      </c>
      <c r="S22" s="2">
        <v>1854</v>
      </c>
      <c r="T22" s="2">
        <v>1830</v>
      </c>
      <c r="U22" s="2">
        <v>1840</v>
      </c>
      <c r="V22" s="2">
        <v>1840</v>
      </c>
      <c r="W22" s="2">
        <v>1840</v>
      </c>
      <c r="X22" s="2">
        <v>1859</v>
      </c>
      <c r="Y22" s="2">
        <v>1872</v>
      </c>
      <c r="Z22" s="2">
        <v>1878</v>
      </c>
      <c r="AA22" s="2">
        <v>1878</v>
      </c>
      <c r="AB22" s="2">
        <v>1878</v>
      </c>
      <c r="AC22" s="2">
        <v>1878</v>
      </c>
      <c r="AD22" s="2">
        <v>1878</v>
      </c>
      <c r="AE22" s="2">
        <v>1889</v>
      </c>
      <c r="AF22" s="2">
        <v>1889</v>
      </c>
      <c r="AG22" s="2">
        <v>1889</v>
      </c>
      <c r="AH22" s="2">
        <v>1907</v>
      </c>
      <c r="AI22" s="2">
        <v>1922</v>
      </c>
      <c r="AJ22" s="2">
        <v>1930</v>
      </c>
      <c r="AK22" s="2">
        <v>1930</v>
      </c>
      <c r="AL22" s="2">
        <v>1930</v>
      </c>
      <c r="AM22" s="2">
        <v>1930</v>
      </c>
      <c r="AN22" s="2">
        <v>1930</v>
      </c>
      <c r="AO22" s="2">
        <v>1908</v>
      </c>
      <c r="AP22" s="2">
        <v>1908</v>
      </c>
      <c r="AQ22" s="2">
        <v>1908</v>
      </c>
      <c r="AR22" s="2">
        <v>1882</v>
      </c>
      <c r="AS22" s="2">
        <v>1902</v>
      </c>
      <c r="AT22" s="2">
        <v>1917</v>
      </c>
      <c r="AU22" s="2">
        <v>1899</v>
      </c>
      <c r="AV22" s="2">
        <v>1885</v>
      </c>
      <c r="AW22" s="2">
        <v>1885</v>
      </c>
      <c r="AX22" s="2">
        <v>1885</v>
      </c>
      <c r="AY22" s="2">
        <v>1885</v>
      </c>
      <c r="AZ22" s="2">
        <v>1885</v>
      </c>
      <c r="BA22" s="2">
        <v>1885</v>
      </c>
      <c r="BB22" s="2">
        <v>1885</v>
      </c>
      <c r="BC22" s="2">
        <v>1885</v>
      </c>
      <c r="BD22" s="2">
        <v>1885</v>
      </c>
      <c r="BE22" s="2">
        <v>1885</v>
      </c>
      <c r="BF22" s="2">
        <v>1885</v>
      </c>
      <c r="BG22" s="2">
        <v>1885</v>
      </c>
      <c r="BH22" s="2">
        <v>1885</v>
      </c>
      <c r="BI22" s="2">
        <v>1885</v>
      </c>
      <c r="BJ22" s="2">
        <v>1885</v>
      </c>
      <c r="BK22" s="2">
        <v>1885</v>
      </c>
      <c r="BL22" s="2">
        <v>1885</v>
      </c>
      <c r="BM22" s="2">
        <v>1885</v>
      </c>
      <c r="BN22" s="2">
        <v>1885</v>
      </c>
      <c r="BO22" s="2">
        <v>1885</v>
      </c>
      <c r="BP22" s="2">
        <v>1885</v>
      </c>
      <c r="BQ22" s="2">
        <v>1885</v>
      </c>
      <c r="BR22" s="2">
        <v>1885</v>
      </c>
      <c r="BS22" s="2">
        <v>1885</v>
      </c>
      <c r="BT22" s="2">
        <v>1885</v>
      </c>
      <c r="BU22" s="2">
        <v>1885</v>
      </c>
      <c r="BV22" s="2">
        <v>1885</v>
      </c>
      <c r="BW22" s="2">
        <v>1885</v>
      </c>
      <c r="BX22" s="2">
        <v>1885</v>
      </c>
      <c r="BY22" s="2">
        <v>1885</v>
      </c>
      <c r="BZ22" s="2">
        <v>1885</v>
      </c>
      <c r="CA22" s="2">
        <v>1885</v>
      </c>
      <c r="CB22" s="2">
        <v>1885</v>
      </c>
      <c r="CC22" s="2">
        <v>89</v>
      </c>
    </row>
    <row r="23" spans="1:81" s="2" customFormat="1" x14ac:dyDescent="0.35">
      <c r="A23" s="1" t="s">
        <v>640</v>
      </c>
      <c r="B23" s="2">
        <v>1793</v>
      </c>
      <c r="C23" s="2">
        <v>1802</v>
      </c>
      <c r="D23" s="2">
        <v>1813</v>
      </c>
      <c r="E23" s="2">
        <v>1802</v>
      </c>
      <c r="F23" s="2">
        <v>1817</v>
      </c>
      <c r="G23" s="2">
        <v>1817</v>
      </c>
      <c r="H23" s="2">
        <v>1817</v>
      </c>
      <c r="I23" s="2">
        <v>1833</v>
      </c>
      <c r="J23" s="2">
        <v>1833</v>
      </c>
      <c r="K23" s="2">
        <v>1855</v>
      </c>
      <c r="L23" s="2">
        <v>1839</v>
      </c>
      <c r="M23" s="2">
        <v>1816</v>
      </c>
      <c r="N23" s="2">
        <v>1835</v>
      </c>
      <c r="O23" s="2">
        <v>1854</v>
      </c>
      <c r="P23" s="2">
        <v>1840</v>
      </c>
      <c r="Q23" s="2">
        <v>1853</v>
      </c>
      <c r="R23" s="2">
        <v>1853</v>
      </c>
      <c r="S23" s="2">
        <v>1853</v>
      </c>
      <c r="T23" s="2">
        <v>1871</v>
      </c>
      <c r="U23" s="2">
        <v>1890</v>
      </c>
      <c r="V23" s="2">
        <v>1890</v>
      </c>
      <c r="W23" s="2">
        <v>1890</v>
      </c>
      <c r="X23" s="2">
        <v>1868</v>
      </c>
      <c r="Y23" s="2">
        <v>1879</v>
      </c>
      <c r="Z23" s="2">
        <v>1888</v>
      </c>
      <c r="AA23" s="2">
        <v>1888</v>
      </c>
      <c r="AB23" s="2">
        <v>1888</v>
      </c>
      <c r="AC23" s="2">
        <v>1917</v>
      </c>
      <c r="AD23" s="2">
        <v>1898</v>
      </c>
      <c r="AE23" s="2">
        <v>1904</v>
      </c>
      <c r="AF23" s="2">
        <v>1904</v>
      </c>
      <c r="AG23" s="2">
        <v>1904</v>
      </c>
      <c r="AH23" s="2">
        <v>1920</v>
      </c>
      <c r="AI23" s="2">
        <v>1938</v>
      </c>
      <c r="AJ23" s="2">
        <v>1951</v>
      </c>
      <c r="AK23" s="2">
        <v>1951</v>
      </c>
      <c r="AL23" s="2">
        <v>1951</v>
      </c>
      <c r="AM23" s="2">
        <v>1951</v>
      </c>
      <c r="AN23" s="2">
        <v>1951</v>
      </c>
      <c r="AO23" s="2">
        <v>1957</v>
      </c>
      <c r="AP23" s="2">
        <v>1957</v>
      </c>
      <c r="AQ23" s="2">
        <v>1957</v>
      </c>
      <c r="AR23" s="2">
        <v>1927</v>
      </c>
      <c r="AS23" s="2">
        <v>1945</v>
      </c>
      <c r="AT23" s="2">
        <v>1960</v>
      </c>
      <c r="AU23" s="2">
        <v>1931</v>
      </c>
      <c r="AV23" s="2">
        <v>1947</v>
      </c>
      <c r="AW23" s="2">
        <v>1947</v>
      </c>
      <c r="AX23" s="2">
        <v>1947</v>
      </c>
      <c r="AY23" s="2">
        <v>1978</v>
      </c>
      <c r="AZ23" s="2">
        <v>2001</v>
      </c>
      <c r="BA23" s="2">
        <v>2001</v>
      </c>
      <c r="BB23" s="2">
        <v>2001</v>
      </c>
      <c r="BC23" s="2">
        <v>1982</v>
      </c>
      <c r="BD23" s="2">
        <v>1964</v>
      </c>
      <c r="BE23" s="2">
        <v>1952</v>
      </c>
      <c r="BF23" s="2">
        <v>1918</v>
      </c>
      <c r="BG23" s="2">
        <v>1884</v>
      </c>
      <c r="BH23" s="2">
        <v>1920</v>
      </c>
      <c r="BI23" s="2">
        <v>1890</v>
      </c>
      <c r="BJ23" s="2">
        <v>1876</v>
      </c>
      <c r="BK23" s="2">
        <v>1861</v>
      </c>
      <c r="BL23" s="2">
        <v>1861</v>
      </c>
      <c r="BM23" s="2">
        <v>1861</v>
      </c>
      <c r="BN23" s="2">
        <v>1847</v>
      </c>
      <c r="BO23" s="2">
        <v>1893</v>
      </c>
      <c r="BP23" s="2">
        <v>1917</v>
      </c>
      <c r="BQ23" s="2">
        <v>1883</v>
      </c>
      <c r="BR23" s="2">
        <v>1883</v>
      </c>
      <c r="BS23" s="2">
        <v>1883</v>
      </c>
      <c r="BT23" s="2">
        <v>1883</v>
      </c>
      <c r="BU23" s="2">
        <v>1883</v>
      </c>
      <c r="BV23" s="2">
        <v>1883</v>
      </c>
      <c r="BW23" s="2">
        <v>1883</v>
      </c>
      <c r="BX23" s="2">
        <v>1883</v>
      </c>
      <c r="BY23" s="2">
        <v>1883</v>
      </c>
      <c r="BZ23" s="2">
        <v>1883</v>
      </c>
      <c r="CA23" s="2">
        <v>1883</v>
      </c>
      <c r="CB23" s="2">
        <v>1883</v>
      </c>
      <c r="CC23" s="2">
        <v>4</v>
      </c>
    </row>
    <row r="24" spans="1:81" s="2" customFormat="1" x14ac:dyDescent="0.35">
      <c r="A24" s="2" t="s">
        <v>334</v>
      </c>
      <c r="B24" s="2">
        <v>1802</v>
      </c>
      <c r="C24" s="2">
        <v>1817</v>
      </c>
      <c r="D24" s="2">
        <v>1829</v>
      </c>
      <c r="E24" s="2">
        <v>1818</v>
      </c>
      <c r="F24" s="2">
        <v>1836</v>
      </c>
      <c r="G24" s="2">
        <v>1836</v>
      </c>
      <c r="H24" s="2">
        <v>1836</v>
      </c>
      <c r="I24" s="2">
        <v>1849</v>
      </c>
      <c r="J24" s="2">
        <v>1849</v>
      </c>
      <c r="K24" s="2">
        <v>1866</v>
      </c>
      <c r="L24" s="2">
        <v>1878</v>
      </c>
      <c r="M24" s="2">
        <v>1878</v>
      </c>
      <c r="N24" s="2">
        <v>1878</v>
      </c>
      <c r="O24" s="2">
        <v>1894</v>
      </c>
      <c r="P24" s="2">
        <v>1908</v>
      </c>
      <c r="Q24" s="2">
        <v>1895</v>
      </c>
      <c r="R24" s="2">
        <v>1895</v>
      </c>
      <c r="S24" s="2">
        <v>1895</v>
      </c>
      <c r="T24" s="2">
        <v>1912</v>
      </c>
      <c r="U24" s="2">
        <v>1900</v>
      </c>
      <c r="V24" s="2">
        <v>1913</v>
      </c>
      <c r="W24" s="2">
        <v>1886</v>
      </c>
      <c r="X24" s="2">
        <v>1864</v>
      </c>
      <c r="Y24" s="2">
        <v>1875</v>
      </c>
      <c r="Z24" s="2">
        <v>1883</v>
      </c>
      <c r="AA24" s="2">
        <v>1883</v>
      </c>
      <c r="AB24" s="2">
        <v>1883</v>
      </c>
      <c r="AC24" s="2">
        <v>1896</v>
      </c>
      <c r="AD24" s="2">
        <v>1860</v>
      </c>
      <c r="AE24" s="2">
        <v>1879</v>
      </c>
      <c r="AF24" s="2">
        <v>1879</v>
      </c>
      <c r="AG24" s="2">
        <v>1879</v>
      </c>
      <c r="AH24" s="2">
        <v>1854</v>
      </c>
      <c r="AI24" s="2">
        <v>1876</v>
      </c>
      <c r="AJ24" s="2">
        <v>1881</v>
      </c>
      <c r="AK24" s="2">
        <v>1881</v>
      </c>
      <c r="AL24" s="2">
        <v>1881</v>
      </c>
      <c r="AM24" s="2">
        <v>1905</v>
      </c>
      <c r="AN24" s="2">
        <v>1882</v>
      </c>
      <c r="AO24" s="2">
        <v>1890</v>
      </c>
      <c r="AP24" s="2">
        <v>1890</v>
      </c>
      <c r="AQ24" s="2">
        <v>1890</v>
      </c>
      <c r="AR24" s="2">
        <v>1865</v>
      </c>
      <c r="AS24" s="2">
        <v>1883</v>
      </c>
      <c r="AT24" s="2">
        <v>1892</v>
      </c>
      <c r="AU24" s="2">
        <v>1892</v>
      </c>
      <c r="AV24" s="2">
        <v>1892</v>
      </c>
      <c r="AW24" s="2">
        <v>1892</v>
      </c>
      <c r="AX24" s="2">
        <v>1892</v>
      </c>
      <c r="AY24" s="2">
        <v>1892</v>
      </c>
      <c r="AZ24" s="2">
        <v>1892</v>
      </c>
      <c r="BA24" s="2">
        <v>1892</v>
      </c>
      <c r="BB24" s="2">
        <v>1892</v>
      </c>
      <c r="BC24" s="2">
        <v>1878</v>
      </c>
      <c r="BD24" s="2">
        <v>1878</v>
      </c>
      <c r="BE24" s="2">
        <v>1878</v>
      </c>
      <c r="BF24" s="2">
        <v>1878</v>
      </c>
      <c r="BG24" s="2">
        <v>1878</v>
      </c>
      <c r="BH24" s="2">
        <v>1878</v>
      </c>
      <c r="BI24" s="2">
        <v>1878</v>
      </c>
      <c r="BJ24" s="2">
        <v>1878</v>
      </c>
      <c r="BK24" s="2">
        <v>1878</v>
      </c>
      <c r="BL24" s="2">
        <v>1878</v>
      </c>
      <c r="BM24" s="2">
        <v>1878</v>
      </c>
      <c r="BN24" s="2">
        <v>1878</v>
      </c>
      <c r="BO24" s="2">
        <v>1878</v>
      </c>
      <c r="BP24" s="2">
        <v>1878</v>
      </c>
      <c r="BQ24" s="2">
        <v>1878</v>
      </c>
      <c r="BR24" s="2">
        <v>1878</v>
      </c>
      <c r="BS24" s="2">
        <v>1878</v>
      </c>
      <c r="BT24" s="2">
        <v>1878</v>
      </c>
      <c r="BU24" s="2">
        <v>1878</v>
      </c>
      <c r="BV24" s="2">
        <v>1878</v>
      </c>
      <c r="BW24" s="2">
        <v>1878</v>
      </c>
      <c r="BX24" s="2">
        <v>1878</v>
      </c>
      <c r="BY24" s="2">
        <v>1878</v>
      </c>
      <c r="BZ24" s="2">
        <v>1878</v>
      </c>
      <c r="CA24" s="2">
        <v>1878</v>
      </c>
      <c r="CB24" s="2">
        <v>1878</v>
      </c>
      <c r="CC24" s="2">
        <v>109</v>
      </c>
    </row>
    <row r="25" spans="1:81" s="2" customFormat="1" x14ac:dyDescent="0.35">
      <c r="A25" s="2" t="s">
        <v>652</v>
      </c>
      <c r="B25" s="2">
        <v>1799</v>
      </c>
      <c r="C25" s="2">
        <v>1811</v>
      </c>
      <c r="D25" s="2">
        <v>1827</v>
      </c>
      <c r="E25" s="2">
        <v>1810</v>
      </c>
      <c r="F25" s="2">
        <v>1800</v>
      </c>
      <c r="G25" s="2">
        <v>1800</v>
      </c>
      <c r="H25" s="2">
        <v>1825</v>
      </c>
      <c r="I25" s="2">
        <v>1835</v>
      </c>
      <c r="J25" s="2">
        <v>1848</v>
      </c>
      <c r="K25" s="2">
        <v>1863</v>
      </c>
      <c r="L25" s="2">
        <v>1869</v>
      </c>
      <c r="M25" s="2">
        <v>1841</v>
      </c>
      <c r="N25" s="2">
        <v>1859</v>
      </c>
      <c r="O25" s="2">
        <v>1859</v>
      </c>
      <c r="P25" s="2">
        <v>1859</v>
      </c>
      <c r="Q25" s="2">
        <v>1865</v>
      </c>
      <c r="R25" s="2">
        <v>1865</v>
      </c>
      <c r="S25" s="2">
        <v>1865</v>
      </c>
      <c r="T25" s="2">
        <v>1837</v>
      </c>
      <c r="U25" s="2">
        <v>1845</v>
      </c>
      <c r="V25" s="2">
        <v>1845</v>
      </c>
      <c r="W25" s="2">
        <v>1845</v>
      </c>
      <c r="X25" s="2">
        <v>1845</v>
      </c>
      <c r="Y25" s="2">
        <v>1845</v>
      </c>
      <c r="Z25" s="2">
        <v>1861</v>
      </c>
      <c r="AA25" s="2">
        <v>1861</v>
      </c>
      <c r="AB25" s="2">
        <v>1861</v>
      </c>
      <c r="AC25" s="2">
        <v>1861</v>
      </c>
      <c r="AD25" s="2">
        <v>1861</v>
      </c>
      <c r="AE25" s="2">
        <v>1844</v>
      </c>
      <c r="AF25" s="2">
        <v>1844</v>
      </c>
      <c r="AG25" s="2">
        <v>1844</v>
      </c>
      <c r="AH25" s="2">
        <v>1844</v>
      </c>
      <c r="AI25" s="2">
        <v>1844</v>
      </c>
      <c r="AJ25" s="2">
        <v>1858</v>
      </c>
      <c r="AK25" s="2">
        <v>1858</v>
      </c>
      <c r="AL25" s="2">
        <v>1858</v>
      </c>
      <c r="AM25" s="2">
        <v>1858</v>
      </c>
      <c r="AN25" s="2">
        <v>1858</v>
      </c>
      <c r="AO25" s="2">
        <v>1865</v>
      </c>
      <c r="AP25" s="2">
        <v>1865</v>
      </c>
      <c r="AQ25" s="2">
        <v>1865</v>
      </c>
      <c r="AR25" s="2">
        <v>1865</v>
      </c>
      <c r="AS25" s="2">
        <v>1865</v>
      </c>
      <c r="AT25" s="2">
        <v>1877</v>
      </c>
      <c r="AU25" s="2">
        <v>1877</v>
      </c>
      <c r="AV25" s="2">
        <v>1877</v>
      </c>
      <c r="AW25" s="2">
        <v>1877</v>
      </c>
      <c r="AX25" s="2">
        <v>1877</v>
      </c>
      <c r="AY25" s="2">
        <v>1877</v>
      </c>
      <c r="AZ25" s="2">
        <v>1877</v>
      </c>
      <c r="BA25" s="2">
        <v>1877</v>
      </c>
      <c r="BB25" s="2">
        <v>1877</v>
      </c>
      <c r="BC25" s="2">
        <v>1877</v>
      </c>
      <c r="BD25" s="2">
        <v>1877</v>
      </c>
      <c r="BE25" s="2">
        <v>1877</v>
      </c>
      <c r="BF25" s="2">
        <v>1877</v>
      </c>
      <c r="BG25" s="2">
        <v>1877</v>
      </c>
      <c r="BH25" s="2">
        <v>1877</v>
      </c>
      <c r="BI25" s="2">
        <v>1877</v>
      </c>
      <c r="BJ25" s="2">
        <v>1877</v>
      </c>
      <c r="BK25" s="2">
        <v>1877</v>
      </c>
      <c r="BL25" s="2">
        <v>1877</v>
      </c>
      <c r="BM25" s="2">
        <v>1877</v>
      </c>
      <c r="BN25" s="2">
        <v>1877</v>
      </c>
      <c r="BO25" s="2">
        <v>1877</v>
      </c>
      <c r="BP25" s="2">
        <v>1877</v>
      </c>
      <c r="BQ25" s="2">
        <v>1877</v>
      </c>
      <c r="BR25" s="2">
        <v>1877</v>
      </c>
      <c r="BS25" s="2">
        <v>1877</v>
      </c>
      <c r="BT25" s="2">
        <v>1877</v>
      </c>
      <c r="BU25" s="2">
        <v>1877</v>
      </c>
      <c r="BV25" s="2">
        <v>1877</v>
      </c>
      <c r="BW25" s="2">
        <v>1877</v>
      </c>
      <c r="BX25" s="2">
        <v>1877</v>
      </c>
      <c r="BY25" s="2">
        <v>1877</v>
      </c>
      <c r="BZ25" s="2">
        <v>1877</v>
      </c>
      <c r="CA25" s="2">
        <v>1877</v>
      </c>
      <c r="CB25" s="2">
        <v>1877</v>
      </c>
      <c r="CC25" s="2">
        <v>99</v>
      </c>
    </row>
    <row r="26" spans="1:81" s="2" customFormat="1" x14ac:dyDescent="0.35">
      <c r="A26" s="2" t="s">
        <v>660</v>
      </c>
      <c r="B26" s="2">
        <v>1761</v>
      </c>
      <c r="C26" s="2">
        <v>1770</v>
      </c>
      <c r="D26" s="2">
        <v>1783</v>
      </c>
      <c r="E26" s="2">
        <v>1770</v>
      </c>
      <c r="F26" s="2">
        <v>1785</v>
      </c>
      <c r="G26" s="2">
        <v>1812</v>
      </c>
      <c r="H26" s="2">
        <v>1825</v>
      </c>
      <c r="I26" s="2">
        <v>1805</v>
      </c>
      <c r="J26" s="2">
        <v>1822</v>
      </c>
      <c r="K26" s="2">
        <v>1800</v>
      </c>
      <c r="L26" s="2">
        <v>1815</v>
      </c>
      <c r="M26" s="2">
        <v>1835</v>
      </c>
      <c r="N26" s="2">
        <v>1816</v>
      </c>
      <c r="O26" s="2">
        <v>1816</v>
      </c>
      <c r="P26" s="2">
        <v>1816</v>
      </c>
      <c r="Q26" s="2">
        <v>1803</v>
      </c>
      <c r="R26" s="2">
        <v>1803</v>
      </c>
      <c r="S26" s="2">
        <v>1803</v>
      </c>
      <c r="T26" s="2">
        <v>1803</v>
      </c>
      <c r="U26" s="2">
        <v>1824</v>
      </c>
      <c r="V26" s="2">
        <v>1842</v>
      </c>
      <c r="W26" s="2">
        <v>1853</v>
      </c>
      <c r="X26" s="2">
        <v>1853</v>
      </c>
      <c r="Y26" s="2">
        <v>1853</v>
      </c>
      <c r="Z26" s="2">
        <v>1865</v>
      </c>
      <c r="AA26" s="2">
        <v>1865</v>
      </c>
      <c r="AB26" s="2">
        <v>1865</v>
      </c>
      <c r="AC26" s="2">
        <v>1865</v>
      </c>
      <c r="AD26" s="2">
        <v>1865</v>
      </c>
      <c r="AE26" s="2">
        <v>1874</v>
      </c>
      <c r="AF26" s="2">
        <v>1891</v>
      </c>
      <c r="AG26" s="2">
        <v>1869</v>
      </c>
      <c r="AH26" s="2">
        <v>1869</v>
      </c>
      <c r="AI26" s="2">
        <v>1869</v>
      </c>
      <c r="AJ26" s="2">
        <v>1851</v>
      </c>
      <c r="AK26" s="2">
        <v>1851</v>
      </c>
      <c r="AL26" s="2">
        <v>1851</v>
      </c>
      <c r="AM26" s="2">
        <v>1851</v>
      </c>
      <c r="AN26" s="2">
        <v>1851</v>
      </c>
      <c r="AO26" s="2">
        <v>1862</v>
      </c>
      <c r="AP26" s="2">
        <v>1850</v>
      </c>
      <c r="AQ26" s="2">
        <v>1881</v>
      </c>
      <c r="AR26" s="2">
        <v>1881</v>
      </c>
      <c r="AS26" s="2">
        <v>1881</v>
      </c>
      <c r="AT26" s="2">
        <v>1870</v>
      </c>
      <c r="AU26" s="2">
        <v>1870</v>
      </c>
      <c r="AV26" s="2">
        <v>1870</v>
      </c>
      <c r="AW26" s="2">
        <v>1870</v>
      </c>
      <c r="AX26" s="2">
        <v>1870</v>
      </c>
      <c r="AY26" s="2">
        <v>1870</v>
      </c>
      <c r="AZ26" s="2">
        <v>1870</v>
      </c>
      <c r="BA26" s="2">
        <v>1870</v>
      </c>
      <c r="BB26" s="2">
        <v>1870</v>
      </c>
      <c r="BC26" s="2">
        <v>1870</v>
      </c>
      <c r="BD26" s="2">
        <v>1870</v>
      </c>
      <c r="BE26" s="2">
        <v>1870</v>
      </c>
      <c r="BF26" s="2">
        <v>1870</v>
      </c>
      <c r="BG26" s="2">
        <v>1870</v>
      </c>
      <c r="BH26" s="2">
        <v>1870</v>
      </c>
      <c r="BI26" s="2">
        <v>1870</v>
      </c>
      <c r="BJ26" s="2">
        <v>1870</v>
      </c>
      <c r="BK26" s="2">
        <v>1870</v>
      </c>
      <c r="BL26" s="2">
        <v>1870</v>
      </c>
      <c r="BM26" s="2">
        <v>1870</v>
      </c>
      <c r="BN26" s="2">
        <v>1870</v>
      </c>
      <c r="BO26" s="2">
        <v>1870</v>
      </c>
      <c r="BP26" s="2">
        <v>1870</v>
      </c>
      <c r="BQ26" s="2">
        <v>1870</v>
      </c>
      <c r="BR26" s="2">
        <v>1870</v>
      </c>
      <c r="BS26" s="2">
        <v>1870</v>
      </c>
      <c r="BT26" s="2">
        <v>1870</v>
      </c>
      <c r="BU26" s="2">
        <v>1870</v>
      </c>
      <c r="BV26" s="2">
        <v>1870</v>
      </c>
      <c r="BW26" s="2">
        <v>1870</v>
      </c>
      <c r="BX26" s="2">
        <v>1870</v>
      </c>
      <c r="BY26" s="2">
        <v>1870</v>
      </c>
      <c r="BZ26" s="2">
        <v>1870</v>
      </c>
      <c r="CA26" s="2">
        <v>1870</v>
      </c>
      <c r="CB26" s="2">
        <v>1870</v>
      </c>
      <c r="CC26" s="2">
        <v>14</v>
      </c>
    </row>
    <row r="27" spans="1:81" s="2" customFormat="1" x14ac:dyDescent="0.35">
      <c r="A27" s="2" t="s">
        <v>661</v>
      </c>
      <c r="B27" s="2">
        <v>1832</v>
      </c>
      <c r="C27" s="2">
        <v>1820</v>
      </c>
      <c r="D27" s="2">
        <v>1830</v>
      </c>
      <c r="E27" s="2">
        <v>1844</v>
      </c>
      <c r="F27" s="2">
        <v>1862</v>
      </c>
      <c r="G27" s="2">
        <v>1862</v>
      </c>
      <c r="H27" s="2">
        <v>1862</v>
      </c>
      <c r="I27" s="2">
        <v>1873</v>
      </c>
      <c r="J27" s="2">
        <v>1873</v>
      </c>
      <c r="K27" s="2">
        <v>1853</v>
      </c>
      <c r="L27" s="2">
        <v>1836</v>
      </c>
      <c r="M27" s="2">
        <v>1856</v>
      </c>
      <c r="N27" s="2">
        <v>1875</v>
      </c>
      <c r="O27" s="2">
        <v>1859</v>
      </c>
      <c r="P27" s="2">
        <v>1845</v>
      </c>
      <c r="Q27" s="2">
        <v>1829</v>
      </c>
      <c r="R27" s="2">
        <v>1829</v>
      </c>
      <c r="S27" s="2">
        <v>1829</v>
      </c>
      <c r="T27" s="2">
        <v>1829</v>
      </c>
      <c r="U27" s="2">
        <v>1813</v>
      </c>
      <c r="V27" s="2">
        <v>1802</v>
      </c>
      <c r="W27" s="2">
        <v>1826</v>
      </c>
      <c r="X27" s="2">
        <v>1806</v>
      </c>
      <c r="Y27" s="2">
        <v>1823</v>
      </c>
      <c r="Z27" s="2">
        <v>1837</v>
      </c>
      <c r="AA27" s="2">
        <v>1837</v>
      </c>
      <c r="AB27" s="2">
        <v>1837</v>
      </c>
      <c r="AC27" s="2">
        <v>1837</v>
      </c>
      <c r="AD27" s="2">
        <v>1837</v>
      </c>
      <c r="AE27" s="2">
        <v>1847</v>
      </c>
      <c r="AF27" s="2">
        <v>1828</v>
      </c>
      <c r="AG27" s="2">
        <v>1810</v>
      </c>
      <c r="AH27" s="2">
        <v>1821</v>
      </c>
      <c r="AI27" s="2">
        <v>1835</v>
      </c>
      <c r="AJ27" s="2">
        <v>1845</v>
      </c>
      <c r="AK27" s="2">
        <v>1822</v>
      </c>
      <c r="AL27" s="2">
        <v>1841</v>
      </c>
      <c r="AM27" s="2">
        <v>1841</v>
      </c>
      <c r="AN27" s="2">
        <v>1841</v>
      </c>
      <c r="AO27" s="2">
        <v>1853</v>
      </c>
      <c r="AP27" s="2">
        <v>1853</v>
      </c>
      <c r="AQ27" s="2">
        <v>1853</v>
      </c>
      <c r="AR27" s="2">
        <v>1853</v>
      </c>
      <c r="AS27" s="2">
        <v>1853</v>
      </c>
      <c r="AT27" s="2">
        <v>1866</v>
      </c>
      <c r="AU27" s="2">
        <v>1866</v>
      </c>
      <c r="AV27" s="2">
        <v>1866</v>
      </c>
      <c r="AW27" s="2">
        <v>1866</v>
      </c>
      <c r="AX27" s="2">
        <v>1866</v>
      </c>
      <c r="AY27" s="2">
        <v>1866</v>
      </c>
      <c r="AZ27" s="2">
        <v>1866</v>
      </c>
      <c r="BA27" s="2">
        <v>1866</v>
      </c>
      <c r="BB27" s="2">
        <v>1866</v>
      </c>
      <c r="BC27" s="2">
        <v>1866</v>
      </c>
      <c r="BD27" s="2">
        <v>1866</v>
      </c>
      <c r="BE27" s="2">
        <v>1866</v>
      </c>
      <c r="BF27" s="2">
        <v>1866</v>
      </c>
      <c r="BG27" s="2">
        <v>1866</v>
      </c>
      <c r="BH27" s="2">
        <v>1866</v>
      </c>
      <c r="BI27" s="2">
        <v>1866</v>
      </c>
      <c r="BJ27" s="2">
        <v>1866</v>
      </c>
      <c r="BK27" s="2">
        <v>1866</v>
      </c>
      <c r="BL27" s="2">
        <v>1866</v>
      </c>
      <c r="BM27" s="2">
        <v>1866</v>
      </c>
      <c r="BN27" s="2">
        <v>1866</v>
      </c>
      <c r="BO27" s="2">
        <v>1866</v>
      </c>
      <c r="BP27" s="2">
        <v>1866</v>
      </c>
      <c r="BQ27" s="2">
        <v>1866</v>
      </c>
      <c r="BR27" s="2">
        <v>1866</v>
      </c>
      <c r="BS27" s="2">
        <v>1866</v>
      </c>
      <c r="BT27" s="2">
        <v>1866</v>
      </c>
      <c r="BU27" s="2">
        <v>1866</v>
      </c>
      <c r="BV27" s="2">
        <v>1866</v>
      </c>
      <c r="BW27" s="2">
        <v>1866</v>
      </c>
      <c r="BX27" s="2">
        <v>1866</v>
      </c>
      <c r="BY27" s="2">
        <v>1866</v>
      </c>
      <c r="BZ27" s="2">
        <v>1866</v>
      </c>
      <c r="CA27" s="2">
        <v>1866</v>
      </c>
      <c r="CB27" s="2">
        <v>1866</v>
      </c>
      <c r="CC27" s="2">
        <v>29</v>
      </c>
    </row>
    <row r="28" spans="1:81" s="2" customFormat="1" x14ac:dyDescent="0.35">
      <c r="A28" s="2" t="s">
        <v>646</v>
      </c>
      <c r="B28" s="2">
        <v>1771</v>
      </c>
      <c r="C28" s="2">
        <v>1760</v>
      </c>
      <c r="D28" s="2">
        <v>1749</v>
      </c>
      <c r="E28" s="2">
        <v>1762</v>
      </c>
      <c r="F28" s="2">
        <v>1776</v>
      </c>
      <c r="G28" s="2">
        <v>1761</v>
      </c>
      <c r="H28" s="2">
        <v>1776</v>
      </c>
      <c r="I28" s="2">
        <v>1795</v>
      </c>
      <c r="J28" s="2">
        <v>1795</v>
      </c>
      <c r="K28" s="2">
        <v>1812</v>
      </c>
      <c r="L28" s="2">
        <v>1821</v>
      </c>
      <c r="M28" s="2">
        <v>1821</v>
      </c>
      <c r="N28" s="2">
        <v>1821</v>
      </c>
      <c r="O28" s="2">
        <v>1821</v>
      </c>
      <c r="P28" s="2">
        <v>1821</v>
      </c>
      <c r="Q28" s="2">
        <v>1807</v>
      </c>
      <c r="R28" s="2">
        <v>1807</v>
      </c>
      <c r="S28" s="2">
        <v>1807</v>
      </c>
      <c r="T28" s="2">
        <v>1786</v>
      </c>
      <c r="U28" s="2">
        <v>1809</v>
      </c>
      <c r="V28" s="2">
        <v>1809</v>
      </c>
      <c r="W28" s="2">
        <v>1809</v>
      </c>
      <c r="X28" s="2">
        <v>1809</v>
      </c>
      <c r="Y28" s="2">
        <v>1809</v>
      </c>
      <c r="Z28" s="2">
        <v>1820</v>
      </c>
      <c r="AA28" s="2">
        <v>1820</v>
      </c>
      <c r="AB28" s="2">
        <v>1820</v>
      </c>
      <c r="AC28" s="2">
        <v>1820</v>
      </c>
      <c r="AD28" s="2">
        <v>1820</v>
      </c>
      <c r="AE28" s="2">
        <v>1834</v>
      </c>
      <c r="AF28" s="2">
        <v>1834</v>
      </c>
      <c r="AG28" s="2">
        <v>1834</v>
      </c>
      <c r="AH28" s="2">
        <v>1834</v>
      </c>
      <c r="AI28" s="2">
        <v>1834</v>
      </c>
      <c r="AJ28" s="2">
        <v>1845</v>
      </c>
      <c r="AK28" s="2">
        <v>1845</v>
      </c>
      <c r="AL28" s="2">
        <v>1845</v>
      </c>
      <c r="AM28" s="2">
        <v>1845</v>
      </c>
      <c r="AN28" s="2">
        <v>1845</v>
      </c>
      <c r="AO28" s="2">
        <v>1851</v>
      </c>
      <c r="AP28" s="2">
        <v>1851</v>
      </c>
      <c r="AQ28" s="2">
        <v>1851</v>
      </c>
      <c r="AR28" s="2">
        <v>1851</v>
      </c>
      <c r="AS28" s="2">
        <v>1851</v>
      </c>
      <c r="AT28" s="2">
        <v>1866</v>
      </c>
      <c r="AU28" s="2">
        <v>1866</v>
      </c>
      <c r="AV28" s="2">
        <v>1866</v>
      </c>
      <c r="AW28" s="2">
        <v>1866</v>
      </c>
      <c r="AX28" s="2">
        <v>1866</v>
      </c>
      <c r="AY28" s="2">
        <v>1866</v>
      </c>
      <c r="AZ28" s="2">
        <v>1866</v>
      </c>
      <c r="BA28" s="2">
        <v>1866</v>
      </c>
      <c r="BB28" s="2">
        <v>1866</v>
      </c>
      <c r="BC28" s="2">
        <v>1866</v>
      </c>
      <c r="BD28" s="2">
        <v>1866</v>
      </c>
      <c r="BE28" s="2">
        <v>1866</v>
      </c>
      <c r="BF28" s="2">
        <v>1866</v>
      </c>
      <c r="BG28" s="2">
        <v>1866</v>
      </c>
      <c r="BH28" s="2">
        <v>1866</v>
      </c>
      <c r="BI28" s="2">
        <v>1866</v>
      </c>
      <c r="BJ28" s="2">
        <v>1866</v>
      </c>
      <c r="BK28" s="2">
        <v>1866</v>
      </c>
      <c r="BL28" s="2">
        <v>1866</v>
      </c>
      <c r="BM28" s="2">
        <v>1866</v>
      </c>
      <c r="BN28" s="2">
        <v>1866</v>
      </c>
      <c r="BO28" s="2">
        <v>1866</v>
      </c>
      <c r="BP28" s="2">
        <v>1866</v>
      </c>
      <c r="BQ28" s="2">
        <v>1866</v>
      </c>
      <c r="BR28" s="2">
        <v>1866</v>
      </c>
      <c r="BS28" s="2">
        <v>1866</v>
      </c>
      <c r="BT28" s="2">
        <v>1866</v>
      </c>
      <c r="BU28" s="2">
        <v>1866</v>
      </c>
      <c r="BV28" s="2">
        <v>1866</v>
      </c>
      <c r="BW28" s="2">
        <v>1866</v>
      </c>
      <c r="BX28" s="2">
        <v>1866</v>
      </c>
      <c r="BY28" s="2">
        <v>1866</v>
      </c>
      <c r="BZ28" s="2">
        <v>1866</v>
      </c>
      <c r="CA28" s="2">
        <v>1866</v>
      </c>
      <c r="CB28" s="2">
        <v>1866</v>
      </c>
      <c r="CC28" s="2">
        <v>8</v>
      </c>
    </row>
    <row r="29" spans="1:81" s="2" customFormat="1" x14ac:dyDescent="0.35">
      <c r="A29" s="2" t="s">
        <v>650</v>
      </c>
      <c r="B29" s="2">
        <v>1802</v>
      </c>
      <c r="C29" s="2">
        <v>1818</v>
      </c>
      <c r="D29" s="2">
        <v>1827</v>
      </c>
      <c r="E29" s="2">
        <v>1816</v>
      </c>
      <c r="F29" s="2">
        <v>1832</v>
      </c>
      <c r="G29" s="2">
        <v>1832</v>
      </c>
      <c r="H29" s="2">
        <v>1832</v>
      </c>
      <c r="I29" s="2">
        <v>1840</v>
      </c>
      <c r="J29" s="2">
        <v>1840</v>
      </c>
      <c r="K29" s="2">
        <v>1852</v>
      </c>
      <c r="L29" s="2">
        <v>1842</v>
      </c>
      <c r="M29" s="2">
        <v>1824</v>
      </c>
      <c r="N29" s="2">
        <v>1843</v>
      </c>
      <c r="O29" s="2">
        <v>1826</v>
      </c>
      <c r="P29" s="2">
        <v>1849</v>
      </c>
      <c r="Q29" s="2">
        <v>1859</v>
      </c>
      <c r="R29" s="2">
        <v>1859</v>
      </c>
      <c r="S29" s="2">
        <v>1859</v>
      </c>
      <c r="T29" s="2">
        <v>1877</v>
      </c>
      <c r="U29" s="2">
        <v>1861</v>
      </c>
      <c r="V29" s="2">
        <v>1861</v>
      </c>
      <c r="W29" s="2">
        <v>1861</v>
      </c>
      <c r="X29" s="2">
        <v>1876</v>
      </c>
      <c r="Y29" s="2">
        <v>1889</v>
      </c>
      <c r="Z29" s="2">
        <v>1902</v>
      </c>
      <c r="AA29" s="2">
        <v>1902</v>
      </c>
      <c r="AB29" s="2">
        <v>1902</v>
      </c>
      <c r="AC29" s="2">
        <v>1887</v>
      </c>
      <c r="AD29" s="2">
        <v>1873</v>
      </c>
      <c r="AE29" s="2">
        <v>1879</v>
      </c>
      <c r="AF29" s="2">
        <v>1879</v>
      </c>
      <c r="AG29" s="2">
        <v>1879</v>
      </c>
      <c r="AH29" s="2">
        <v>1863</v>
      </c>
      <c r="AI29" s="2">
        <v>1849</v>
      </c>
      <c r="AJ29" s="2">
        <v>1834</v>
      </c>
      <c r="AK29" s="2">
        <v>1834</v>
      </c>
      <c r="AL29" s="2">
        <v>1834</v>
      </c>
      <c r="AM29" s="2">
        <v>1834</v>
      </c>
      <c r="AN29" s="2">
        <v>1834</v>
      </c>
      <c r="AO29" s="2">
        <v>1848</v>
      </c>
      <c r="AP29" s="2">
        <v>1848</v>
      </c>
      <c r="AQ29" s="2">
        <v>1848</v>
      </c>
      <c r="AR29" s="2">
        <v>1882</v>
      </c>
      <c r="AS29" s="2">
        <v>1905</v>
      </c>
      <c r="AT29" s="2">
        <v>1899</v>
      </c>
      <c r="AU29" s="2">
        <v>1917</v>
      </c>
      <c r="AV29" s="2">
        <v>1890</v>
      </c>
      <c r="AW29" s="2">
        <v>1890</v>
      </c>
      <c r="AX29" s="2">
        <v>1890</v>
      </c>
      <c r="AY29" s="2">
        <v>1877</v>
      </c>
      <c r="AZ29" s="2">
        <v>1863</v>
      </c>
      <c r="BA29" s="2">
        <v>1863</v>
      </c>
      <c r="BB29" s="2">
        <v>1863</v>
      </c>
      <c r="BC29" s="2">
        <v>1863</v>
      </c>
      <c r="BD29" s="2">
        <v>1863</v>
      </c>
      <c r="BE29" s="2">
        <v>1863</v>
      </c>
      <c r="BF29" s="2">
        <v>1863</v>
      </c>
      <c r="BG29" s="2">
        <v>1863</v>
      </c>
      <c r="BH29" s="2">
        <v>1863</v>
      </c>
      <c r="BI29" s="2">
        <v>1863</v>
      </c>
      <c r="BJ29" s="2">
        <v>1863</v>
      </c>
      <c r="BK29" s="2">
        <v>1863</v>
      </c>
      <c r="BL29" s="2">
        <v>1863</v>
      </c>
      <c r="BM29" s="2">
        <v>1863</v>
      </c>
      <c r="BN29" s="2">
        <v>1863</v>
      </c>
      <c r="BO29" s="2">
        <v>1863</v>
      </c>
      <c r="BP29" s="2">
        <v>1863</v>
      </c>
      <c r="BQ29" s="2">
        <v>1863</v>
      </c>
      <c r="BR29" s="2">
        <v>1863</v>
      </c>
      <c r="BS29" s="2">
        <v>1863</v>
      </c>
      <c r="BT29" s="2">
        <v>1863</v>
      </c>
      <c r="BU29" s="2">
        <v>1863</v>
      </c>
      <c r="BV29" s="2">
        <v>1863</v>
      </c>
      <c r="BW29" s="2">
        <v>1863</v>
      </c>
      <c r="BX29" s="2">
        <v>1863</v>
      </c>
      <c r="BY29" s="2">
        <v>1863</v>
      </c>
      <c r="BZ29" s="2">
        <v>1863</v>
      </c>
      <c r="CA29" s="2">
        <v>1863</v>
      </c>
      <c r="CB29" s="2">
        <v>1863</v>
      </c>
      <c r="CC29" s="2">
        <v>71</v>
      </c>
    </row>
    <row r="30" spans="1:81" s="2" customFormat="1" x14ac:dyDescent="0.35">
      <c r="A30" s="2" t="s">
        <v>1165</v>
      </c>
      <c r="B30" s="2">
        <v>1857</v>
      </c>
      <c r="C30" s="2">
        <v>1842</v>
      </c>
      <c r="D30" s="2">
        <v>1824</v>
      </c>
      <c r="E30" s="2">
        <v>1808</v>
      </c>
      <c r="F30" s="2">
        <v>1785</v>
      </c>
      <c r="G30" s="2">
        <v>1785</v>
      </c>
      <c r="H30" s="2">
        <v>1785</v>
      </c>
      <c r="I30" s="2">
        <v>1797</v>
      </c>
      <c r="J30" s="2">
        <v>1797</v>
      </c>
      <c r="K30" s="2">
        <v>1797</v>
      </c>
      <c r="L30" s="2">
        <v>1811</v>
      </c>
      <c r="M30" s="2">
        <v>1826</v>
      </c>
      <c r="N30" s="2">
        <v>1838</v>
      </c>
      <c r="O30" s="2">
        <v>1819</v>
      </c>
      <c r="P30" s="2">
        <v>1801</v>
      </c>
      <c r="Q30" s="2">
        <v>1814</v>
      </c>
      <c r="R30" s="2">
        <v>1814</v>
      </c>
      <c r="S30" s="2">
        <v>1814</v>
      </c>
      <c r="T30" s="2">
        <v>1834</v>
      </c>
      <c r="U30" s="2">
        <v>1845</v>
      </c>
      <c r="V30" s="2">
        <v>1832</v>
      </c>
      <c r="W30" s="2">
        <v>1820</v>
      </c>
      <c r="X30" s="2">
        <v>1836</v>
      </c>
      <c r="Y30" s="2">
        <v>1852</v>
      </c>
      <c r="Z30" s="2">
        <v>1841</v>
      </c>
      <c r="AA30" s="2">
        <v>1841</v>
      </c>
      <c r="AB30" s="2">
        <v>1841</v>
      </c>
      <c r="AC30" s="2">
        <v>1866</v>
      </c>
      <c r="AD30" s="2">
        <v>1881</v>
      </c>
      <c r="AE30" s="2">
        <v>1891</v>
      </c>
      <c r="AF30" s="2">
        <v>1891</v>
      </c>
      <c r="AG30" s="2">
        <v>1891</v>
      </c>
      <c r="AH30" s="2">
        <v>1907</v>
      </c>
      <c r="AI30" s="2">
        <v>1921</v>
      </c>
      <c r="AJ30" s="2">
        <v>1906</v>
      </c>
      <c r="AK30" s="2">
        <v>1906</v>
      </c>
      <c r="AL30" s="2">
        <v>1906</v>
      </c>
      <c r="AM30" s="2">
        <v>1895</v>
      </c>
      <c r="AN30" s="2">
        <v>1882</v>
      </c>
      <c r="AO30" s="2">
        <v>1875</v>
      </c>
      <c r="AP30" s="2">
        <v>1875</v>
      </c>
      <c r="AQ30" s="2">
        <v>1875</v>
      </c>
      <c r="AR30" s="2">
        <v>1854</v>
      </c>
      <c r="AS30" s="2">
        <v>1877</v>
      </c>
      <c r="AT30" s="2">
        <v>1862</v>
      </c>
      <c r="AU30" s="2">
        <v>1862</v>
      </c>
      <c r="AV30" s="2">
        <v>1862</v>
      </c>
      <c r="AW30" s="2">
        <v>1862</v>
      </c>
      <c r="AX30" s="2">
        <v>1862</v>
      </c>
      <c r="AY30" s="2">
        <v>1862</v>
      </c>
      <c r="AZ30" s="2">
        <v>1862</v>
      </c>
      <c r="BA30" s="2">
        <v>1862</v>
      </c>
      <c r="BB30" s="2">
        <v>1862</v>
      </c>
      <c r="BC30" s="2">
        <v>1862</v>
      </c>
      <c r="BD30" s="2">
        <v>1862</v>
      </c>
      <c r="BE30" s="2">
        <v>1862</v>
      </c>
      <c r="BF30" s="2">
        <v>1862</v>
      </c>
      <c r="BG30" s="2">
        <v>1862</v>
      </c>
      <c r="BH30" s="2">
        <v>1862</v>
      </c>
      <c r="BI30" s="2">
        <v>1862</v>
      </c>
      <c r="BJ30" s="2">
        <v>1862</v>
      </c>
      <c r="BK30" s="2">
        <v>1862</v>
      </c>
      <c r="BL30" s="2">
        <v>1862</v>
      </c>
      <c r="BM30" s="2">
        <v>1862</v>
      </c>
      <c r="BN30" s="2">
        <v>1862</v>
      </c>
      <c r="BO30" s="2">
        <v>1862</v>
      </c>
      <c r="BP30" s="2">
        <v>1862</v>
      </c>
      <c r="BQ30" s="2">
        <v>1862</v>
      </c>
      <c r="BR30" s="2">
        <v>1862</v>
      </c>
      <c r="BS30" s="2">
        <v>1862</v>
      </c>
      <c r="BT30" s="2">
        <v>1862</v>
      </c>
      <c r="BU30" s="2">
        <v>1862</v>
      </c>
      <c r="BV30" s="2">
        <v>1862</v>
      </c>
      <c r="BW30" s="2">
        <v>1862</v>
      </c>
      <c r="BX30" s="2">
        <v>1862</v>
      </c>
      <c r="BY30" s="2">
        <v>1862</v>
      </c>
      <c r="BZ30" s="2">
        <v>1862</v>
      </c>
      <c r="CA30" s="2">
        <v>1862</v>
      </c>
      <c r="CB30" s="2">
        <v>1862</v>
      </c>
      <c r="CC30" s="2">
        <v>90</v>
      </c>
    </row>
    <row r="31" spans="1:81" s="2" customFormat="1" x14ac:dyDescent="0.35">
      <c r="A31" s="2" t="s">
        <v>753</v>
      </c>
      <c r="B31" s="2">
        <v>1720</v>
      </c>
      <c r="C31" s="2">
        <v>1710</v>
      </c>
      <c r="D31" s="2">
        <v>1724</v>
      </c>
      <c r="E31" s="2">
        <v>1737</v>
      </c>
      <c r="F31" s="2">
        <v>1759</v>
      </c>
      <c r="G31" s="2">
        <v>1777</v>
      </c>
      <c r="H31" s="2">
        <v>1791</v>
      </c>
      <c r="I31" s="2">
        <v>1782</v>
      </c>
      <c r="J31" s="2">
        <v>1796</v>
      </c>
      <c r="K31" s="2">
        <v>1819</v>
      </c>
      <c r="L31" s="2">
        <v>1812</v>
      </c>
      <c r="M31" s="2">
        <v>1825</v>
      </c>
      <c r="N31" s="2">
        <v>1835</v>
      </c>
      <c r="O31" s="2">
        <v>1835</v>
      </c>
      <c r="P31" s="2">
        <v>1835</v>
      </c>
      <c r="Q31" s="2">
        <v>1855</v>
      </c>
      <c r="R31" s="2">
        <v>1855</v>
      </c>
      <c r="S31" s="2">
        <v>1855</v>
      </c>
      <c r="T31" s="2">
        <v>1833</v>
      </c>
      <c r="U31" s="2">
        <v>1843</v>
      </c>
      <c r="V31" s="2">
        <v>1822</v>
      </c>
      <c r="W31" s="2">
        <v>1844</v>
      </c>
      <c r="X31" s="2">
        <v>1844</v>
      </c>
      <c r="Y31" s="2">
        <v>1844</v>
      </c>
      <c r="Z31" s="2">
        <v>1860</v>
      </c>
      <c r="AA31" s="2">
        <v>1860</v>
      </c>
      <c r="AB31" s="2">
        <v>1860</v>
      </c>
      <c r="AC31" s="2">
        <v>1860</v>
      </c>
      <c r="AD31" s="2">
        <v>1860</v>
      </c>
      <c r="AE31" s="2">
        <v>1851</v>
      </c>
      <c r="AF31" s="2">
        <v>1842</v>
      </c>
      <c r="AG31" s="2">
        <v>1832</v>
      </c>
      <c r="AH31" s="2">
        <v>1832</v>
      </c>
      <c r="AI31" s="2">
        <v>1832</v>
      </c>
      <c r="AJ31" s="2">
        <v>1841</v>
      </c>
      <c r="AK31" s="2">
        <v>1841</v>
      </c>
      <c r="AL31" s="2">
        <v>1841</v>
      </c>
      <c r="AM31" s="2">
        <v>1841</v>
      </c>
      <c r="AN31" s="2">
        <v>1841</v>
      </c>
      <c r="AO31" s="2">
        <v>1848</v>
      </c>
      <c r="AP31" s="2">
        <v>1848</v>
      </c>
      <c r="AQ31" s="2">
        <v>1848</v>
      </c>
      <c r="AR31" s="2">
        <v>1848</v>
      </c>
      <c r="AS31" s="2">
        <v>1848</v>
      </c>
      <c r="AT31" s="2">
        <v>1858</v>
      </c>
      <c r="AU31" s="2">
        <v>1858</v>
      </c>
      <c r="AV31" s="2">
        <v>1858</v>
      </c>
      <c r="AW31" s="2">
        <v>1858</v>
      </c>
      <c r="AX31" s="2">
        <v>1858</v>
      </c>
      <c r="AY31" s="2">
        <v>1858</v>
      </c>
      <c r="AZ31" s="2">
        <v>1858</v>
      </c>
      <c r="BA31" s="2">
        <v>1858</v>
      </c>
      <c r="BB31" s="2">
        <v>1858</v>
      </c>
      <c r="BC31" s="2">
        <v>1858</v>
      </c>
      <c r="BD31" s="2">
        <v>1858</v>
      </c>
      <c r="BE31" s="2">
        <v>1858</v>
      </c>
      <c r="BF31" s="2">
        <v>1858</v>
      </c>
      <c r="BG31" s="2">
        <v>1858</v>
      </c>
      <c r="BH31" s="2">
        <v>1858</v>
      </c>
      <c r="BI31" s="2">
        <v>1858</v>
      </c>
      <c r="BJ31" s="2">
        <v>1858</v>
      </c>
      <c r="BK31" s="2">
        <v>1858</v>
      </c>
      <c r="BL31" s="2">
        <v>1858</v>
      </c>
      <c r="BM31" s="2">
        <v>1858</v>
      </c>
      <c r="BN31" s="2">
        <v>1858</v>
      </c>
      <c r="BO31" s="2">
        <v>1858</v>
      </c>
      <c r="BP31" s="2">
        <v>1858</v>
      </c>
      <c r="BQ31" s="2">
        <v>1858</v>
      </c>
      <c r="BR31" s="2">
        <v>1858</v>
      </c>
      <c r="BS31" s="2">
        <v>1858</v>
      </c>
      <c r="BT31" s="2">
        <v>1858</v>
      </c>
      <c r="BU31" s="2">
        <v>1858</v>
      </c>
      <c r="BV31" s="2">
        <v>1858</v>
      </c>
      <c r="BW31" s="2">
        <v>1858</v>
      </c>
      <c r="BX31" s="2">
        <v>1858</v>
      </c>
      <c r="BY31" s="2">
        <v>1858</v>
      </c>
      <c r="BZ31" s="2">
        <v>1858</v>
      </c>
      <c r="CA31" s="2">
        <v>1858</v>
      </c>
      <c r="CB31" s="2">
        <v>1858</v>
      </c>
      <c r="CC31" s="2">
        <v>40</v>
      </c>
    </row>
    <row r="32" spans="1:81" s="2" customFormat="1" x14ac:dyDescent="0.35">
      <c r="A32" s="2" t="s">
        <v>672</v>
      </c>
      <c r="B32" s="2">
        <v>1752</v>
      </c>
      <c r="C32" s="2">
        <v>1768</v>
      </c>
      <c r="D32" s="2">
        <v>1778</v>
      </c>
      <c r="E32" s="2">
        <v>1790</v>
      </c>
      <c r="F32" s="2">
        <v>1802</v>
      </c>
      <c r="G32" s="2">
        <v>1814</v>
      </c>
      <c r="H32" s="2">
        <v>1788</v>
      </c>
      <c r="I32" s="2">
        <v>1801</v>
      </c>
      <c r="J32" s="2">
        <v>1818</v>
      </c>
      <c r="K32" s="2">
        <v>1818</v>
      </c>
      <c r="L32" s="2">
        <v>1802</v>
      </c>
      <c r="M32" s="2">
        <v>1825</v>
      </c>
      <c r="N32" s="2">
        <v>1806</v>
      </c>
      <c r="O32" s="2">
        <v>1806</v>
      </c>
      <c r="P32" s="2">
        <v>1806</v>
      </c>
      <c r="Q32" s="2">
        <v>1819</v>
      </c>
      <c r="R32" s="2">
        <v>1819</v>
      </c>
      <c r="S32" s="2">
        <v>1819</v>
      </c>
      <c r="T32" s="2">
        <v>1819</v>
      </c>
      <c r="U32" s="2">
        <v>1832</v>
      </c>
      <c r="V32" s="2">
        <v>1848</v>
      </c>
      <c r="W32" s="2">
        <v>1866</v>
      </c>
      <c r="X32" s="2">
        <v>1866</v>
      </c>
      <c r="Y32" s="2">
        <v>1866</v>
      </c>
      <c r="Z32" s="2">
        <v>1847</v>
      </c>
      <c r="AA32" s="2">
        <v>1847</v>
      </c>
      <c r="AB32" s="2">
        <v>1847</v>
      </c>
      <c r="AC32" s="2">
        <v>1847</v>
      </c>
      <c r="AD32" s="2">
        <v>1847</v>
      </c>
      <c r="AE32" s="2">
        <v>1835</v>
      </c>
      <c r="AF32" s="2">
        <v>1818</v>
      </c>
      <c r="AG32" s="2">
        <v>1840</v>
      </c>
      <c r="AH32" s="2">
        <v>1840</v>
      </c>
      <c r="AI32" s="2">
        <v>1840</v>
      </c>
      <c r="AJ32" s="2">
        <v>1855</v>
      </c>
      <c r="AK32" s="2">
        <v>1855</v>
      </c>
      <c r="AL32" s="2">
        <v>1855</v>
      </c>
      <c r="AM32" s="2">
        <v>1855</v>
      </c>
      <c r="AN32" s="2">
        <v>1855</v>
      </c>
      <c r="AO32" s="2">
        <v>1865</v>
      </c>
      <c r="AP32" s="2">
        <v>1865</v>
      </c>
      <c r="AQ32" s="2">
        <v>1865</v>
      </c>
      <c r="AR32" s="2">
        <v>1865</v>
      </c>
      <c r="AS32" s="2">
        <v>1865</v>
      </c>
      <c r="AT32" s="2">
        <v>1852</v>
      </c>
      <c r="AU32" s="2">
        <v>1852</v>
      </c>
      <c r="AV32" s="2">
        <v>1852</v>
      </c>
      <c r="AW32" s="2">
        <v>1852</v>
      </c>
      <c r="AX32" s="2">
        <v>1852</v>
      </c>
      <c r="AY32" s="2">
        <v>1852</v>
      </c>
      <c r="AZ32" s="2">
        <v>1852</v>
      </c>
      <c r="BA32" s="2">
        <v>1852</v>
      </c>
      <c r="BB32" s="2">
        <v>1852</v>
      </c>
      <c r="BC32" s="2">
        <v>1852</v>
      </c>
      <c r="BD32" s="2">
        <v>1852</v>
      </c>
      <c r="BE32" s="2">
        <v>1852</v>
      </c>
      <c r="BF32" s="2">
        <v>1852</v>
      </c>
      <c r="BG32" s="2">
        <v>1852</v>
      </c>
      <c r="BH32" s="2">
        <v>1852</v>
      </c>
      <c r="BI32" s="2">
        <v>1852</v>
      </c>
      <c r="BJ32" s="2">
        <v>1852</v>
      </c>
      <c r="BK32" s="2">
        <v>1852</v>
      </c>
      <c r="BL32" s="2">
        <v>1852</v>
      </c>
      <c r="BM32" s="2">
        <v>1852</v>
      </c>
      <c r="BN32" s="2">
        <v>1852</v>
      </c>
      <c r="BO32" s="2">
        <v>1852</v>
      </c>
      <c r="BP32" s="2">
        <v>1852</v>
      </c>
      <c r="BQ32" s="2">
        <v>1852</v>
      </c>
      <c r="BR32" s="2">
        <v>1852</v>
      </c>
      <c r="BS32" s="2">
        <v>1852</v>
      </c>
      <c r="BT32" s="2">
        <v>1852</v>
      </c>
      <c r="BU32" s="2">
        <v>1852</v>
      </c>
      <c r="BV32" s="2">
        <v>1852</v>
      </c>
      <c r="BW32" s="2">
        <v>1852</v>
      </c>
      <c r="BX32" s="2">
        <v>1852</v>
      </c>
      <c r="BY32" s="2">
        <v>1852</v>
      </c>
      <c r="BZ32" s="2">
        <v>1852</v>
      </c>
      <c r="CA32" s="2">
        <v>1852</v>
      </c>
      <c r="CB32" s="2">
        <v>1852</v>
      </c>
      <c r="CC32" s="2">
        <v>31</v>
      </c>
    </row>
    <row r="33" spans="1:81" s="2" customFormat="1" x14ac:dyDescent="0.35">
      <c r="A33" s="2" t="s">
        <v>641</v>
      </c>
      <c r="B33" s="2">
        <v>1815</v>
      </c>
      <c r="C33" s="2">
        <v>1829</v>
      </c>
      <c r="D33" s="2">
        <v>1812</v>
      </c>
      <c r="E33" s="2">
        <v>1799</v>
      </c>
      <c r="F33" s="2">
        <v>1812</v>
      </c>
      <c r="G33" s="2">
        <v>1812</v>
      </c>
      <c r="H33" s="2">
        <v>1812</v>
      </c>
      <c r="I33" s="2">
        <v>1822</v>
      </c>
      <c r="J33" s="2">
        <v>1822</v>
      </c>
      <c r="K33" s="2">
        <v>1834</v>
      </c>
      <c r="L33" s="2">
        <v>1845</v>
      </c>
      <c r="M33" s="2">
        <v>1858</v>
      </c>
      <c r="N33" s="2">
        <v>1869</v>
      </c>
      <c r="O33" s="2">
        <v>1847</v>
      </c>
      <c r="P33" s="2">
        <v>1861</v>
      </c>
      <c r="Q33" s="2">
        <v>1870</v>
      </c>
      <c r="R33" s="2">
        <v>1870</v>
      </c>
      <c r="S33" s="2">
        <v>1870</v>
      </c>
      <c r="T33" s="2">
        <v>1885</v>
      </c>
      <c r="U33" s="2">
        <v>1900</v>
      </c>
      <c r="V33" s="2">
        <v>1910</v>
      </c>
      <c r="W33" s="2">
        <v>1919</v>
      </c>
      <c r="X33" s="2">
        <v>1932</v>
      </c>
      <c r="Y33" s="2">
        <v>1910</v>
      </c>
      <c r="Z33" s="2">
        <v>1922</v>
      </c>
      <c r="AA33" s="2">
        <v>1922</v>
      </c>
      <c r="AB33" s="2">
        <v>1922</v>
      </c>
      <c r="AC33" s="2">
        <v>1945</v>
      </c>
      <c r="AD33" s="2">
        <v>1922</v>
      </c>
      <c r="AE33" s="2">
        <v>1932</v>
      </c>
      <c r="AF33" s="2">
        <v>1910</v>
      </c>
      <c r="AG33" s="2">
        <v>1896</v>
      </c>
      <c r="AH33" s="2">
        <v>1886</v>
      </c>
      <c r="AI33" s="2">
        <v>1914</v>
      </c>
      <c r="AJ33" s="2">
        <v>1923</v>
      </c>
      <c r="AK33" s="2">
        <v>1894</v>
      </c>
      <c r="AL33" s="2">
        <v>1909</v>
      </c>
      <c r="AM33" s="2">
        <v>1909</v>
      </c>
      <c r="AN33" s="2">
        <v>1909</v>
      </c>
      <c r="AO33" s="2">
        <v>1893</v>
      </c>
      <c r="AP33" s="2">
        <v>1893</v>
      </c>
      <c r="AQ33" s="2">
        <v>1893</v>
      </c>
      <c r="AR33" s="2">
        <v>1873</v>
      </c>
      <c r="AS33" s="2">
        <v>1859</v>
      </c>
      <c r="AT33" s="2">
        <v>1870</v>
      </c>
      <c r="AU33" s="2">
        <v>1870</v>
      </c>
      <c r="AV33" s="2">
        <v>1870</v>
      </c>
      <c r="AW33" s="2">
        <v>1870</v>
      </c>
      <c r="AX33" s="2">
        <v>1870</v>
      </c>
      <c r="AY33" s="2">
        <v>1870</v>
      </c>
      <c r="AZ33" s="2">
        <v>1870</v>
      </c>
      <c r="BA33" s="2">
        <v>1870</v>
      </c>
      <c r="BB33" s="2">
        <v>1870</v>
      </c>
      <c r="BC33" s="2">
        <v>1850</v>
      </c>
      <c r="BD33" s="2">
        <v>1850</v>
      </c>
      <c r="BE33" s="2">
        <v>1850</v>
      </c>
      <c r="BF33" s="2">
        <v>1850</v>
      </c>
      <c r="BG33" s="2">
        <v>1850</v>
      </c>
      <c r="BH33" s="2">
        <v>1850</v>
      </c>
      <c r="BI33" s="2">
        <v>1850</v>
      </c>
      <c r="BJ33" s="2">
        <v>1850</v>
      </c>
      <c r="BK33" s="2">
        <v>1850</v>
      </c>
      <c r="BL33" s="2">
        <v>1850</v>
      </c>
      <c r="BM33" s="2">
        <v>1850</v>
      </c>
      <c r="BN33" s="2">
        <v>1850</v>
      </c>
      <c r="BO33" s="2">
        <v>1850</v>
      </c>
      <c r="BP33" s="2">
        <v>1850</v>
      </c>
      <c r="BQ33" s="2">
        <v>1850</v>
      </c>
      <c r="BR33" s="2">
        <v>1850</v>
      </c>
      <c r="BS33" s="2">
        <v>1850</v>
      </c>
      <c r="BT33" s="2">
        <v>1850</v>
      </c>
      <c r="BU33" s="2">
        <v>1850</v>
      </c>
      <c r="BV33" s="2">
        <v>1850</v>
      </c>
      <c r="BW33" s="2">
        <v>1850</v>
      </c>
      <c r="BX33" s="2">
        <v>1850</v>
      </c>
      <c r="BY33" s="2">
        <v>1850</v>
      </c>
      <c r="BZ33" s="2">
        <v>1850</v>
      </c>
      <c r="CA33" s="2">
        <v>1850</v>
      </c>
      <c r="CB33" s="2">
        <v>1850</v>
      </c>
      <c r="CC33" s="2">
        <v>21</v>
      </c>
    </row>
    <row r="34" spans="1:81" s="2" customFormat="1" x14ac:dyDescent="0.35">
      <c r="A34" s="2" t="s">
        <v>630</v>
      </c>
      <c r="B34" s="2">
        <v>1801</v>
      </c>
      <c r="C34" s="2">
        <v>1788</v>
      </c>
      <c r="D34" s="2">
        <v>1800</v>
      </c>
      <c r="E34" s="2">
        <v>1813</v>
      </c>
      <c r="F34" s="2">
        <v>1828</v>
      </c>
      <c r="G34" s="2">
        <v>1828</v>
      </c>
      <c r="H34" s="2">
        <v>1828</v>
      </c>
      <c r="I34" s="2">
        <v>1813</v>
      </c>
      <c r="J34" s="2">
        <v>1813</v>
      </c>
      <c r="K34" s="2">
        <v>1798</v>
      </c>
      <c r="L34" s="2">
        <v>1788</v>
      </c>
      <c r="M34" s="2">
        <v>1765</v>
      </c>
      <c r="N34" s="2">
        <v>1782</v>
      </c>
      <c r="O34" s="2">
        <v>1800</v>
      </c>
      <c r="P34" s="2">
        <v>1781</v>
      </c>
      <c r="Q34" s="2">
        <v>1794</v>
      </c>
      <c r="R34" s="2">
        <v>1794</v>
      </c>
      <c r="S34" s="2">
        <v>1794</v>
      </c>
      <c r="T34" s="2">
        <v>1794</v>
      </c>
      <c r="U34" s="2">
        <v>1804</v>
      </c>
      <c r="V34" s="2">
        <v>1804</v>
      </c>
      <c r="W34" s="2">
        <v>1804</v>
      </c>
      <c r="X34" s="2">
        <v>1794</v>
      </c>
      <c r="Y34" s="2">
        <v>1815</v>
      </c>
      <c r="Z34" s="2">
        <v>1828</v>
      </c>
      <c r="AA34" s="2">
        <v>1828</v>
      </c>
      <c r="AB34" s="2">
        <v>1828</v>
      </c>
      <c r="AC34" s="2">
        <v>1828</v>
      </c>
      <c r="AD34" s="2">
        <v>1828</v>
      </c>
      <c r="AE34" s="2">
        <v>1845</v>
      </c>
      <c r="AF34" s="2">
        <v>1845</v>
      </c>
      <c r="AG34" s="2">
        <v>1845</v>
      </c>
      <c r="AH34" s="2">
        <v>1866</v>
      </c>
      <c r="AI34" s="2">
        <v>1849</v>
      </c>
      <c r="AJ34" s="2">
        <v>1828</v>
      </c>
      <c r="AK34" s="2">
        <v>1802</v>
      </c>
      <c r="AL34" s="2">
        <v>1820</v>
      </c>
      <c r="AM34" s="2">
        <v>1820</v>
      </c>
      <c r="AN34" s="2">
        <v>1820</v>
      </c>
      <c r="AO34" s="2">
        <v>1829</v>
      </c>
      <c r="AP34" s="2">
        <v>1829</v>
      </c>
      <c r="AQ34" s="2">
        <v>1829</v>
      </c>
      <c r="AR34" s="2">
        <v>1829</v>
      </c>
      <c r="AS34" s="2">
        <v>1829</v>
      </c>
      <c r="AT34" s="2">
        <v>1845</v>
      </c>
      <c r="AU34" s="2">
        <v>1845</v>
      </c>
      <c r="AV34" s="2">
        <v>1845</v>
      </c>
      <c r="AW34" s="2">
        <v>1845</v>
      </c>
      <c r="AX34" s="2">
        <v>1845</v>
      </c>
      <c r="AY34" s="2">
        <v>1845</v>
      </c>
      <c r="AZ34" s="2">
        <v>1845</v>
      </c>
      <c r="BA34" s="2">
        <v>1845</v>
      </c>
      <c r="BB34" s="2">
        <v>1845</v>
      </c>
      <c r="BC34" s="2">
        <v>1845</v>
      </c>
      <c r="BD34" s="2">
        <v>1845</v>
      </c>
      <c r="BE34" s="2">
        <v>1845</v>
      </c>
      <c r="BF34" s="2">
        <v>1845</v>
      </c>
      <c r="BG34" s="2">
        <v>1845</v>
      </c>
      <c r="BH34" s="2">
        <v>1845</v>
      </c>
      <c r="BI34" s="2">
        <v>1845</v>
      </c>
      <c r="BJ34" s="2">
        <v>1845</v>
      </c>
      <c r="BK34" s="2">
        <v>1845</v>
      </c>
      <c r="BL34" s="2">
        <v>1845</v>
      </c>
      <c r="BM34" s="2">
        <v>1845</v>
      </c>
      <c r="BN34" s="2">
        <v>1845</v>
      </c>
      <c r="BO34" s="2">
        <v>1845</v>
      </c>
      <c r="BP34" s="2">
        <v>1845</v>
      </c>
      <c r="BQ34" s="2">
        <v>1845</v>
      </c>
      <c r="BR34" s="2">
        <v>1845</v>
      </c>
      <c r="BS34" s="2">
        <v>1845</v>
      </c>
      <c r="BT34" s="2">
        <v>1845</v>
      </c>
      <c r="BU34" s="2">
        <v>1845</v>
      </c>
      <c r="BV34" s="2">
        <v>1845</v>
      </c>
      <c r="BW34" s="2">
        <v>1845</v>
      </c>
      <c r="BX34" s="2">
        <v>1845</v>
      </c>
      <c r="BY34" s="2">
        <v>1845</v>
      </c>
      <c r="BZ34" s="2">
        <v>1845</v>
      </c>
      <c r="CA34" s="2">
        <v>1845</v>
      </c>
      <c r="CB34" s="2">
        <v>1845</v>
      </c>
      <c r="CC34" s="2">
        <v>108</v>
      </c>
    </row>
    <row r="35" spans="1:81" s="2" customFormat="1" x14ac:dyDescent="0.35">
      <c r="A35" s="2" t="s">
        <v>649</v>
      </c>
      <c r="B35" s="2">
        <v>1838</v>
      </c>
      <c r="C35" s="2">
        <v>1846</v>
      </c>
      <c r="D35" s="2">
        <v>1857</v>
      </c>
      <c r="E35" s="2">
        <v>1872</v>
      </c>
      <c r="F35" s="2">
        <v>1884</v>
      </c>
      <c r="G35" s="2">
        <v>1884</v>
      </c>
      <c r="H35" s="2">
        <v>1884</v>
      </c>
      <c r="I35" s="2">
        <v>1893</v>
      </c>
      <c r="J35" s="2">
        <v>1893</v>
      </c>
      <c r="K35" s="2">
        <v>1907</v>
      </c>
      <c r="L35" s="2">
        <v>1917</v>
      </c>
      <c r="M35" s="2">
        <v>1897</v>
      </c>
      <c r="N35" s="2">
        <v>1878</v>
      </c>
      <c r="O35" s="2">
        <v>1864</v>
      </c>
      <c r="P35" s="2">
        <v>1886</v>
      </c>
      <c r="Q35" s="2">
        <v>1893</v>
      </c>
      <c r="R35" s="2">
        <v>1893</v>
      </c>
      <c r="S35" s="2">
        <v>1893</v>
      </c>
      <c r="T35" s="2">
        <v>1874</v>
      </c>
      <c r="U35" s="2">
        <v>1854</v>
      </c>
      <c r="V35" s="2">
        <v>1854</v>
      </c>
      <c r="W35" s="2">
        <v>1854</v>
      </c>
      <c r="X35" s="2">
        <v>1874</v>
      </c>
      <c r="Y35" s="2">
        <v>1885</v>
      </c>
      <c r="Z35" s="2">
        <v>1872</v>
      </c>
      <c r="AA35" s="2">
        <v>1872</v>
      </c>
      <c r="AB35" s="2">
        <v>1872</v>
      </c>
      <c r="AC35" s="2">
        <v>1872</v>
      </c>
      <c r="AD35" s="2">
        <v>1872</v>
      </c>
      <c r="AE35" s="2">
        <v>1860</v>
      </c>
      <c r="AF35" s="2">
        <v>1860</v>
      </c>
      <c r="AG35" s="2">
        <v>1860</v>
      </c>
      <c r="AH35" s="2">
        <v>1839</v>
      </c>
      <c r="AI35" s="2">
        <v>1856</v>
      </c>
      <c r="AJ35" s="2">
        <v>1837</v>
      </c>
      <c r="AK35" s="2">
        <v>1837</v>
      </c>
      <c r="AL35" s="2">
        <v>1837</v>
      </c>
      <c r="AM35" s="2">
        <v>1837</v>
      </c>
      <c r="AN35" s="2">
        <v>1837</v>
      </c>
      <c r="AO35" s="2">
        <v>1848</v>
      </c>
      <c r="AP35" s="2">
        <v>1848</v>
      </c>
      <c r="AQ35" s="2">
        <v>1848</v>
      </c>
      <c r="AR35" s="2">
        <v>1823</v>
      </c>
      <c r="AS35" s="2">
        <v>1844</v>
      </c>
      <c r="AT35" s="2">
        <v>1831</v>
      </c>
      <c r="AU35" s="2">
        <v>1813</v>
      </c>
      <c r="AV35" s="2">
        <v>1840</v>
      </c>
      <c r="AW35" s="2">
        <v>1840</v>
      </c>
      <c r="AX35" s="2">
        <v>1840</v>
      </c>
      <c r="AY35" s="2">
        <v>1840</v>
      </c>
      <c r="AZ35" s="2">
        <v>1840</v>
      </c>
      <c r="BA35" s="2">
        <v>1840</v>
      </c>
      <c r="BB35" s="2">
        <v>1840</v>
      </c>
      <c r="BC35" s="2">
        <v>1840</v>
      </c>
      <c r="BD35" s="2">
        <v>1840</v>
      </c>
      <c r="BE35" s="2">
        <v>1840</v>
      </c>
      <c r="BF35" s="2">
        <v>1840</v>
      </c>
      <c r="BG35" s="2">
        <v>1840</v>
      </c>
      <c r="BH35" s="2">
        <v>1840</v>
      </c>
      <c r="BI35" s="2">
        <v>1840</v>
      </c>
      <c r="BJ35" s="2">
        <v>1840</v>
      </c>
      <c r="BK35" s="2">
        <v>1840</v>
      </c>
      <c r="BL35" s="2">
        <v>1840</v>
      </c>
      <c r="BM35" s="2">
        <v>1840</v>
      </c>
      <c r="BN35" s="2">
        <v>1840</v>
      </c>
      <c r="BO35" s="2">
        <v>1840</v>
      </c>
      <c r="BP35" s="2">
        <v>1840</v>
      </c>
      <c r="BQ35" s="2">
        <v>1840</v>
      </c>
      <c r="BR35" s="2">
        <v>1840</v>
      </c>
      <c r="BS35" s="2">
        <v>1840</v>
      </c>
      <c r="BT35" s="2">
        <v>1840</v>
      </c>
      <c r="BU35" s="2">
        <v>1840</v>
      </c>
      <c r="BV35" s="2">
        <v>1840</v>
      </c>
      <c r="BW35" s="2">
        <v>1840</v>
      </c>
      <c r="BX35" s="2">
        <v>1840</v>
      </c>
      <c r="BY35" s="2">
        <v>1840</v>
      </c>
      <c r="BZ35" s="2">
        <v>1840</v>
      </c>
      <c r="CA35" s="2">
        <v>1840</v>
      </c>
      <c r="CB35" s="2">
        <v>1840</v>
      </c>
      <c r="CC35" s="2">
        <v>49</v>
      </c>
    </row>
    <row r="36" spans="1:81" s="2" customFormat="1" x14ac:dyDescent="0.35">
      <c r="A36" s="2" t="s">
        <v>761</v>
      </c>
      <c r="B36" s="2">
        <v>1908</v>
      </c>
      <c r="C36" s="2">
        <v>1888</v>
      </c>
      <c r="D36" s="2">
        <v>1872</v>
      </c>
      <c r="E36" s="2">
        <v>1882</v>
      </c>
      <c r="F36" s="2">
        <v>1865</v>
      </c>
      <c r="G36" s="2">
        <v>1865</v>
      </c>
      <c r="H36" s="2">
        <v>1865</v>
      </c>
      <c r="I36" s="2">
        <v>1874</v>
      </c>
      <c r="J36" s="2">
        <v>1874</v>
      </c>
      <c r="K36" s="2">
        <v>1889</v>
      </c>
      <c r="L36" s="2">
        <v>1873</v>
      </c>
      <c r="M36" s="2">
        <v>1858</v>
      </c>
      <c r="N36" s="2">
        <v>1842</v>
      </c>
      <c r="O36" s="2">
        <v>1827</v>
      </c>
      <c r="P36" s="2">
        <v>1814</v>
      </c>
      <c r="Q36" s="2">
        <v>1825</v>
      </c>
      <c r="R36" s="2">
        <v>1825</v>
      </c>
      <c r="S36" s="2">
        <v>1825</v>
      </c>
      <c r="T36" s="2">
        <v>1813</v>
      </c>
      <c r="U36" s="2">
        <v>1792</v>
      </c>
      <c r="V36" s="2">
        <v>1792</v>
      </c>
      <c r="W36" s="2">
        <v>1792</v>
      </c>
      <c r="X36" s="2">
        <v>1779</v>
      </c>
      <c r="Y36" s="2">
        <v>1801</v>
      </c>
      <c r="Z36" s="2">
        <v>1818</v>
      </c>
      <c r="AA36" s="2">
        <v>1818</v>
      </c>
      <c r="AB36" s="2">
        <v>1818</v>
      </c>
      <c r="AC36" s="2">
        <v>1818</v>
      </c>
      <c r="AD36" s="2">
        <v>1818</v>
      </c>
      <c r="AE36" s="2">
        <v>1804</v>
      </c>
      <c r="AF36" s="2">
        <v>1804</v>
      </c>
      <c r="AG36" s="2">
        <v>1804</v>
      </c>
      <c r="AH36" s="2">
        <v>1818</v>
      </c>
      <c r="AI36" s="2">
        <v>1833</v>
      </c>
      <c r="AJ36" s="2">
        <v>1843</v>
      </c>
      <c r="AK36" s="2">
        <v>1843</v>
      </c>
      <c r="AL36" s="2">
        <v>1843</v>
      </c>
      <c r="AM36" s="2">
        <v>1843</v>
      </c>
      <c r="AN36" s="2">
        <v>1843</v>
      </c>
      <c r="AO36" s="2">
        <v>1854</v>
      </c>
      <c r="AP36" s="2">
        <v>1854</v>
      </c>
      <c r="AQ36" s="2">
        <v>1854</v>
      </c>
      <c r="AR36" s="2">
        <v>1854</v>
      </c>
      <c r="AS36" s="2">
        <v>1854</v>
      </c>
      <c r="AT36" s="2">
        <v>1838</v>
      </c>
      <c r="AU36" s="2">
        <v>1838</v>
      </c>
      <c r="AV36" s="2">
        <v>1838</v>
      </c>
      <c r="AW36" s="2">
        <v>1838</v>
      </c>
      <c r="AX36" s="2">
        <v>1838</v>
      </c>
      <c r="AY36" s="2">
        <v>1838</v>
      </c>
      <c r="AZ36" s="2">
        <v>1838</v>
      </c>
      <c r="BA36" s="2">
        <v>1838</v>
      </c>
      <c r="BB36" s="2">
        <v>1838</v>
      </c>
      <c r="BC36" s="2">
        <v>1838</v>
      </c>
      <c r="BD36" s="2">
        <v>1838</v>
      </c>
      <c r="BE36" s="2">
        <v>1838</v>
      </c>
      <c r="BF36" s="2">
        <v>1838</v>
      </c>
      <c r="BG36" s="2">
        <v>1838</v>
      </c>
      <c r="BH36" s="2">
        <v>1838</v>
      </c>
      <c r="BI36" s="2">
        <v>1838</v>
      </c>
      <c r="BJ36" s="2">
        <v>1838</v>
      </c>
      <c r="BK36" s="2">
        <v>1838</v>
      </c>
      <c r="BL36" s="2">
        <v>1838</v>
      </c>
      <c r="BM36" s="2">
        <v>1838</v>
      </c>
      <c r="BN36" s="2">
        <v>1838</v>
      </c>
      <c r="BO36" s="2">
        <v>1838</v>
      </c>
      <c r="BP36" s="2">
        <v>1838</v>
      </c>
      <c r="BQ36" s="2">
        <v>1838</v>
      </c>
      <c r="BR36" s="2">
        <v>1838</v>
      </c>
      <c r="BS36" s="2">
        <v>1838</v>
      </c>
      <c r="BT36" s="2">
        <v>1838</v>
      </c>
      <c r="BU36" s="2">
        <v>1838</v>
      </c>
      <c r="BV36" s="2">
        <v>1838</v>
      </c>
      <c r="BW36" s="2">
        <v>1838</v>
      </c>
      <c r="BX36" s="2">
        <v>1838</v>
      </c>
      <c r="BY36" s="2">
        <v>1838</v>
      </c>
      <c r="BZ36" s="2">
        <v>1838</v>
      </c>
      <c r="CA36" s="2">
        <v>1838</v>
      </c>
      <c r="CB36" s="2">
        <v>1838</v>
      </c>
      <c r="CC36" s="2">
        <v>11</v>
      </c>
    </row>
    <row r="37" spans="1:81" s="2" customFormat="1" x14ac:dyDescent="0.35">
      <c r="A37" s="2" t="s">
        <v>629</v>
      </c>
      <c r="B37" s="2">
        <v>1792</v>
      </c>
      <c r="C37" s="2">
        <v>1806</v>
      </c>
      <c r="D37" s="2">
        <v>1819</v>
      </c>
      <c r="E37" s="2">
        <v>1807</v>
      </c>
      <c r="F37" s="2">
        <v>1819</v>
      </c>
      <c r="G37" s="2">
        <v>1832</v>
      </c>
      <c r="H37" s="2">
        <v>1807</v>
      </c>
      <c r="I37" s="2">
        <v>1797</v>
      </c>
      <c r="J37" s="2">
        <v>1816</v>
      </c>
      <c r="K37" s="2">
        <v>1816</v>
      </c>
      <c r="L37" s="2">
        <v>1827</v>
      </c>
      <c r="M37" s="2">
        <v>1806</v>
      </c>
      <c r="N37" s="2">
        <v>1822</v>
      </c>
      <c r="O37" s="2">
        <v>1822</v>
      </c>
      <c r="P37" s="2">
        <v>1822</v>
      </c>
      <c r="Q37" s="2">
        <v>1834</v>
      </c>
      <c r="R37" s="2">
        <v>1834</v>
      </c>
      <c r="S37" s="2">
        <v>1834</v>
      </c>
      <c r="T37" s="2">
        <v>1834</v>
      </c>
      <c r="U37" s="2">
        <v>1851</v>
      </c>
      <c r="V37" s="2">
        <v>1866</v>
      </c>
      <c r="W37" s="2">
        <v>1848</v>
      </c>
      <c r="X37" s="2">
        <v>1848</v>
      </c>
      <c r="Y37" s="2">
        <v>1848</v>
      </c>
      <c r="Z37" s="2">
        <v>1835</v>
      </c>
      <c r="AA37" s="2">
        <v>1835</v>
      </c>
      <c r="AB37" s="2">
        <v>1835</v>
      </c>
      <c r="AC37" s="2">
        <v>1835</v>
      </c>
      <c r="AD37" s="2">
        <v>1835</v>
      </c>
      <c r="AE37" s="2">
        <v>1816</v>
      </c>
      <c r="AF37" s="2">
        <v>1835</v>
      </c>
      <c r="AG37" s="2">
        <v>1853</v>
      </c>
      <c r="AH37" s="2">
        <v>1853</v>
      </c>
      <c r="AI37" s="2">
        <v>1853</v>
      </c>
      <c r="AJ37" s="2">
        <v>1860</v>
      </c>
      <c r="AK37" s="2">
        <v>1860</v>
      </c>
      <c r="AL37" s="2">
        <v>1860</v>
      </c>
      <c r="AM37" s="2">
        <v>1860</v>
      </c>
      <c r="AN37" s="2">
        <v>1860</v>
      </c>
      <c r="AO37" s="2">
        <v>1872</v>
      </c>
      <c r="AP37" s="2">
        <v>1845</v>
      </c>
      <c r="AQ37" s="2">
        <v>1824</v>
      </c>
      <c r="AR37" s="2">
        <v>1824</v>
      </c>
      <c r="AS37" s="2">
        <v>1824</v>
      </c>
      <c r="AT37" s="2">
        <v>1834</v>
      </c>
      <c r="AU37" s="2">
        <v>1834</v>
      </c>
      <c r="AV37" s="2">
        <v>1834</v>
      </c>
      <c r="AW37" s="2">
        <v>1834</v>
      </c>
      <c r="AX37" s="2">
        <v>1834</v>
      </c>
      <c r="AY37" s="2">
        <v>1834</v>
      </c>
      <c r="AZ37" s="2">
        <v>1834</v>
      </c>
      <c r="BA37" s="2">
        <v>1834</v>
      </c>
      <c r="BB37" s="2">
        <v>1834</v>
      </c>
      <c r="BC37" s="2">
        <v>1834</v>
      </c>
      <c r="BD37" s="2">
        <v>1834</v>
      </c>
      <c r="BE37" s="2">
        <v>1834</v>
      </c>
      <c r="BF37" s="2">
        <v>1834</v>
      </c>
      <c r="BG37" s="2">
        <v>1834</v>
      </c>
      <c r="BH37" s="2">
        <v>1834</v>
      </c>
      <c r="BI37" s="2">
        <v>1834</v>
      </c>
      <c r="BJ37" s="2">
        <v>1834</v>
      </c>
      <c r="BK37" s="2">
        <v>1834</v>
      </c>
      <c r="BL37" s="2">
        <v>1834</v>
      </c>
      <c r="BM37" s="2">
        <v>1834</v>
      </c>
      <c r="BN37" s="2">
        <v>1834</v>
      </c>
      <c r="BO37" s="2">
        <v>1834</v>
      </c>
      <c r="BP37" s="2">
        <v>1834</v>
      </c>
      <c r="BQ37" s="2">
        <v>1834</v>
      </c>
      <c r="BR37" s="2">
        <v>1834</v>
      </c>
      <c r="BS37" s="2">
        <v>1834</v>
      </c>
      <c r="BT37" s="2">
        <v>1834</v>
      </c>
      <c r="BU37" s="2">
        <v>1834</v>
      </c>
      <c r="BV37" s="2">
        <v>1834</v>
      </c>
      <c r="BW37" s="2">
        <v>1834</v>
      </c>
      <c r="BX37" s="2">
        <v>1834</v>
      </c>
      <c r="BY37" s="2">
        <v>1834</v>
      </c>
      <c r="BZ37" s="2">
        <v>1834</v>
      </c>
      <c r="CA37" s="2">
        <v>1834</v>
      </c>
      <c r="CB37" s="2">
        <v>1834</v>
      </c>
      <c r="CC37" s="2">
        <v>103</v>
      </c>
    </row>
    <row r="38" spans="1:81" s="2" customFormat="1" x14ac:dyDescent="0.35">
      <c r="A38" s="2" t="s">
        <v>778</v>
      </c>
      <c r="B38" s="2">
        <v>1826</v>
      </c>
      <c r="C38" s="2">
        <v>1820</v>
      </c>
      <c r="D38" s="2">
        <v>1810</v>
      </c>
      <c r="E38" s="2">
        <v>1796</v>
      </c>
      <c r="F38" s="2">
        <v>1784</v>
      </c>
      <c r="G38" s="2">
        <v>1784</v>
      </c>
      <c r="H38" s="2">
        <v>1784</v>
      </c>
      <c r="I38" s="2">
        <v>1795</v>
      </c>
      <c r="J38" s="2">
        <v>1795</v>
      </c>
      <c r="K38" s="2">
        <v>1772</v>
      </c>
      <c r="L38" s="2">
        <v>1787</v>
      </c>
      <c r="M38" s="2">
        <v>1770</v>
      </c>
      <c r="N38" s="2">
        <v>1789</v>
      </c>
      <c r="O38" s="2">
        <v>1771</v>
      </c>
      <c r="P38" s="2">
        <v>1790</v>
      </c>
      <c r="Q38" s="2">
        <v>1777</v>
      </c>
      <c r="R38" s="2">
        <v>1777</v>
      </c>
      <c r="S38" s="2">
        <v>1777</v>
      </c>
      <c r="T38" s="2">
        <v>1777</v>
      </c>
      <c r="U38" s="2">
        <v>1793</v>
      </c>
      <c r="V38" s="2">
        <v>1793</v>
      </c>
      <c r="W38" s="2">
        <v>1793</v>
      </c>
      <c r="X38" s="2">
        <v>1773</v>
      </c>
      <c r="Y38" s="2">
        <v>1762</v>
      </c>
      <c r="Z38" s="2">
        <v>1775</v>
      </c>
      <c r="AA38" s="2">
        <v>1775</v>
      </c>
      <c r="AB38" s="2">
        <v>1775</v>
      </c>
      <c r="AC38" s="2">
        <v>1775</v>
      </c>
      <c r="AD38" s="2">
        <v>1775</v>
      </c>
      <c r="AE38" s="2">
        <v>1785</v>
      </c>
      <c r="AF38" s="2">
        <v>1785</v>
      </c>
      <c r="AG38" s="2">
        <v>1785</v>
      </c>
      <c r="AH38" s="2">
        <v>1809</v>
      </c>
      <c r="AI38" s="2">
        <v>1797</v>
      </c>
      <c r="AJ38" s="2">
        <v>1810</v>
      </c>
      <c r="AK38" s="2">
        <v>1810</v>
      </c>
      <c r="AL38" s="2">
        <v>1810</v>
      </c>
      <c r="AM38" s="2">
        <v>1810</v>
      </c>
      <c r="AN38" s="2">
        <v>1810</v>
      </c>
      <c r="AO38" s="2">
        <v>1821</v>
      </c>
      <c r="AP38" s="2">
        <v>1821</v>
      </c>
      <c r="AQ38" s="2">
        <v>1821</v>
      </c>
      <c r="AR38" s="2">
        <v>1821</v>
      </c>
      <c r="AS38" s="2">
        <v>1821</v>
      </c>
      <c r="AT38" s="2">
        <v>1832</v>
      </c>
      <c r="AU38" s="2">
        <v>1832</v>
      </c>
      <c r="AV38" s="2">
        <v>1832</v>
      </c>
      <c r="AW38" s="2">
        <v>1832</v>
      </c>
      <c r="AX38" s="2">
        <v>1832</v>
      </c>
      <c r="AY38" s="2">
        <v>1832</v>
      </c>
      <c r="AZ38" s="2">
        <v>1832</v>
      </c>
      <c r="BA38" s="2">
        <v>1832</v>
      </c>
      <c r="BB38" s="2">
        <v>1832</v>
      </c>
      <c r="BC38" s="2">
        <v>1832</v>
      </c>
      <c r="BD38" s="2">
        <v>1832</v>
      </c>
      <c r="BE38" s="2">
        <v>1832</v>
      </c>
      <c r="BF38" s="2">
        <v>1832</v>
      </c>
      <c r="BG38" s="2">
        <v>1832</v>
      </c>
      <c r="BH38" s="2">
        <v>1832</v>
      </c>
      <c r="BI38" s="2">
        <v>1832</v>
      </c>
      <c r="BJ38" s="2">
        <v>1832</v>
      </c>
      <c r="BK38" s="2">
        <v>1832</v>
      </c>
      <c r="BL38" s="2">
        <v>1832</v>
      </c>
      <c r="BM38" s="2">
        <v>1832</v>
      </c>
      <c r="BN38" s="2">
        <v>1832</v>
      </c>
      <c r="BO38" s="2">
        <v>1832</v>
      </c>
      <c r="BP38" s="2">
        <v>1832</v>
      </c>
      <c r="BQ38" s="2">
        <v>1832</v>
      </c>
      <c r="BR38" s="2">
        <v>1832</v>
      </c>
      <c r="BS38" s="2">
        <v>1832</v>
      </c>
      <c r="BT38" s="2">
        <v>1832</v>
      </c>
      <c r="BU38" s="2">
        <v>1832</v>
      </c>
      <c r="BV38" s="2">
        <v>1832</v>
      </c>
      <c r="BW38" s="2">
        <v>1832</v>
      </c>
      <c r="BX38" s="2">
        <v>1832</v>
      </c>
      <c r="BY38" s="2">
        <v>1832</v>
      </c>
      <c r="BZ38" s="2">
        <v>1832</v>
      </c>
      <c r="CA38" s="2">
        <v>1832</v>
      </c>
      <c r="CB38" s="2">
        <v>1832</v>
      </c>
      <c r="CC38" s="2">
        <v>66</v>
      </c>
    </row>
    <row r="39" spans="1:81" s="2" customFormat="1" x14ac:dyDescent="0.35">
      <c r="A39" s="2" t="s">
        <v>645</v>
      </c>
      <c r="B39" s="2">
        <v>1741</v>
      </c>
      <c r="C39" s="2">
        <v>1756</v>
      </c>
      <c r="D39" s="2">
        <v>1768</v>
      </c>
      <c r="E39" s="2">
        <v>1781</v>
      </c>
      <c r="F39" s="2">
        <v>1769</v>
      </c>
      <c r="G39" s="2">
        <v>1748</v>
      </c>
      <c r="H39" s="2">
        <v>1731</v>
      </c>
      <c r="I39" s="2">
        <v>1719</v>
      </c>
      <c r="J39" s="2">
        <v>1719</v>
      </c>
      <c r="K39" s="2">
        <v>1719</v>
      </c>
      <c r="L39" s="2">
        <v>1740</v>
      </c>
      <c r="M39" s="2">
        <v>1740</v>
      </c>
      <c r="N39" s="2">
        <v>1740</v>
      </c>
      <c r="O39" s="2">
        <v>1740</v>
      </c>
      <c r="P39" s="2">
        <v>1740</v>
      </c>
      <c r="Q39" s="2">
        <v>1758</v>
      </c>
      <c r="R39" s="2">
        <v>1758</v>
      </c>
      <c r="S39" s="2">
        <v>1758</v>
      </c>
      <c r="T39" s="2">
        <v>1758</v>
      </c>
      <c r="U39" s="2">
        <v>1773</v>
      </c>
      <c r="V39" s="2">
        <v>1773</v>
      </c>
      <c r="W39" s="2">
        <v>1773</v>
      </c>
      <c r="X39" s="2">
        <v>1773</v>
      </c>
      <c r="Y39" s="2">
        <v>1773</v>
      </c>
      <c r="Z39" s="2">
        <v>1788</v>
      </c>
      <c r="AA39" s="2">
        <v>1788</v>
      </c>
      <c r="AB39" s="2">
        <v>1788</v>
      </c>
      <c r="AC39" s="2">
        <v>1788</v>
      </c>
      <c r="AD39" s="2">
        <v>1788</v>
      </c>
      <c r="AE39" s="2">
        <v>1806</v>
      </c>
      <c r="AF39" s="2">
        <v>1806</v>
      </c>
      <c r="AG39" s="2">
        <v>1806</v>
      </c>
      <c r="AH39" s="2">
        <v>1806</v>
      </c>
      <c r="AI39" s="2">
        <v>1806</v>
      </c>
      <c r="AJ39" s="2">
        <v>1794</v>
      </c>
      <c r="AK39" s="2">
        <v>1794</v>
      </c>
      <c r="AL39" s="2">
        <v>1794</v>
      </c>
      <c r="AM39" s="2">
        <v>1794</v>
      </c>
      <c r="AN39" s="2">
        <v>1794</v>
      </c>
      <c r="AO39" s="2">
        <v>1816</v>
      </c>
      <c r="AP39" s="2">
        <v>1816</v>
      </c>
      <c r="AQ39" s="2">
        <v>1816</v>
      </c>
      <c r="AR39" s="2">
        <v>1816</v>
      </c>
      <c r="AS39" s="2">
        <v>1816</v>
      </c>
      <c r="AT39" s="2">
        <v>1838</v>
      </c>
      <c r="AU39" s="2">
        <v>1838</v>
      </c>
      <c r="AV39" s="2">
        <v>1838</v>
      </c>
      <c r="AW39" s="2">
        <v>1838</v>
      </c>
      <c r="AX39" s="2">
        <v>1838</v>
      </c>
      <c r="AY39" s="2">
        <v>1838</v>
      </c>
      <c r="AZ39" s="2">
        <v>1838</v>
      </c>
      <c r="BA39" s="2">
        <v>1838</v>
      </c>
      <c r="BB39" s="2">
        <v>1838</v>
      </c>
      <c r="BC39" s="2">
        <v>1831</v>
      </c>
      <c r="BD39" s="2">
        <v>1831</v>
      </c>
      <c r="BE39" s="2">
        <v>1831</v>
      </c>
      <c r="BF39" s="2">
        <v>1831</v>
      </c>
      <c r="BG39" s="2">
        <v>1831</v>
      </c>
      <c r="BH39" s="2">
        <v>1831</v>
      </c>
      <c r="BI39" s="2">
        <v>1831</v>
      </c>
      <c r="BJ39" s="2">
        <v>1831</v>
      </c>
      <c r="BK39" s="2">
        <v>1831</v>
      </c>
      <c r="BL39" s="2">
        <v>1831</v>
      </c>
      <c r="BM39" s="2">
        <v>1831</v>
      </c>
      <c r="BN39" s="2">
        <v>1831</v>
      </c>
      <c r="BO39" s="2">
        <v>1831</v>
      </c>
      <c r="BP39" s="2">
        <v>1831</v>
      </c>
      <c r="BQ39" s="2">
        <v>1831</v>
      </c>
      <c r="BR39" s="2">
        <v>1831</v>
      </c>
      <c r="BS39" s="2">
        <v>1831</v>
      </c>
      <c r="BT39" s="2">
        <v>1831</v>
      </c>
      <c r="BU39" s="2">
        <v>1831</v>
      </c>
      <c r="BV39" s="2">
        <v>1831</v>
      </c>
      <c r="BW39" s="2">
        <v>1831</v>
      </c>
      <c r="BX39" s="2">
        <v>1831</v>
      </c>
      <c r="BY39" s="2">
        <v>1831</v>
      </c>
      <c r="BZ39" s="2">
        <v>1831</v>
      </c>
      <c r="CA39" s="2">
        <v>1831</v>
      </c>
      <c r="CB39" s="2">
        <v>1831</v>
      </c>
      <c r="CC39" s="2">
        <v>88</v>
      </c>
    </row>
    <row r="40" spans="1:81" s="2" customFormat="1" x14ac:dyDescent="0.35">
      <c r="A40" s="2" t="s">
        <v>667</v>
      </c>
      <c r="B40" s="2">
        <v>1804</v>
      </c>
      <c r="C40" s="2">
        <v>1816</v>
      </c>
      <c r="D40" s="2">
        <v>1826</v>
      </c>
      <c r="E40" s="2">
        <v>1805</v>
      </c>
      <c r="F40" s="2">
        <v>1790</v>
      </c>
      <c r="G40" s="2">
        <v>1790</v>
      </c>
      <c r="H40" s="2">
        <v>1790</v>
      </c>
      <c r="I40" s="2">
        <v>1804</v>
      </c>
      <c r="J40" s="2">
        <v>1804</v>
      </c>
      <c r="K40" s="2">
        <v>1828</v>
      </c>
      <c r="L40" s="2">
        <v>1815</v>
      </c>
      <c r="M40" s="2">
        <v>1815</v>
      </c>
      <c r="N40" s="2">
        <v>1815</v>
      </c>
      <c r="O40" s="2">
        <v>1832</v>
      </c>
      <c r="P40" s="2">
        <v>1817</v>
      </c>
      <c r="Q40" s="2">
        <v>1829</v>
      </c>
      <c r="R40" s="2">
        <v>1829</v>
      </c>
      <c r="S40" s="2">
        <v>1829</v>
      </c>
      <c r="T40" s="2">
        <v>1852</v>
      </c>
      <c r="U40" s="2">
        <v>1860</v>
      </c>
      <c r="V40" s="2">
        <v>1845</v>
      </c>
      <c r="W40" s="2">
        <v>1863</v>
      </c>
      <c r="X40" s="2">
        <v>1845</v>
      </c>
      <c r="Y40" s="2">
        <v>1823</v>
      </c>
      <c r="Z40" s="2">
        <v>1832</v>
      </c>
      <c r="AA40" s="2">
        <v>1832</v>
      </c>
      <c r="AB40" s="2">
        <v>1832</v>
      </c>
      <c r="AC40" s="2">
        <v>1818</v>
      </c>
      <c r="AD40" s="2">
        <v>1802</v>
      </c>
      <c r="AE40" s="2">
        <v>1819</v>
      </c>
      <c r="AF40" s="2">
        <v>1819</v>
      </c>
      <c r="AG40" s="2">
        <v>1819</v>
      </c>
      <c r="AH40" s="2">
        <v>1802</v>
      </c>
      <c r="AI40" s="2">
        <v>1824</v>
      </c>
      <c r="AJ40" s="2">
        <v>1832</v>
      </c>
      <c r="AK40" s="2">
        <v>1832</v>
      </c>
      <c r="AL40" s="2">
        <v>1832</v>
      </c>
      <c r="AM40" s="2">
        <v>1832</v>
      </c>
      <c r="AN40" s="2">
        <v>1832</v>
      </c>
      <c r="AO40" s="2">
        <v>1842</v>
      </c>
      <c r="AP40" s="2">
        <v>1842</v>
      </c>
      <c r="AQ40" s="2">
        <v>1842</v>
      </c>
      <c r="AR40" s="2">
        <v>1842</v>
      </c>
      <c r="AS40" s="2">
        <v>1842</v>
      </c>
      <c r="AT40" s="2">
        <v>1830</v>
      </c>
      <c r="AU40" s="2">
        <v>1830</v>
      </c>
      <c r="AV40" s="2">
        <v>1830</v>
      </c>
      <c r="AW40" s="2">
        <v>1830</v>
      </c>
      <c r="AX40" s="2">
        <v>1830</v>
      </c>
      <c r="AY40" s="2">
        <v>1830</v>
      </c>
      <c r="AZ40" s="2">
        <v>1830</v>
      </c>
      <c r="BA40" s="2">
        <v>1830</v>
      </c>
      <c r="BB40" s="2">
        <v>1830</v>
      </c>
      <c r="BC40" s="2">
        <v>1830</v>
      </c>
      <c r="BD40" s="2">
        <v>1830</v>
      </c>
      <c r="BE40" s="2">
        <v>1830</v>
      </c>
      <c r="BF40" s="2">
        <v>1830</v>
      </c>
      <c r="BG40" s="2">
        <v>1830</v>
      </c>
      <c r="BH40" s="2">
        <v>1830</v>
      </c>
      <c r="BI40" s="2">
        <v>1830</v>
      </c>
      <c r="BJ40" s="2">
        <v>1830</v>
      </c>
      <c r="BK40" s="2">
        <v>1830</v>
      </c>
      <c r="BL40" s="2">
        <v>1830</v>
      </c>
      <c r="BM40" s="2">
        <v>1830</v>
      </c>
      <c r="BN40" s="2">
        <v>1830</v>
      </c>
      <c r="BO40" s="2">
        <v>1830</v>
      </c>
      <c r="BP40" s="2">
        <v>1830</v>
      </c>
      <c r="BQ40" s="2">
        <v>1830</v>
      </c>
      <c r="BR40" s="2">
        <v>1830</v>
      </c>
      <c r="BS40" s="2">
        <v>1830</v>
      </c>
      <c r="BT40" s="2">
        <v>1830</v>
      </c>
      <c r="BU40" s="2">
        <v>1830</v>
      </c>
      <c r="BV40" s="2">
        <v>1830</v>
      </c>
      <c r="BW40" s="2">
        <v>1830</v>
      </c>
      <c r="BX40" s="2">
        <v>1830</v>
      </c>
      <c r="BY40" s="2">
        <v>1830</v>
      </c>
      <c r="BZ40" s="2">
        <v>1830</v>
      </c>
      <c r="CA40" s="2">
        <v>1830</v>
      </c>
      <c r="CB40" s="2">
        <v>1830</v>
      </c>
      <c r="CC40" s="2">
        <v>100</v>
      </c>
    </row>
    <row r="41" spans="1:81" s="2" customFormat="1" x14ac:dyDescent="0.35">
      <c r="A41" s="2" t="s">
        <v>664</v>
      </c>
      <c r="B41" s="2">
        <v>1782</v>
      </c>
      <c r="C41" s="2">
        <v>1798</v>
      </c>
      <c r="D41" s="2">
        <v>1810</v>
      </c>
      <c r="E41" s="2">
        <v>1823</v>
      </c>
      <c r="F41" s="2">
        <v>1840</v>
      </c>
      <c r="G41" s="2">
        <v>1813</v>
      </c>
      <c r="H41" s="2">
        <v>1830</v>
      </c>
      <c r="I41" s="2">
        <v>1846</v>
      </c>
      <c r="J41" s="2">
        <v>1846</v>
      </c>
      <c r="K41" s="2">
        <v>1858</v>
      </c>
      <c r="L41" s="2">
        <v>1837</v>
      </c>
      <c r="M41" s="2">
        <v>1837</v>
      </c>
      <c r="N41" s="2">
        <v>1837</v>
      </c>
      <c r="O41" s="2">
        <v>1837</v>
      </c>
      <c r="P41" s="2">
        <v>1837</v>
      </c>
      <c r="Q41" s="2">
        <v>1848</v>
      </c>
      <c r="R41" s="2">
        <v>1848</v>
      </c>
      <c r="S41" s="2">
        <v>1848</v>
      </c>
      <c r="T41" s="2">
        <v>1865</v>
      </c>
      <c r="U41" s="2">
        <v>1878</v>
      </c>
      <c r="V41" s="2">
        <v>1878</v>
      </c>
      <c r="W41" s="2">
        <v>1878</v>
      </c>
      <c r="X41" s="2">
        <v>1878</v>
      </c>
      <c r="Y41" s="2">
        <v>1878</v>
      </c>
      <c r="Z41" s="2">
        <v>1862</v>
      </c>
      <c r="AA41" s="2">
        <v>1862</v>
      </c>
      <c r="AB41" s="2">
        <v>1862</v>
      </c>
      <c r="AC41" s="2">
        <v>1849</v>
      </c>
      <c r="AD41" s="2">
        <v>1835</v>
      </c>
      <c r="AE41" s="2">
        <v>1847</v>
      </c>
      <c r="AF41" s="2">
        <v>1847</v>
      </c>
      <c r="AG41" s="2">
        <v>1847</v>
      </c>
      <c r="AH41" s="2">
        <v>1847</v>
      </c>
      <c r="AI41" s="2">
        <v>1847</v>
      </c>
      <c r="AJ41" s="2">
        <v>1834</v>
      </c>
      <c r="AK41" s="2">
        <v>1834</v>
      </c>
      <c r="AL41" s="2">
        <v>1834</v>
      </c>
      <c r="AM41" s="2">
        <v>1834</v>
      </c>
      <c r="AN41" s="2">
        <v>1834</v>
      </c>
      <c r="AO41" s="2">
        <v>1818</v>
      </c>
      <c r="AP41" s="2">
        <v>1818</v>
      </c>
      <c r="AQ41" s="2">
        <v>1818</v>
      </c>
      <c r="AR41" s="2">
        <v>1818</v>
      </c>
      <c r="AS41" s="2">
        <v>1818</v>
      </c>
      <c r="AT41" s="2">
        <v>1829</v>
      </c>
      <c r="AU41" s="2">
        <v>1829</v>
      </c>
      <c r="AV41" s="2">
        <v>1829</v>
      </c>
      <c r="AW41" s="2">
        <v>1829</v>
      </c>
      <c r="AX41" s="2">
        <v>1829</v>
      </c>
      <c r="AY41" s="2">
        <v>1829</v>
      </c>
      <c r="AZ41" s="2">
        <v>1829</v>
      </c>
      <c r="BA41" s="2">
        <v>1829</v>
      </c>
      <c r="BB41" s="2">
        <v>1829</v>
      </c>
      <c r="BC41" s="2">
        <v>1829</v>
      </c>
      <c r="BD41" s="2">
        <v>1829</v>
      </c>
      <c r="BE41" s="2">
        <v>1829</v>
      </c>
      <c r="BF41" s="2">
        <v>1829</v>
      </c>
      <c r="BG41" s="2">
        <v>1829</v>
      </c>
      <c r="BH41" s="2">
        <v>1829</v>
      </c>
      <c r="BI41" s="2">
        <v>1829</v>
      </c>
      <c r="BJ41" s="2">
        <v>1829</v>
      </c>
      <c r="BK41" s="2">
        <v>1829</v>
      </c>
      <c r="BL41" s="2">
        <v>1829</v>
      </c>
      <c r="BM41" s="2">
        <v>1829</v>
      </c>
      <c r="BN41" s="2">
        <v>1829</v>
      </c>
      <c r="BO41" s="2">
        <v>1829</v>
      </c>
      <c r="BP41" s="2">
        <v>1829</v>
      </c>
      <c r="BQ41" s="2">
        <v>1829</v>
      </c>
      <c r="BR41" s="2">
        <v>1829</v>
      </c>
      <c r="BS41" s="2">
        <v>1829</v>
      </c>
      <c r="BT41" s="2">
        <v>1829</v>
      </c>
      <c r="BU41" s="2">
        <v>1829</v>
      </c>
      <c r="BV41" s="2">
        <v>1829</v>
      </c>
      <c r="BW41" s="2">
        <v>1829</v>
      </c>
      <c r="BX41" s="2">
        <v>1829</v>
      </c>
      <c r="BY41" s="2">
        <v>1829</v>
      </c>
      <c r="BZ41" s="2">
        <v>1829</v>
      </c>
      <c r="CA41" s="2">
        <v>1829</v>
      </c>
      <c r="CB41" s="2">
        <v>1829</v>
      </c>
      <c r="CC41" s="2">
        <v>86</v>
      </c>
    </row>
    <row r="42" spans="1:81" s="2" customFormat="1" x14ac:dyDescent="0.35">
      <c r="A42" s="2" t="s">
        <v>665</v>
      </c>
      <c r="B42" s="2">
        <v>1768</v>
      </c>
      <c r="C42" s="2">
        <v>1778</v>
      </c>
      <c r="D42" s="2">
        <v>1769</v>
      </c>
      <c r="E42" s="2">
        <v>1780</v>
      </c>
      <c r="F42" s="2">
        <v>1774</v>
      </c>
      <c r="G42" s="2">
        <v>1774</v>
      </c>
      <c r="H42" s="2">
        <v>1774</v>
      </c>
      <c r="I42" s="2">
        <v>1786</v>
      </c>
      <c r="J42" s="2">
        <v>1767</v>
      </c>
      <c r="K42" s="2">
        <v>1784</v>
      </c>
      <c r="L42" s="2">
        <v>1799</v>
      </c>
      <c r="M42" s="2">
        <v>1799</v>
      </c>
      <c r="N42" s="2">
        <v>1799</v>
      </c>
      <c r="O42" s="2">
        <v>1777</v>
      </c>
      <c r="P42" s="2">
        <v>1764</v>
      </c>
      <c r="Q42" s="2">
        <v>1773</v>
      </c>
      <c r="R42" s="2">
        <v>1790</v>
      </c>
      <c r="S42" s="2">
        <v>1802</v>
      </c>
      <c r="T42" s="2">
        <v>1793</v>
      </c>
      <c r="U42" s="2">
        <v>1808</v>
      </c>
      <c r="V42" s="2">
        <v>1808</v>
      </c>
      <c r="W42" s="2">
        <v>1808</v>
      </c>
      <c r="X42" s="2">
        <v>1808</v>
      </c>
      <c r="Y42" s="2">
        <v>1808</v>
      </c>
      <c r="Z42" s="2">
        <v>1797</v>
      </c>
      <c r="AA42" s="2">
        <v>1783</v>
      </c>
      <c r="AB42" s="2">
        <v>1802</v>
      </c>
      <c r="AC42" s="2">
        <v>1802</v>
      </c>
      <c r="AD42" s="2">
        <v>1802</v>
      </c>
      <c r="AE42" s="2">
        <v>1786</v>
      </c>
      <c r="AF42" s="2">
        <v>1786</v>
      </c>
      <c r="AG42" s="2">
        <v>1786</v>
      </c>
      <c r="AH42" s="2">
        <v>1786</v>
      </c>
      <c r="AI42" s="2">
        <v>1786</v>
      </c>
      <c r="AJ42" s="2">
        <v>1794</v>
      </c>
      <c r="AK42" s="2">
        <v>1794</v>
      </c>
      <c r="AL42" s="2">
        <v>1794</v>
      </c>
      <c r="AM42" s="2">
        <v>1794</v>
      </c>
      <c r="AN42" s="2">
        <v>1794</v>
      </c>
      <c r="AO42" s="2">
        <v>1805</v>
      </c>
      <c r="AP42" s="2">
        <v>1805</v>
      </c>
      <c r="AQ42" s="2">
        <v>1805</v>
      </c>
      <c r="AR42" s="2">
        <v>1835</v>
      </c>
      <c r="AS42" s="2">
        <v>1817</v>
      </c>
      <c r="AT42" s="2">
        <v>1825</v>
      </c>
      <c r="AU42" s="2">
        <v>1825</v>
      </c>
      <c r="AV42" s="2">
        <v>1825</v>
      </c>
      <c r="AW42" s="2">
        <v>1825</v>
      </c>
      <c r="AX42" s="2">
        <v>1825</v>
      </c>
      <c r="AY42" s="2">
        <v>1825</v>
      </c>
      <c r="AZ42" s="2">
        <v>1825</v>
      </c>
      <c r="BA42" s="2">
        <v>1825</v>
      </c>
      <c r="BB42" s="2">
        <v>1825</v>
      </c>
      <c r="BC42" s="2">
        <v>1825</v>
      </c>
      <c r="BD42" s="2">
        <v>1825</v>
      </c>
      <c r="BE42" s="2">
        <v>1825</v>
      </c>
      <c r="BF42" s="2">
        <v>1825</v>
      </c>
      <c r="BG42" s="2">
        <v>1825</v>
      </c>
      <c r="BH42" s="2">
        <v>1825</v>
      </c>
      <c r="BI42" s="2">
        <v>1825</v>
      </c>
      <c r="BJ42" s="2">
        <v>1825</v>
      </c>
      <c r="BK42" s="2">
        <v>1825</v>
      </c>
      <c r="BL42" s="2">
        <v>1825</v>
      </c>
      <c r="BM42" s="2">
        <v>1825</v>
      </c>
      <c r="BN42" s="2">
        <v>1825</v>
      </c>
      <c r="BO42" s="2">
        <v>1825</v>
      </c>
      <c r="BP42" s="2">
        <v>1825</v>
      </c>
      <c r="BQ42" s="2">
        <v>1825</v>
      </c>
      <c r="BR42" s="2">
        <v>1825</v>
      </c>
      <c r="BS42" s="2">
        <v>1825</v>
      </c>
      <c r="BT42" s="2">
        <v>1825</v>
      </c>
      <c r="BU42" s="2">
        <v>1825</v>
      </c>
      <c r="BV42" s="2">
        <v>1825</v>
      </c>
      <c r="BW42" s="2">
        <v>1825</v>
      </c>
      <c r="BX42" s="2">
        <v>1825</v>
      </c>
      <c r="BY42" s="2">
        <v>1825</v>
      </c>
      <c r="BZ42" s="2">
        <v>1825</v>
      </c>
      <c r="CA42" s="2">
        <v>1825</v>
      </c>
      <c r="CB42" s="2">
        <v>1825</v>
      </c>
      <c r="CC42" s="2">
        <v>73</v>
      </c>
    </row>
    <row r="43" spans="1:81" s="2" customFormat="1" x14ac:dyDescent="0.35">
      <c r="A43" t="s">
        <v>677</v>
      </c>
      <c r="B43" s="2">
        <v>1692</v>
      </c>
      <c r="C43" s="2">
        <v>1683</v>
      </c>
      <c r="D43" s="2">
        <v>1701</v>
      </c>
      <c r="E43" s="2">
        <v>1720</v>
      </c>
      <c r="F43" s="2">
        <v>1737</v>
      </c>
      <c r="G43" s="2">
        <v>1761</v>
      </c>
      <c r="H43" s="2">
        <v>1787</v>
      </c>
      <c r="I43" s="2">
        <v>1776</v>
      </c>
      <c r="J43" s="2">
        <v>1759</v>
      </c>
      <c r="K43" s="2">
        <v>1741</v>
      </c>
      <c r="L43" s="2">
        <v>1757</v>
      </c>
      <c r="M43" s="2">
        <v>1757</v>
      </c>
      <c r="N43" s="2">
        <v>1757</v>
      </c>
      <c r="O43" s="2">
        <v>1757</v>
      </c>
      <c r="P43" s="2">
        <v>1757</v>
      </c>
      <c r="Q43" s="2">
        <v>1779</v>
      </c>
      <c r="R43" s="2">
        <v>1779</v>
      </c>
      <c r="S43" s="2">
        <v>1779</v>
      </c>
      <c r="T43" s="2">
        <v>1779</v>
      </c>
      <c r="U43" s="2">
        <v>1765</v>
      </c>
      <c r="V43" s="2">
        <v>1765</v>
      </c>
      <c r="W43" s="2">
        <v>1765</v>
      </c>
      <c r="X43" s="2">
        <v>1765</v>
      </c>
      <c r="Y43" s="2">
        <v>1765</v>
      </c>
      <c r="Z43" s="2">
        <v>1784</v>
      </c>
      <c r="AA43" s="2">
        <v>1784</v>
      </c>
      <c r="AB43" s="2">
        <v>1784</v>
      </c>
      <c r="AC43" s="2">
        <v>1784</v>
      </c>
      <c r="AD43" s="2">
        <v>1784</v>
      </c>
      <c r="AE43" s="2">
        <v>1793</v>
      </c>
      <c r="AF43" s="2">
        <v>1793</v>
      </c>
      <c r="AG43" s="2">
        <v>1793</v>
      </c>
      <c r="AH43" s="2">
        <v>1793</v>
      </c>
      <c r="AI43" s="2">
        <v>1793</v>
      </c>
      <c r="AJ43" s="2">
        <v>1806</v>
      </c>
      <c r="AK43" s="2">
        <v>1806</v>
      </c>
      <c r="AL43" s="2">
        <v>1806</v>
      </c>
      <c r="AM43" s="2">
        <v>1806</v>
      </c>
      <c r="AN43" s="2">
        <v>1806</v>
      </c>
      <c r="AO43" s="2">
        <v>1796</v>
      </c>
      <c r="AP43" s="2">
        <v>1796</v>
      </c>
      <c r="AQ43" s="2">
        <v>1796</v>
      </c>
      <c r="AR43" s="2">
        <v>1796</v>
      </c>
      <c r="AS43" s="2">
        <v>1796</v>
      </c>
      <c r="AT43" s="2">
        <v>1820</v>
      </c>
      <c r="AU43" s="2">
        <v>1820</v>
      </c>
      <c r="AV43" s="2">
        <v>1820</v>
      </c>
      <c r="AW43" s="2">
        <v>1820</v>
      </c>
      <c r="AX43" s="2">
        <v>1820</v>
      </c>
      <c r="AY43" s="2">
        <v>1820</v>
      </c>
      <c r="AZ43" s="2">
        <v>1820</v>
      </c>
      <c r="BA43" s="2">
        <v>1820</v>
      </c>
      <c r="BB43" s="2">
        <v>1820</v>
      </c>
      <c r="BC43" s="2">
        <v>1820</v>
      </c>
      <c r="BD43" s="2">
        <v>1820</v>
      </c>
      <c r="BE43" s="2">
        <v>1820</v>
      </c>
      <c r="BF43" s="2">
        <v>1820</v>
      </c>
      <c r="BG43" s="2">
        <v>1820</v>
      </c>
      <c r="BH43" s="2">
        <v>1820</v>
      </c>
      <c r="BI43" s="2">
        <v>1820</v>
      </c>
      <c r="BJ43" s="2">
        <v>1820</v>
      </c>
      <c r="BK43" s="2">
        <v>1820</v>
      </c>
      <c r="BL43" s="2">
        <v>1820</v>
      </c>
      <c r="BM43" s="2">
        <v>1820</v>
      </c>
      <c r="BN43" s="2">
        <v>1820</v>
      </c>
      <c r="BO43" s="2">
        <v>1820</v>
      </c>
      <c r="BP43" s="2">
        <v>1820</v>
      </c>
      <c r="BQ43" s="2">
        <v>1820</v>
      </c>
      <c r="BR43" s="2">
        <v>1820</v>
      </c>
      <c r="BS43" s="2">
        <v>1820</v>
      </c>
      <c r="BT43" s="2">
        <v>1820</v>
      </c>
      <c r="BU43" s="2">
        <v>1820</v>
      </c>
      <c r="BV43" s="2">
        <v>1820</v>
      </c>
      <c r="BW43" s="2">
        <v>1820</v>
      </c>
      <c r="BX43" s="2">
        <v>1820</v>
      </c>
      <c r="BY43" s="2">
        <v>1820</v>
      </c>
      <c r="BZ43" s="2">
        <v>1820</v>
      </c>
      <c r="CA43" s="2">
        <v>1820</v>
      </c>
      <c r="CB43" s="2">
        <v>1820</v>
      </c>
      <c r="CC43" s="2">
        <v>18</v>
      </c>
    </row>
    <row r="44" spans="1:81" s="2" customFormat="1" x14ac:dyDescent="0.35">
      <c r="A44" t="s">
        <v>692</v>
      </c>
      <c r="B44" s="2">
        <v>1812</v>
      </c>
      <c r="C44" s="2">
        <v>1822</v>
      </c>
      <c r="D44" s="2">
        <v>1833</v>
      </c>
      <c r="E44" s="2">
        <v>1821</v>
      </c>
      <c r="F44" s="2">
        <v>1830</v>
      </c>
      <c r="G44" s="2">
        <v>1830</v>
      </c>
      <c r="H44" s="2">
        <v>1830</v>
      </c>
      <c r="I44" s="2">
        <v>1841</v>
      </c>
      <c r="J44" s="2">
        <v>1841</v>
      </c>
      <c r="K44" s="2">
        <v>1818</v>
      </c>
      <c r="L44" s="2">
        <v>1803</v>
      </c>
      <c r="M44" s="2">
        <v>1821</v>
      </c>
      <c r="N44" s="2">
        <v>1806</v>
      </c>
      <c r="O44" s="2">
        <v>1822</v>
      </c>
      <c r="P44" s="2">
        <v>1801</v>
      </c>
      <c r="Q44" s="2">
        <v>1787</v>
      </c>
      <c r="R44" s="2">
        <v>1787</v>
      </c>
      <c r="S44" s="2">
        <v>1787</v>
      </c>
      <c r="T44" s="2">
        <v>1787</v>
      </c>
      <c r="U44" s="2">
        <v>1805</v>
      </c>
      <c r="V44" s="2">
        <v>1789</v>
      </c>
      <c r="W44" s="2">
        <v>1771</v>
      </c>
      <c r="X44" s="2">
        <v>1791</v>
      </c>
      <c r="Y44" s="2">
        <v>1774</v>
      </c>
      <c r="Z44" s="2">
        <v>1769</v>
      </c>
      <c r="AA44" s="2">
        <v>1769</v>
      </c>
      <c r="AB44" s="2">
        <v>1769</v>
      </c>
      <c r="AC44" s="2">
        <v>1769</v>
      </c>
      <c r="AD44" s="2">
        <v>1769</v>
      </c>
      <c r="AE44" s="2">
        <v>1783</v>
      </c>
      <c r="AF44" s="2">
        <v>1783</v>
      </c>
      <c r="AG44" s="2">
        <v>1783</v>
      </c>
      <c r="AH44" s="2">
        <v>1808</v>
      </c>
      <c r="AI44" s="2">
        <v>1786</v>
      </c>
      <c r="AJ44" s="2">
        <v>1804</v>
      </c>
      <c r="AK44" s="2">
        <v>1804</v>
      </c>
      <c r="AL44" s="2">
        <v>1804</v>
      </c>
      <c r="AM44" s="2">
        <v>1804</v>
      </c>
      <c r="AN44" s="2">
        <v>1804</v>
      </c>
      <c r="AO44" s="2">
        <v>1798</v>
      </c>
      <c r="AP44" s="2">
        <v>1798</v>
      </c>
      <c r="AQ44" s="2">
        <v>1798</v>
      </c>
      <c r="AR44" s="2">
        <v>1798</v>
      </c>
      <c r="AS44" s="2">
        <v>1798</v>
      </c>
      <c r="AT44" s="2">
        <v>1816</v>
      </c>
      <c r="AU44" s="2">
        <v>1816</v>
      </c>
      <c r="AV44" s="2">
        <v>1816</v>
      </c>
      <c r="AW44" s="2">
        <v>1816</v>
      </c>
      <c r="AX44" s="2">
        <v>1816</v>
      </c>
      <c r="AY44" s="2">
        <v>1816</v>
      </c>
      <c r="AZ44" s="2">
        <v>1816</v>
      </c>
      <c r="BA44" s="2">
        <v>1816</v>
      </c>
      <c r="BB44" s="2">
        <v>1816</v>
      </c>
      <c r="BC44" s="2">
        <v>1816</v>
      </c>
      <c r="BD44" s="2">
        <v>1816</v>
      </c>
      <c r="BE44" s="2">
        <v>1816</v>
      </c>
      <c r="BF44" s="2">
        <v>1816</v>
      </c>
      <c r="BG44" s="2">
        <v>1816</v>
      </c>
      <c r="BH44" s="2">
        <v>1816</v>
      </c>
      <c r="BI44" s="2">
        <v>1816</v>
      </c>
      <c r="BJ44" s="2">
        <v>1816</v>
      </c>
      <c r="BK44" s="2">
        <v>1816</v>
      </c>
      <c r="BL44" s="2">
        <v>1816</v>
      </c>
      <c r="BM44" s="2">
        <v>1816</v>
      </c>
      <c r="BN44" s="2">
        <v>1816</v>
      </c>
      <c r="BO44" s="2">
        <v>1816</v>
      </c>
      <c r="BP44" s="2">
        <v>1816</v>
      </c>
      <c r="BQ44" s="2">
        <v>1816</v>
      </c>
      <c r="BR44" s="2">
        <v>1816</v>
      </c>
      <c r="BS44" s="2">
        <v>1816</v>
      </c>
      <c r="BT44" s="2">
        <v>1816</v>
      </c>
      <c r="BU44" s="2">
        <v>1816</v>
      </c>
      <c r="BV44" s="2">
        <v>1816</v>
      </c>
      <c r="BW44" s="2">
        <v>1816</v>
      </c>
      <c r="BX44" s="2">
        <v>1816</v>
      </c>
      <c r="BY44" s="2">
        <v>1816</v>
      </c>
      <c r="BZ44" s="2">
        <v>1816</v>
      </c>
      <c r="CA44" s="2">
        <v>1816</v>
      </c>
      <c r="CB44" s="2">
        <v>1816</v>
      </c>
      <c r="CC44" s="2">
        <v>38</v>
      </c>
    </row>
    <row r="45" spans="1:81" s="2" customFormat="1" x14ac:dyDescent="0.35">
      <c r="A45" s="2" t="s">
        <v>776</v>
      </c>
      <c r="B45" s="2">
        <v>1803</v>
      </c>
      <c r="C45" s="2">
        <v>1791</v>
      </c>
      <c r="D45" s="2">
        <v>1787</v>
      </c>
      <c r="E45" s="2">
        <v>1773</v>
      </c>
      <c r="F45" s="2">
        <v>1765</v>
      </c>
      <c r="G45" s="2">
        <v>1752</v>
      </c>
      <c r="H45" s="2">
        <v>1767</v>
      </c>
      <c r="I45" s="2">
        <v>1755</v>
      </c>
      <c r="J45" s="2">
        <v>1755</v>
      </c>
      <c r="K45" s="2">
        <v>1778</v>
      </c>
      <c r="L45" s="2">
        <v>1789</v>
      </c>
      <c r="M45" s="2">
        <v>1789</v>
      </c>
      <c r="N45" s="2">
        <v>1789</v>
      </c>
      <c r="O45" s="2">
        <v>1789</v>
      </c>
      <c r="P45" s="2">
        <v>1789</v>
      </c>
      <c r="Q45" s="2">
        <v>1779</v>
      </c>
      <c r="R45" s="2">
        <v>1779</v>
      </c>
      <c r="S45" s="2">
        <v>1779</v>
      </c>
      <c r="T45" s="2">
        <v>1769</v>
      </c>
      <c r="U45" s="2">
        <v>1785</v>
      </c>
      <c r="V45" s="2">
        <v>1785</v>
      </c>
      <c r="W45" s="2">
        <v>1785</v>
      </c>
      <c r="X45" s="2">
        <v>1785</v>
      </c>
      <c r="Y45" s="2">
        <v>1785</v>
      </c>
      <c r="Z45" s="2">
        <v>1796</v>
      </c>
      <c r="AA45" s="2">
        <v>1796</v>
      </c>
      <c r="AB45" s="2">
        <v>1796</v>
      </c>
      <c r="AC45" s="2">
        <v>1796</v>
      </c>
      <c r="AD45" s="2">
        <v>1796</v>
      </c>
      <c r="AE45" s="2">
        <v>1811</v>
      </c>
      <c r="AF45" s="2">
        <v>1811</v>
      </c>
      <c r="AG45" s="2">
        <v>1811</v>
      </c>
      <c r="AH45" s="2">
        <v>1811</v>
      </c>
      <c r="AI45" s="2">
        <v>1811</v>
      </c>
      <c r="AJ45" s="2">
        <v>1790</v>
      </c>
      <c r="AK45" s="2">
        <v>1790</v>
      </c>
      <c r="AL45" s="2">
        <v>1790</v>
      </c>
      <c r="AM45" s="2">
        <v>1790</v>
      </c>
      <c r="AN45" s="2">
        <v>1790</v>
      </c>
      <c r="AO45" s="2">
        <v>1800</v>
      </c>
      <c r="AP45" s="2">
        <v>1800</v>
      </c>
      <c r="AQ45" s="2">
        <v>1800</v>
      </c>
      <c r="AR45" s="2">
        <v>1800</v>
      </c>
      <c r="AS45" s="2">
        <v>1800</v>
      </c>
      <c r="AT45" s="2">
        <v>1815</v>
      </c>
      <c r="AU45" s="2">
        <v>1815</v>
      </c>
      <c r="AV45" s="2">
        <v>1815</v>
      </c>
      <c r="AW45" s="2">
        <v>1815</v>
      </c>
      <c r="AX45" s="2">
        <v>1815</v>
      </c>
      <c r="AY45" s="2">
        <v>1815</v>
      </c>
      <c r="AZ45" s="2">
        <v>1815</v>
      </c>
      <c r="BA45" s="2">
        <v>1815</v>
      </c>
      <c r="BB45" s="2">
        <v>1815</v>
      </c>
      <c r="BC45" s="2">
        <v>1815</v>
      </c>
      <c r="BD45" s="2">
        <v>1815</v>
      </c>
      <c r="BE45" s="2">
        <v>1815</v>
      </c>
      <c r="BF45" s="2">
        <v>1815</v>
      </c>
      <c r="BG45" s="2">
        <v>1815</v>
      </c>
      <c r="BH45" s="2">
        <v>1815</v>
      </c>
      <c r="BI45" s="2">
        <v>1815</v>
      </c>
      <c r="BJ45" s="2">
        <v>1815</v>
      </c>
      <c r="BK45" s="2">
        <v>1815</v>
      </c>
      <c r="BL45" s="2">
        <v>1815</v>
      </c>
      <c r="BM45" s="2">
        <v>1815</v>
      </c>
      <c r="BN45" s="2">
        <v>1815</v>
      </c>
      <c r="BO45" s="2">
        <v>1815</v>
      </c>
      <c r="BP45" s="2">
        <v>1815</v>
      </c>
      <c r="BQ45" s="2">
        <v>1815</v>
      </c>
      <c r="BR45" s="2">
        <v>1815</v>
      </c>
      <c r="BS45" s="2">
        <v>1815</v>
      </c>
      <c r="BT45" s="2">
        <v>1815</v>
      </c>
      <c r="BU45" s="2">
        <v>1815</v>
      </c>
      <c r="BV45" s="2">
        <v>1815</v>
      </c>
      <c r="BW45" s="2">
        <v>1815</v>
      </c>
      <c r="BX45" s="2">
        <v>1815</v>
      </c>
      <c r="BY45" s="2">
        <v>1815</v>
      </c>
      <c r="BZ45" s="2">
        <v>1815</v>
      </c>
      <c r="CA45" s="2">
        <v>1815</v>
      </c>
      <c r="CB45" s="2">
        <v>1815</v>
      </c>
      <c r="CC45" s="2">
        <v>70</v>
      </c>
    </row>
    <row r="46" spans="1:81" s="2" customFormat="1" x14ac:dyDescent="0.35">
      <c r="A46" s="2" t="s">
        <v>746</v>
      </c>
      <c r="B46" s="2">
        <v>1919</v>
      </c>
      <c r="C46" s="2">
        <v>1926</v>
      </c>
      <c r="D46" s="2">
        <v>1913</v>
      </c>
      <c r="E46" s="2">
        <v>1924</v>
      </c>
      <c r="F46" s="2">
        <v>1932</v>
      </c>
      <c r="G46" s="2">
        <v>1932</v>
      </c>
      <c r="H46" s="2">
        <v>1932</v>
      </c>
      <c r="I46" s="2">
        <v>1919</v>
      </c>
      <c r="J46" s="2">
        <v>1919</v>
      </c>
      <c r="K46" s="2">
        <v>1919</v>
      </c>
      <c r="L46" s="2">
        <v>1926</v>
      </c>
      <c r="M46" s="2">
        <v>1926</v>
      </c>
      <c r="N46" s="2">
        <v>1926</v>
      </c>
      <c r="O46" s="2">
        <v>1910</v>
      </c>
      <c r="P46" s="2">
        <v>1895</v>
      </c>
      <c r="Q46" s="2">
        <v>1875</v>
      </c>
      <c r="R46" s="2">
        <v>1885</v>
      </c>
      <c r="S46" s="2">
        <v>1896</v>
      </c>
      <c r="T46" s="2">
        <v>1918</v>
      </c>
      <c r="U46" s="2">
        <v>1901</v>
      </c>
      <c r="V46" s="2">
        <v>1901</v>
      </c>
      <c r="W46" s="2">
        <v>1901</v>
      </c>
      <c r="X46" s="2">
        <v>1901</v>
      </c>
      <c r="Y46" s="2">
        <v>1901</v>
      </c>
      <c r="Z46" s="2">
        <v>1886</v>
      </c>
      <c r="AA46" s="2">
        <v>1871</v>
      </c>
      <c r="AB46" s="2">
        <v>1859</v>
      </c>
      <c r="AC46" s="2">
        <v>1836</v>
      </c>
      <c r="AD46" s="2">
        <v>1820</v>
      </c>
      <c r="AE46" s="2">
        <v>1829</v>
      </c>
      <c r="AF46" s="2">
        <v>1850</v>
      </c>
      <c r="AG46" s="2">
        <v>1869</v>
      </c>
      <c r="AH46" s="2">
        <v>1869</v>
      </c>
      <c r="AI46" s="2">
        <v>1869</v>
      </c>
      <c r="AJ46" s="2">
        <v>1860</v>
      </c>
      <c r="AK46" s="2">
        <v>1838</v>
      </c>
      <c r="AL46" s="2">
        <v>1860</v>
      </c>
      <c r="AM46" s="2">
        <v>1860</v>
      </c>
      <c r="AN46" s="2">
        <v>1860</v>
      </c>
      <c r="AO46" s="2">
        <v>1842</v>
      </c>
      <c r="AP46" s="2">
        <v>1869</v>
      </c>
      <c r="AQ46" s="2">
        <v>1890</v>
      </c>
      <c r="AR46" s="2">
        <v>1911</v>
      </c>
      <c r="AS46" s="2">
        <v>1888</v>
      </c>
      <c r="AT46" s="2">
        <v>1870</v>
      </c>
      <c r="AU46" s="2">
        <v>1857</v>
      </c>
      <c r="AV46" s="2">
        <v>1843</v>
      </c>
      <c r="AW46" s="2">
        <v>1825</v>
      </c>
      <c r="AX46" s="2">
        <v>1809</v>
      </c>
      <c r="AY46" s="2">
        <v>1809</v>
      </c>
      <c r="AZ46" s="2">
        <v>1809</v>
      </c>
      <c r="BA46" s="2">
        <v>1809</v>
      </c>
      <c r="BB46" s="2">
        <v>1809</v>
      </c>
      <c r="BC46" s="2">
        <v>1809</v>
      </c>
      <c r="BD46" s="2">
        <v>1809</v>
      </c>
      <c r="BE46" s="2">
        <v>1809</v>
      </c>
      <c r="BF46" s="2">
        <v>1809</v>
      </c>
      <c r="BG46" s="2">
        <v>1809</v>
      </c>
      <c r="BH46" s="2">
        <v>1809</v>
      </c>
      <c r="BI46" s="2">
        <v>1809</v>
      </c>
      <c r="BJ46" s="2">
        <v>1809</v>
      </c>
      <c r="BK46" s="2">
        <v>1809</v>
      </c>
      <c r="BL46" s="2">
        <v>1809</v>
      </c>
      <c r="BM46" s="2">
        <v>1809</v>
      </c>
      <c r="BN46" s="2">
        <v>1809</v>
      </c>
      <c r="BO46" s="2">
        <v>1809</v>
      </c>
      <c r="BP46" s="2">
        <v>1809</v>
      </c>
      <c r="BQ46" s="2">
        <v>1809</v>
      </c>
      <c r="BR46" s="2">
        <v>1809</v>
      </c>
      <c r="BS46" s="2">
        <v>1809</v>
      </c>
      <c r="BT46" s="2">
        <v>1809</v>
      </c>
      <c r="BU46" s="2">
        <v>1809</v>
      </c>
      <c r="BV46" s="2">
        <v>1809</v>
      </c>
      <c r="BW46" s="2">
        <v>1809</v>
      </c>
      <c r="BX46" s="2">
        <v>1809</v>
      </c>
      <c r="BY46" s="2">
        <v>1809</v>
      </c>
      <c r="BZ46" s="2">
        <v>1809</v>
      </c>
      <c r="CA46" s="2">
        <v>1809</v>
      </c>
      <c r="CB46" s="2">
        <v>1809</v>
      </c>
      <c r="CC46" s="2">
        <v>39</v>
      </c>
    </row>
    <row r="47" spans="1:81" s="2" customFormat="1" x14ac:dyDescent="0.35">
      <c r="A47" t="s">
        <v>783</v>
      </c>
      <c r="B47" s="2">
        <v>1807</v>
      </c>
      <c r="C47" s="2">
        <v>1791</v>
      </c>
      <c r="D47" s="2">
        <v>1779</v>
      </c>
      <c r="E47" s="2">
        <v>1795</v>
      </c>
      <c r="F47" s="2">
        <v>1782</v>
      </c>
      <c r="G47" s="2">
        <v>1782</v>
      </c>
      <c r="H47" s="2">
        <v>1782</v>
      </c>
      <c r="I47" s="2">
        <v>1803</v>
      </c>
      <c r="J47" s="2">
        <v>1803</v>
      </c>
      <c r="K47" s="2">
        <v>1803</v>
      </c>
      <c r="L47" s="2">
        <v>1819</v>
      </c>
      <c r="M47" s="2">
        <v>1847</v>
      </c>
      <c r="N47" s="2">
        <v>1829</v>
      </c>
      <c r="O47" s="2">
        <v>1815</v>
      </c>
      <c r="P47" s="2">
        <v>1803</v>
      </c>
      <c r="Q47" s="2">
        <v>1816</v>
      </c>
      <c r="R47" s="2">
        <v>1833</v>
      </c>
      <c r="S47" s="2">
        <v>1847</v>
      </c>
      <c r="T47" s="2">
        <v>1868</v>
      </c>
      <c r="U47" s="2">
        <v>1854</v>
      </c>
      <c r="V47" s="2">
        <v>1834</v>
      </c>
      <c r="W47" s="2">
        <v>1848</v>
      </c>
      <c r="X47" s="2">
        <v>1848</v>
      </c>
      <c r="Y47" s="2">
        <v>1848</v>
      </c>
      <c r="Z47" s="2">
        <v>1834</v>
      </c>
      <c r="AA47" s="2">
        <v>1823</v>
      </c>
      <c r="AB47" s="2">
        <v>1814</v>
      </c>
      <c r="AC47" s="2">
        <v>1796</v>
      </c>
      <c r="AD47" s="2">
        <v>1784</v>
      </c>
      <c r="AE47" s="2">
        <v>1793</v>
      </c>
      <c r="AF47" s="2">
        <v>1779</v>
      </c>
      <c r="AG47" s="2">
        <v>1803</v>
      </c>
      <c r="AH47" s="2">
        <v>1803</v>
      </c>
      <c r="AI47" s="2">
        <v>1803</v>
      </c>
      <c r="AJ47" s="2">
        <v>1790</v>
      </c>
      <c r="AK47" s="2">
        <v>1813</v>
      </c>
      <c r="AL47" s="2">
        <v>1794</v>
      </c>
      <c r="AM47" s="2">
        <v>1794</v>
      </c>
      <c r="AN47" s="2">
        <v>1794</v>
      </c>
      <c r="AO47" s="2">
        <v>1805</v>
      </c>
      <c r="AP47" s="2">
        <v>1805</v>
      </c>
      <c r="AQ47" s="2">
        <v>1805</v>
      </c>
      <c r="AR47" s="2">
        <v>1830</v>
      </c>
      <c r="AS47" s="2">
        <v>1812</v>
      </c>
      <c r="AT47" s="2">
        <v>1796</v>
      </c>
      <c r="AU47" s="2">
        <v>1825</v>
      </c>
      <c r="AV47" s="2">
        <v>1809</v>
      </c>
      <c r="AW47" s="2">
        <v>1809</v>
      </c>
      <c r="AX47" s="2">
        <v>1809</v>
      </c>
      <c r="AY47" s="2">
        <v>1809</v>
      </c>
      <c r="AZ47" s="2">
        <v>1809</v>
      </c>
      <c r="BA47" s="2">
        <v>1809</v>
      </c>
      <c r="BB47" s="2">
        <v>1809</v>
      </c>
      <c r="BC47" s="2">
        <v>1809</v>
      </c>
      <c r="BD47" s="2">
        <v>1809</v>
      </c>
      <c r="BE47" s="2">
        <v>1809</v>
      </c>
      <c r="BF47" s="2">
        <v>1809</v>
      </c>
      <c r="BG47" s="2">
        <v>1809</v>
      </c>
      <c r="BH47" s="2">
        <v>1809</v>
      </c>
      <c r="BI47" s="2">
        <v>1809</v>
      </c>
      <c r="BJ47" s="2">
        <v>1809</v>
      </c>
      <c r="BK47" s="2">
        <v>1809</v>
      </c>
      <c r="BL47" s="2">
        <v>1809</v>
      </c>
      <c r="BM47" s="2">
        <v>1809</v>
      </c>
      <c r="BN47" s="2">
        <v>1809</v>
      </c>
      <c r="BO47" s="2">
        <v>1809</v>
      </c>
      <c r="BP47" s="2">
        <v>1809</v>
      </c>
      <c r="BQ47" s="2">
        <v>1809</v>
      </c>
      <c r="BR47" s="2">
        <v>1809</v>
      </c>
      <c r="BS47" s="2">
        <v>1809</v>
      </c>
      <c r="BT47" s="2">
        <v>1809</v>
      </c>
      <c r="BU47" s="2">
        <v>1809</v>
      </c>
      <c r="BV47" s="2">
        <v>1809</v>
      </c>
      <c r="BW47" s="2">
        <v>1809</v>
      </c>
      <c r="BX47" s="2">
        <v>1809</v>
      </c>
      <c r="BY47" s="2">
        <v>1809</v>
      </c>
      <c r="BZ47" s="2">
        <v>1809</v>
      </c>
      <c r="CA47" s="2">
        <v>1809</v>
      </c>
      <c r="CB47" s="2">
        <v>1809</v>
      </c>
      <c r="CC47" s="2">
        <v>30</v>
      </c>
    </row>
    <row r="48" spans="1:81" s="2" customFormat="1" x14ac:dyDescent="0.35">
      <c r="A48" s="2" t="s">
        <v>681</v>
      </c>
      <c r="B48" s="2">
        <v>1821</v>
      </c>
      <c r="C48" s="2">
        <v>1831</v>
      </c>
      <c r="D48" s="2">
        <v>1818</v>
      </c>
      <c r="E48" s="2">
        <v>1833</v>
      </c>
      <c r="F48" s="2">
        <v>1816</v>
      </c>
      <c r="G48" s="2">
        <v>1816</v>
      </c>
      <c r="H48" s="2">
        <v>1816</v>
      </c>
      <c r="I48" s="2">
        <v>1828</v>
      </c>
      <c r="J48" s="2">
        <v>1828</v>
      </c>
      <c r="K48" s="2">
        <v>1828</v>
      </c>
      <c r="L48" s="2">
        <v>1814</v>
      </c>
      <c r="M48" s="2">
        <v>1814</v>
      </c>
      <c r="N48" s="2">
        <v>1814</v>
      </c>
      <c r="O48" s="2">
        <v>1805</v>
      </c>
      <c r="P48" s="2">
        <v>1796</v>
      </c>
      <c r="Q48" s="2">
        <v>1784</v>
      </c>
      <c r="R48" s="2">
        <v>1772</v>
      </c>
      <c r="S48" s="2">
        <v>1797</v>
      </c>
      <c r="T48" s="2">
        <v>1821</v>
      </c>
      <c r="U48" s="2">
        <v>1834</v>
      </c>
      <c r="V48" s="2">
        <v>1834</v>
      </c>
      <c r="W48" s="2">
        <v>1834</v>
      </c>
      <c r="X48" s="2">
        <v>1834</v>
      </c>
      <c r="Y48" s="2">
        <v>1834</v>
      </c>
      <c r="Z48" s="2">
        <v>1823</v>
      </c>
      <c r="AA48" s="2">
        <v>1838</v>
      </c>
      <c r="AB48" s="2">
        <v>1821</v>
      </c>
      <c r="AC48" s="2">
        <v>1796</v>
      </c>
      <c r="AD48" s="2">
        <v>1781</v>
      </c>
      <c r="AE48" s="2">
        <v>1765</v>
      </c>
      <c r="AF48" s="2">
        <v>1759</v>
      </c>
      <c r="AG48" s="2">
        <v>1753</v>
      </c>
      <c r="AH48" s="2">
        <v>1753</v>
      </c>
      <c r="AI48" s="2">
        <v>1753</v>
      </c>
      <c r="AJ48" s="2">
        <v>1772</v>
      </c>
      <c r="AK48" s="2">
        <v>1772</v>
      </c>
      <c r="AL48" s="2">
        <v>1772</v>
      </c>
      <c r="AM48" s="2">
        <v>1772</v>
      </c>
      <c r="AN48" s="2">
        <v>1772</v>
      </c>
      <c r="AO48" s="2">
        <v>1788</v>
      </c>
      <c r="AP48" s="2">
        <v>1788</v>
      </c>
      <c r="AQ48" s="2">
        <v>1788</v>
      </c>
      <c r="AR48" s="2">
        <v>1814</v>
      </c>
      <c r="AS48" s="2">
        <v>1794</v>
      </c>
      <c r="AT48" s="2">
        <v>1806</v>
      </c>
      <c r="AU48" s="2">
        <v>1806</v>
      </c>
      <c r="AV48" s="2">
        <v>1806</v>
      </c>
      <c r="AW48" s="2">
        <v>1806</v>
      </c>
      <c r="AX48" s="2">
        <v>1806</v>
      </c>
      <c r="AY48" s="2">
        <v>1806</v>
      </c>
      <c r="AZ48" s="2">
        <v>1806</v>
      </c>
      <c r="BA48" s="2">
        <v>1806</v>
      </c>
      <c r="BB48" s="2">
        <v>1806</v>
      </c>
      <c r="BC48" s="2">
        <v>1806</v>
      </c>
      <c r="BD48" s="2">
        <v>1806</v>
      </c>
      <c r="BE48" s="2">
        <v>1806</v>
      </c>
      <c r="BF48" s="2">
        <v>1806</v>
      </c>
      <c r="BG48" s="2">
        <v>1806</v>
      </c>
      <c r="BH48" s="2">
        <v>1806</v>
      </c>
      <c r="BI48" s="2">
        <v>1806</v>
      </c>
      <c r="BJ48" s="2">
        <v>1806</v>
      </c>
      <c r="BK48" s="2">
        <v>1806</v>
      </c>
      <c r="BL48" s="2">
        <v>1806</v>
      </c>
      <c r="BM48" s="2">
        <v>1806</v>
      </c>
      <c r="BN48" s="2">
        <v>1806</v>
      </c>
      <c r="BO48" s="2">
        <v>1806</v>
      </c>
      <c r="BP48" s="2">
        <v>1806</v>
      </c>
      <c r="BQ48" s="2">
        <v>1806</v>
      </c>
      <c r="BR48" s="2">
        <v>1806</v>
      </c>
      <c r="BS48" s="2">
        <v>1806</v>
      </c>
      <c r="BT48" s="2">
        <v>1806</v>
      </c>
      <c r="BU48" s="2">
        <v>1806</v>
      </c>
      <c r="BV48" s="2">
        <v>1806</v>
      </c>
      <c r="BW48" s="2">
        <v>1806</v>
      </c>
      <c r="BX48" s="2">
        <v>1806</v>
      </c>
      <c r="BY48" s="2">
        <v>1806</v>
      </c>
      <c r="BZ48" s="2">
        <v>1806</v>
      </c>
      <c r="CA48" s="2">
        <v>1806</v>
      </c>
      <c r="CB48" s="2">
        <v>1806</v>
      </c>
      <c r="CC48" s="2">
        <v>96</v>
      </c>
    </row>
    <row r="49" spans="1:81" s="2" customFormat="1" x14ac:dyDescent="0.35">
      <c r="A49" s="2" t="s">
        <v>679</v>
      </c>
      <c r="B49" s="2">
        <v>1791</v>
      </c>
      <c r="C49" s="2">
        <v>1783</v>
      </c>
      <c r="D49" s="2">
        <v>1774</v>
      </c>
      <c r="E49" s="2">
        <v>1788</v>
      </c>
      <c r="F49" s="2">
        <v>1802</v>
      </c>
      <c r="G49" s="2">
        <v>1802</v>
      </c>
      <c r="H49" s="2">
        <v>1802</v>
      </c>
      <c r="I49" s="2">
        <v>1788</v>
      </c>
      <c r="J49" s="2">
        <v>1788</v>
      </c>
      <c r="K49" s="2">
        <v>1805</v>
      </c>
      <c r="L49" s="2">
        <v>1821</v>
      </c>
      <c r="M49" s="2">
        <v>1821</v>
      </c>
      <c r="N49" s="2">
        <v>1821</v>
      </c>
      <c r="O49" s="2">
        <v>1802</v>
      </c>
      <c r="P49" s="2">
        <v>1824</v>
      </c>
      <c r="Q49" s="2">
        <v>1810</v>
      </c>
      <c r="R49" s="2">
        <v>1810</v>
      </c>
      <c r="S49" s="2">
        <v>1810</v>
      </c>
      <c r="T49" s="2">
        <v>1792</v>
      </c>
      <c r="U49" s="2">
        <v>1806</v>
      </c>
      <c r="V49" s="2">
        <v>1822</v>
      </c>
      <c r="W49" s="2">
        <v>1806</v>
      </c>
      <c r="X49" s="2">
        <v>1824</v>
      </c>
      <c r="Y49" s="2">
        <v>1846</v>
      </c>
      <c r="Z49" s="2">
        <v>1835</v>
      </c>
      <c r="AA49" s="2">
        <v>1835</v>
      </c>
      <c r="AB49" s="2">
        <v>1835</v>
      </c>
      <c r="AC49" s="2">
        <v>1835</v>
      </c>
      <c r="AD49" s="2">
        <v>1835</v>
      </c>
      <c r="AE49" s="2">
        <v>1845</v>
      </c>
      <c r="AF49" s="2">
        <v>1825</v>
      </c>
      <c r="AG49" s="2">
        <v>1847</v>
      </c>
      <c r="AH49" s="2">
        <v>1829</v>
      </c>
      <c r="AI49" s="2">
        <v>1814</v>
      </c>
      <c r="AJ49" s="2">
        <v>1826</v>
      </c>
      <c r="AK49" s="2">
        <v>1848</v>
      </c>
      <c r="AL49" s="2">
        <v>1826</v>
      </c>
      <c r="AM49" s="2">
        <v>1826</v>
      </c>
      <c r="AN49" s="2">
        <v>1826</v>
      </c>
      <c r="AO49" s="2">
        <v>1834</v>
      </c>
      <c r="AP49" s="2">
        <v>1826</v>
      </c>
      <c r="AQ49" s="2">
        <v>1816</v>
      </c>
      <c r="AR49" s="2">
        <v>1816</v>
      </c>
      <c r="AS49" s="2">
        <v>1816</v>
      </c>
      <c r="AT49" s="2">
        <v>1801</v>
      </c>
      <c r="AU49" s="2">
        <v>1801</v>
      </c>
      <c r="AV49" s="2">
        <v>1801</v>
      </c>
      <c r="AW49" s="2">
        <v>1801</v>
      </c>
      <c r="AX49" s="2">
        <v>1801</v>
      </c>
      <c r="AY49" s="2">
        <v>1801</v>
      </c>
      <c r="AZ49" s="2">
        <v>1801</v>
      </c>
      <c r="BA49" s="2">
        <v>1801</v>
      </c>
      <c r="BB49" s="2">
        <v>1801</v>
      </c>
      <c r="BC49" s="2">
        <v>1801</v>
      </c>
      <c r="BD49" s="2">
        <v>1801</v>
      </c>
      <c r="BE49" s="2">
        <v>1801</v>
      </c>
      <c r="BF49" s="2">
        <v>1801</v>
      </c>
      <c r="BG49" s="2">
        <v>1801</v>
      </c>
      <c r="BH49" s="2">
        <v>1801</v>
      </c>
      <c r="BI49" s="2">
        <v>1801</v>
      </c>
      <c r="BJ49" s="2">
        <v>1801</v>
      </c>
      <c r="BK49" s="2">
        <v>1801</v>
      </c>
      <c r="BL49" s="2">
        <v>1801</v>
      </c>
      <c r="BM49" s="2">
        <v>1801</v>
      </c>
      <c r="BN49" s="2">
        <v>1801</v>
      </c>
      <c r="BO49" s="2">
        <v>1801</v>
      </c>
      <c r="BP49" s="2">
        <v>1801</v>
      </c>
      <c r="BQ49" s="2">
        <v>1801</v>
      </c>
      <c r="BR49" s="2">
        <v>1801</v>
      </c>
      <c r="BS49" s="2">
        <v>1801</v>
      </c>
      <c r="BT49" s="2">
        <v>1801</v>
      </c>
      <c r="BU49" s="2">
        <v>1801</v>
      </c>
      <c r="BV49" s="2">
        <v>1801</v>
      </c>
      <c r="BW49" s="2">
        <v>1801</v>
      </c>
      <c r="BX49" s="2">
        <v>1801</v>
      </c>
      <c r="BY49" s="2">
        <v>1801</v>
      </c>
      <c r="BZ49" s="2">
        <v>1801</v>
      </c>
      <c r="CA49" s="2">
        <v>1801</v>
      </c>
      <c r="CB49" s="2">
        <v>1801</v>
      </c>
      <c r="CC49" s="2">
        <v>60</v>
      </c>
    </row>
    <row r="50" spans="1:81" s="2" customFormat="1" x14ac:dyDescent="0.35">
      <c r="A50" s="2" t="s">
        <v>693</v>
      </c>
      <c r="B50" s="2">
        <v>1734</v>
      </c>
      <c r="C50" s="2">
        <v>1726</v>
      </c>
      <c r="D50" s="2">
        <v>1739</v>
      </c>
      <c r="E50" s="2">
        <v>1750</v>
      </c>
      <c r="F50" s="2">
        <v>1771</v>
      </c>
      <c r="G50" s="2">
        <v>1755</v>
      </c>
      <c r="H50" s="2">
        <v>1771</v>
      </c>
      <c r="I50" s="2">
        <v>1784</v>
      </c>
      <c r="J50" s="2">
        <v>1784</v>
      </c>
      <c r="K50" s="2">
        <v>1774</v>
      </c>
      <c r="L50" s="2">
        <v>1785</v>
      </c>
      <c r="M50" s="2">
        <v>1785</v>
      </c>
      <c r="N50" s="2">
        <v>1785</v>
      </c>
      <c r="O50" s="2">
        <v>1785</v>
      </c>
      <c r="P50" s="2">
        <v>1785</v>
      </c>
      <c r="Q50" s="2">
        <v>1799</v>
      </c>
      <c r="R50" s="2">
        <v>1799</v>
      </c>
      <c r="S50" s="2">
        <v>1799</v>
      </c>
      <c r="T50" s="2">
        <v>1799</v>
      </c>
      <c r="U50" s="2">
        <v>1780</v>
      </c>
      <c r="V50" s="2">
        <v>1780</v>
      </c>
      <c r="W50" s="2">
        <v>1780</v>
      </c>
      <c r="X50" s="2">
        <v>1780</v>
      </c>
      <c r="Y50" s="2">
        <v>1780</v>
      </c>
      <c r="Z50" s="2">
        <v>1768</v>
      </c>
      <c r="AA50" s="2">
        <v>1768</v>
      </c>
      <c r="AB50" s="2">
        <v>1768</v>
      </c>
      <c r="AC50" s="2">
        <v>1768</v>
      </c>
      <c r="AD50" s="2">
        <v>1768</v>
      </c>
      <c r="AE50" s="2">
        <v>1758</v>
      </c>
      <c r="AF50" s="2">
        <v>1758</v>
      </c>
      <c r="AG50" s="2">
        <v>1758</v>
      </c>
      <c r="AH50" s="2">
        <v>1758</v>
      </c>
      <c r="AI50" s="2">
        <v>1758</v>
      </c>
      <c r="AJ50" s="2">
        <v>1769</v>
      </c>
      <c r="AK50" s="2">
        <v>1769</v>
      </c>
      <c r="AL50" s="2">
        <v>1769</v>
      </c>
      <c r="AM50" s="2">
        <v>1769</v>
      </c>
      <c r="AN50" s="2">
        <v>1769</v>
      </c>
      <c r="AO50" s="2">
        <v>1789</v>
      </c>
      <c r="AP50" s="2">
        <v>1789</v>
      </c>
      <c r="AQ50" s="2">
        <v>1789</v>
      </c>
      <c r="AR50" s="2">
        <v>1789</v>
      </c>
      <c r="AS50" s="2">
        <v>1789</v>
      </c>
      <c r="AT50" s="2">
        <v>1799</v>
      </c>
      <c r="AU50" s="2">
        <v>1799</v>
      </c>
      <c r="AV50" s="2">
        <v>1799</v>
      </c>
      <c r="AW50" s="2">
        <v>1799</v>
      </c>
      <c r="AX50" s="2">
        <v>1799</v>
      </c>
      <c r="AY50" s="2">
        <v>1799</v>
      </c>
      <c r="AZ50" s="2">
        <v>1799</v>
      </c>
      <c r="BA50" s="2">
        <v>1799</v>
      </c>
      <c r="BB50" s="2">
        <v>1799</v>
      </c>
      <c r="BC50" s="2">
        <v>1799</v>
      </c>
      <c r="BD50" s="2">
        <v>1799</v>
      </c>
      <c r="BE50" s="2">
        <v>1799</v>
      </c>
      <c r="BF50" s="2">
        <v>1799</v>
      </c>
      <c r="BG50" s="2">
        <v>1799</v>
      </c>
      <c r="BH50" s="2">
        <v>1799</v>
      </c>
      <c r="BI50" s="2">
        <v>1799</v>
      </c>
      <c r="BJ50" s="2">
        <v>1799</v>
      </c>
      <c r="BK50" s="2">
        <v>1799</v>
      </c>
      <c r="BL50" s="2">
        <v>1799</v>
      </c>
      <c r="BM50" s="2">
        <v>1799</v>
      </c>
      <c r="BN50" s="2">
        <v>1799</v>
      </c>
      <c r="BO50" s="2">
        <v>1799</v>
      </c>
      <c r="BP50" s="2">
        <v>1799</v>
      </c>
      <c r="BQ50" s="2">
        <v>1799</v>
      </c>
      <c r="BR50" s="2">
        <v>1799</v>
      </c>
      <c r="BS50" s="2">
        <v>1799</v>
      </c>
      <c r="BT50" s="2">
        <v>1799</v>
      </c>
      <c r="BU50" s="2">
        <v>1799</v>
      </c>
      <c r="BV50" s="2">
        <v>1799</v>
      </c>
      <c r="BW50" s="2">
        <v>1799</v>
      </c>
      <c r="BX50" s="2">
        <v>1799</v>
      </c>
      <c r="BY50" s="2">
        <v>1799</v>
      </c>
      <c r="BZ50" s="2">
        <v>1799</v>
      </c>
      <c r="CA50" s="2">
        <v>1799</v>
      </c>
      <c r="CB50" s="2">
        <v>1799</v>
      </c>
      <c r="CC50" s="2">
        <v>51</v>
      </c>
    </row>
    <row r="51" spans="1:81" s="2" customFormat="1" x14ac:dyDescent="0.35">
      <c r="A51" s="2" t="s">
        <v>712</v>
      </c>
      <c r="B51" s="2">
        <v>1756</v>
      </c>
      <c r="C51" s="2">
        <v>1745</v>
      </c>
      <c r="D51" s="2">
        <v>1764</v>
      </c>
      <c r="E51" s="2">
        <v>1782</v>
      </c>
      <c r="F51" s="2">
        <v>1761</v>
      </c>
      <c r="G51" s="2">
        <v>1778</v>
      </c>
      <c r="H51" s="2">
        <v>1761</v>
      </c>
      <c r="I51" s="2">
        <v>1748</v>
      </c>
      <c r="J51" s="2">
        <v>1766</v>
      </c>
      <c r="K51" s="2">
        <v>1766</v>
      </c>
      <c r="L51" s="2">
        <v>1783</v>
      </c>
      <c r="M51" s="2">
        <v>1765</v>
      </c>
      <c r="N51" s="2">
        <v>1783</v>
      </c>
      <c r="O51" s="2">
        <v>1783</v>
      </c>
      <c r="P51" s="2">
        <v>1783</v>
      </c>
      <c r="Q51" s="2">
        <v>1776</v>
      </c>
      <c r="R51" s="2">
        <v>1776</v>
      </c>
      <c r="S51" s="2">
        <v>1776</v>
      </c>
      <c r="T51" s="2">
        <v>1776</v>
      </c>
      <c r="U51" s="2">
        <v>1770</v>
      </c>
      <c r="V51" s="2">
        <v>1770</v>
      </c>
      <c r="W51" s="2">
        <v>1770</v>
      </c>
      <c r="X51" s="2">
        <v>1770</v>
      </c>
      <c r="Y51" s="2">
        <v>1770</v>
      </c>
      <c r="Z51" s="2">
        <v>1758</v>
      </c>
      <c r="AA51" s="2">
        <v>1758</v>
      </c>
      <c r="AB51" s="2">
        <v>1758</v>
      </c>
      <c r="AC51" s="2">
        <v>1758</v>
      </c>
      <c r="AD51" s="2">
        <v>1758</v>
      </c>
      <c r="AE51" s="2">
        <v>1771</v>
      </c>
      <c r="AF51" s="2">
        <v>1771</v>
      </c>
      <c r="AG51" s="2">
        <v>1771</v>
      </c>
      <c r="AH51" s="2">
        <v>1771</v>
      </c>
      <c r="AI51" s="2">
        <v>1771</v>
      </c>
      <c r="AJ51" s="2">
        <v>1767</v>
      </c>
      <c r="AK51" s="2">
        <v>1767</v>
      </c>
      <c r="AL51" s="2">
        <v>1767</v>
      </c>
      <c r="AM51" s="2">
        <v>1767</v>
      </c>
      <c r="AN51" s="2">
        <v>1767</v>
      </c>
      <c r="AO51" s="2">
        <v>1782</v>
      </c>
      <c r="AP51" s="2">
        <v>1782</v>
      </c>
      <c r="AQ51" s="2">
        <v>1782</v>
      </c>
      <c r="AR51" s="2">
        <v>1782</v>
      </c>
      <c r="AS51" s="2">
        <v>1782</v>
      </c>
      <c r="AT51" s="2">
        <v>1797</v>
      </c>
      <c r="AU51" s="2">
        <v>1797</v>
      </c>
      <c r="AV51" s="2">
        <v>1797</v>
      </c>
      <c r="AW51" s="2">
        <v>1797</v>
      </c>
      <c r="AX51" s="2">
        <v>1797</v>
      </c>
      <c r="AY51" s="2">
        <v>1797</v>
      </c>
      <c r="AZ51" s="2">
        <v>1797</v>
      </c>
      <c r="BA51" s="2">
        <v>1797</v>
      </c>
      <c r="BB51" s="2">
        <v>1797</v>
      </c>
      <c r="BC51" s="2">
        <v>1797</v>
      </c>
      <c r="BD51" s="2">
        <v>1797</v>
      </c>
      <c r="BE51" s="2">
        <v>1797</v>
      </c>
      <c r="BF51" s="2">
        <v>1797</v>
      </c>
      <c r="BG51" s="2">
        <v>1797</v>
      </c>
      <c r="BH51" s="2">
        <v>1797</v>
      </c>
      <c r="BI51" s="2">
        <v>1797</v>
      </c>
      <c r="BJ51" s="2">
        <v>1797</v>
      </c>
      <c r="BK51" s="2">
        <v>1797</v>
      </c>
      <c r="BL51" s="2">
        <v>1797</v>
      </c>
      <c r="BM51" s="2">
        <v>1797</v>
      </c>
      <c r="BN51" s="2">
        <v>1797</v>
      </c>
      <c r="BO51" s="2">
        <v>1797</v>
      </c>
      <c r="BP51" s="2">
        <v>1797</v>
      </c>
      <c r="BQ51" s="2">
        <v>1797</v>
      </c>
      <c r="BR51" s="2">
        <v>1797</v>
      </c>
      <c r="BS51" s="2">
        <v>1797</v>
      </c>
      <c r="BT51" s="2">
        <v>1797</v>
      </c>
      <c r="BU51" s="2">
        <v>1797</v>
      </c>
      <c r="BV51" s="2">
        <v>1797</v>
      </c>
      <c r="BW51" s="2">
        <v>1797</v>
      </c>
      <c r="BX51" s="2">
        <v>1797</v>
      </c>
      <c r="BY51" s="2">
        <v>1797</v>
      </c>
      <c r="BZ51" s="2">
        <v>1797</v>
      </c>
      <c r="CA51" s="2">
        <v>1797</v>
      </c>
      <c r="CB51" s="2">
        <v>1797</v>
      </c>
      <c r="CC51" s="2">
        <v>57</v>
      </c>
    </row>
    <row r="52" spans="1:81" s="2" customFormat="1" x14ac:dyDescent="0.35">
      <c r="A52" s="2" t="s">
        <v>785</v>
      </c>
      <c r="B52" s="2">
        <v>1845</v>
      </c>
      <c r="C52" s="2">
        <v>1852</v>
      </c>
      <c r="D52" s="2">
        <v>1833</v>
      </c>
      <c r="E52" s="2">
        <v>1820</v>
      </c>
      <c r="F52" s="2">
        <v>1831</v>
      </c>
      <c r="G52" s="2">
        <v>1831</v>
      </c>
      <c r="H52" s="2">
        <v>1831</v>
      </c>
      <c r="I52" s="2">
        <v>1818</v>
      </c>
      <c r="J52" s="2">
        <v>1818</v>
      </c>
      <c r="K52" s="2">
        <v>1818</v>
      </c>
      <c r="L52" s="2">
        <v>1828</v>
      </c>
      <c r="M52" s="2">
        <v>1828</v>
      </c>
      <c r="N52" s="2">
        <v>1828</v>
      </c>
      <c r="O52" s="2">
        <v>1845</v>
      </c>
      <c r="P52" s="2">
        <v>1820</v>
      </c>
      <c r="Q52" s="2">
        <v>1806</v>
      </c>
      <c r="R52" s="2">
        <v>1826</v>
      </c>
      <c r="S52" s="2">
        <v>1841</v>
      </c>
      <c r="T52" s="2">
        <v>1859</v>
      </c>
      <c r="U52" s="2">
        <v>1845</v>
      </c>
      <c r="V52" s="2">
        <v>1820</v>
      </c>
      <c r="W52" s="2">
        <v>1800</v>
      </c>
      <c r="X52" s="2">
        <v>1800</v>
      </c>
      <c r="Y52" s="2">
        <v>1800</v>
      </c>
      <c r="Z52" s="2">
        <v>1814</v>
      </c>
      <c r="AA52" s="2">
        <v>1828</v>
      </c>
      <c r="AB52" s="2">
        <v>1809</v>
      </c>
      <c r="AC52" s="2">
        <v>1794</v>
      </c>
      <c r="AD52" s="2">
        <v>1823</v>
      </c>
      <c r="AE52" s="2">
        <v>1839</v>
      </c>
      <c r="AF52" s="2">
        <v>1839</v>
      </c>
      <c r="AG52" s="2">
        <v>1839</v>
      </c>
      <c r="AH52" s="2">
        <v>1839</v>
      </c>
      <c r="AI52" s="2">
        <v>1839</v>
      </c>
      <c r="AJ52" s="2">
        <v>1823</v>
      </c>
      <c r="AK52" s="2">
        <v>1808</v>
      </c>
      <c r="AL52" s="2">
        <v>1793</v>
      </c>
      <c r="AM52" s="2">
        <v>1793</v>
      </c>
      <c r="AN52" s="2">
        <v>1793</v>
      </c>
      <c r="AO52" s="2">
        <v>1774</v>
      </c>
      <c r="AP52" s="2">
        <v>1774</v>
      </c>
      <c r="AQ52" s="2">
        <v>1774</v>
      </c>
      <c r="AR52" s="2">
        <v>1774</v>
      </c>
      <c r="AS52" s="2">
        <v>1774</v>
      </c>
      <c r="AT52" s="2">
        <v>1796</v>
      </c>
      <c r="AU52" s="2">
        <v>1796</v>
      </c>
      <c r="AV52" s="2">
        <v>1796</v>
      </c>
      <c r="AW52" s="2">
        <v>1796</v>
      </c>
      <c r="AX52" s="2">
        <v>1796</v>
      </c>
      <c r="AY52" s="2">
        <v>1796</v>
      </c>
      <c r="AZ52" s="2">
        <v>1796</v>
      </c>
      <c r="BA52" s="2">
        <v>1796</v>
      </c>
      <c r="BB52" s="2">
        <v>1796</v>
      </c>
      <c r="BC52" s="2">
        <v>1796</v>
      </c>
      <c r="BD52" s="2">
        <v>1796</v>
      </c>
      <c r="BE52" s="2">
        <v>1796</v>
      </c>
      <c r="BF52" s="2">
        <v>1796</v>
      </c>
      <c r="BG52" s="2">
        <v>1796</v>
      </c>
      <c r="BH52" s="2">
        <v>1796</v>
      </c>
      <c r="BI52" s="2">
        <v>1796</v>
      </c>
      <c r="BJ52" s="2">
        <v>1796</v>
      </c>
      <c r="BK52" s="2">
        <v>1796</v>
      </c>
      <c r="BL52" s="2">
        <v>1796</v>
      </c>
      <c r="BM52" s="2">
        <v>1796</v>
      </c>
      <c r="BN52" s="2">
        <v>1796</v>
      </c>
      <c r="BO52" s="2">
        <v>1796</v>
      </c>
      <c r="BP52" s="2">
        <v>1796</v>
      </c>
      <c r="BQ52" s="2">
        <v>1796</v>
      </c>
      <c r="BR52" s="2">
        <v>1796</v>
      </c>
      <c r="BS52" s="2">
        <v>1796</v>
      </c>
      <c r="BT52" s="2">
        <v>1796</v>
      </c>
      <c r="BU52" s="2">
        <v>1796</v>
      </c>
      <c r="BV52" s="2">
        <v>1796</v>
      </c>
      <c r="BW52" s="2">
        <v>1796</v>
      </c>
      <c r="BX52" s="2">
        <v>1796</v>
      </c>
      <c r="BY52" s="2">
        <v>1796</v>
      </c>
      <c r="BZ52" s="2">
        <v>1796</v>
      </c>
      <c r="CA52" s="2">
        <v>1796</v>
      </c>
      <c r="CB52" s="2">
        <v>1796</v>
      </c>
      <c r="CC52" s="2">
        <v>64</v>
      </c>
    </row>
    <row r="53" spans="1:81" s="2" customFormat="1" x14ac:dyDescent="0.35">
      <c r="A53" s="2" t="s">
        <v>666</v>
      </c>
      <c r="B53" s="2">
        <v>1808</v>
      </c>
      <c r="C53" s="2">
        <v>1822</v>
      </c>
      <c r="D53" s="2">
        <v>1841</v>
      </c>
      <c r="E53" s="2">
        <v>1826</v>
      </c>
      <c r="F53" s="2">
        <v>1836</v>
      </c>
      <c r="G53" s="2">
        <v>1836</v>
      </c>
      <c r="H53" s="2">
        <v>1810</v>
      </c>
      <c r="I53" s="2">
        <v>1820</v>
      </c>
      <c r="J53" s="2">
        <v>1835</v>
      </c>
      <c r="K53" s="2">
        <v>1835</v>
      </c>
      <c r="L53" s="2">
        <v>1845</v>
      </c>
      <c r="M53" s="2">
        <v>1863</v>
      </c>
      <c r="N53" s="2">
        <v>1844</v>
      </c>
      <c r="O53" s="2">
        <v>1844</v>
      </c>
      <c r="P53" s="2">
        <v>1844</v>
      </c>
      <c r="Q53" s="2">
        <v>1831</v>
      </c>
      <c r="R53" s="2">
        <v>1831</v>
      </c>
      <c r="S53" s="2">
        <v>1831</v>
      </c>
      <c r="T53" s="2">
        <v>1831</v>
      </c>
      <c r="U53" s="2">
        <v>1818</v>
      </c>
      <c r="V53" s="2">
        <v>1806</v>
      </c>
      <c r="W53" s="2">
        <v>1833</v>
      </c>
      <c r="X53" s="2">
        <v>1833</v>
      </c>
      <c r="Y53" s="2">
        <v>1833</v>
      </c>
      <c r="Z53" s="2">
        <v>1815</v>
      </c>
      <c r="AA53" s="2">
        <v>1815</v>
      </c>
      <c r="AB53" s="2">
        <v>1815</v>
      </c>
      <c r="AC53" s="2">
        <v>1815</v>
      </c>
      <c r="AD53" s="2">
        <v>1815</v>
      </c>
      <c r="AE53" s="2">
        <v>1824</v>
      </c>
      <c r="AF53" s="2">
        <v>1844</v>
      </c>
      <c r="AG53" s="2">
        <v>1822</v>
      </c>
      <c r="AH53" s="2">
        <v>1822</v>
      </c>
      <c r="AI53" s="2">
        <v>1822</v>
      </c>
      <c r="AJ53" s="2">
        <v>1802</v>
      </c>
      <c r="AK53" s="2">
        <v>1802</v>
      </c>
      <c r="AL53" s="2">
        <v>1802</v>
      </c>
      <c r="AM53" s="2">
        <v>1802</v>
      </c>
      <c r="AN53" s="2">
        <v>1802</v>
      </c>
      <c r="AO53" s="2">
        <v>1786</v>
      </c>
      <c r="AP53" s="2">
        <v>1786</v>
      </c>
      <c r="AQ53" s="2">
        <v>1786</v>
      </c>
      <c r="AR53" s="2">
        <v>1786</v>
      </c>
      <c r="AS53" s="2">
        <v>1786</v>
      </c>
      <c r="AT53" s="2">
        <v>1795</v>
      </c>
      <c r="AU53" s="2">
        <v>1795</v>
      </c>
      <c r="AV53" s="2">
        <v>1795</v>
      </c>
      <c r="AW53" s="2">
        <v>1795</v>
      </c>
      <c r="AX53" s="2">
        <v>1795</v>
      </c>
      <c r="AY53" s="2">
        <v>1795</v>
      </c>
      <c r="AZ53" s="2">
        <v>1795</v>
      </c>
      <c r="BA53" s="2">
        <v>1795</v>
      </c>
      <c r="BB53" s="2">
        <v>1795</v>
      </c>
      <c r="BC53" s="2">
        <v>1795</v>
      </c>
      <c r="BD53" s="2">
        <v>1795</v>
      </c>
      <c r="BE53" s="2">
        <v>1795</v>
      </c>
      <c r="BF53" s="2">
        <v>1795</v>
      </c>
      <c r="BG53" s="2">
        <v>1795</v>
      </c>
      <c r="BH53" s="2">
        <v>1795</v>
      </c>
      <c r="BI53" s="2">
        <v>1795</v>
      </c>
      <c r="BJ53" s="2">
        <v>1795</v>
      </c>
      <c r="BK53" s="2">
        <v>1795</v>
      </c>
      <c r="BL53" s="2">
        <v>1795</v>
      </c>
      <c r="BM53" s="2">
        <v>1795</v>
      </c>
      <c r="BN53" s="2">
        <v>1795</v>
      </c>
      <c r="BO53" s="2">
        <v>1795</v>
      </c>
      <c r="BP53" s="2">
        <v>1795</v>
      </c>
      <c r="BQ53" s="2">
        <v>1795</v>
      </c>
      <c r="BR53" s="2">
        <v>1795</v>
      </c>
      <c r="BS53" s="2">
        <v>1795</v>
      </c>
      <c r="BT53" s="2">
        <v>1795</v>
      </c>
      <c r="BU53" s="2">
        <v>1795</v>
      </c>
      <c r="BV53" s="2">
        <v>1795</v>
      </c>
      <c r="BW53" s="2">
        <v>1795</v>
      </c>
      <c r="BX53" s="2">
        <v>1795</v>
      </c>
      <c r="BY53" s="2">
        <v>1795</v>
      </c>
      <c r="BZ53" s="2">
        <v>1795</v>
      </c>
      <c r="CA53" s="2">
        <v>1795</v>
      </c>
      <c r="CB53" s="2">
        <v>1795</v>
      </c>
      <c r="CC53" s="2">
        <v>82</v>
      </c>
    </row>
    <row r="54" spans="1:81" s="2" customFormat="1" x14ac:dyDescent="0.35">
      <c r="A54" s="2" t="s">
        <v>673</v>
      </c>
      <c r="B54" s="2">
        <v>1823</v>
      </c>
      <c r="C54" s="2">
        <v>1835</v>
      </c>
      <c r="D54" s="2">
        <v>1849</v>
      </c>
      <c r="E54" s="2">
        <v>1829</v>
      </c>
      <c r="F54" s="2">
        <v>1821</v>
      </c>
      <c r="G54" s="2">
        <v>1800</v>
      </c>
      <c r="H54" s="2">
        <v>1818</v>
      </c>
      <c r="I54" s="2">
        <v>1830</v>
      </c>
      <c r="J54" s="2">
        <v>1830</v>
      </c>
      <c r="K54" s="2">
        <v>1813</v>
      </c>
      <c r="L54" s="2">
        <v>1802</v>
      </c>
      <c r="M54" s="2">
        <v>1802</v>
      </c>
      <c r="N54" s="2">
        <v>1802</v>
      </c>
      <c r="O54" s="2">
        <v>1802</v>
      </c>
      <c r="P54" s="2">
        <v>1802</v>
      </c>
      <c r="Q54" s="2">
        <v>1788</v>
      </c>
      <c r="R54" s="2">
        <v>1788</v>
      </c>
      <c r="S54" s="2">
        <v>1788</v>
      </c>
      <c r="T54" s="2">
        <v>1788</v>
      </c>
      <c r="U54" s="2">
        <v>1780</v>
      </c>
      <c r="V54" s="2">
        <v>1780</v>
      </c>
      <c r="W54" s="2">
        <v>1780</v>
      </c>
      <c r="X54" s="2">
        <v>1780</v>
      </c>
      <c r="Y54" s="2">
        <v>1780</v>
      </c>
      <c r="Z54" s="2">
        <v>1771</v>
      </c>
      <c r="AA54" s="2">
        <v>1771</v>
      </c>
      <c r="AB54" s="2">
        <v>1771</v>
      </c>
      <c r="AC54" s="2">
        <v>1771</v>
      </c>
      <c r="AD54" s="2">
        <v>1771</v>
      </c>
      <c r="AE54" s="2">
        <v>1784</v>
      </c>
      <c r="AF54" s="2">
        <v>1784</v>
      </c>
      <c r="AG54" s="2">
        <v>1784</v>
      </c>
      <c r="AH54" s="2">
        <v>1784</v>
      </c>
      <c r="AI54" s="2">
        <v>1784</v>
      </c>
      <c r="AJ54" s="2">
        <v>1796</v>
      </c>
      <c r="AK54" s="2">
        <v>1796</v>
      </c>
      <c r="AL54" s="2">
        <v>1796</v>
      </c>
      <c r="AM54" s="2">
        <v>1796</v>
      </c>
      <c r="AN54" s="2">
        <v>1796</v>
      </c>
      <c r="AO54" s="2">
        <v>1781</v>
      </c>
      <c r="AP54" s="2">
        <v>1781</v>
      </c>
      <c r="AQ54" s="2">
        <v>1781</v>
      </c>
      <c r="AR54" s="2">
        <v>1781</v>
      </c>
      <c r="AS54" s="2">
        <v>1781</v>
      </c>
      <c r="AT54" s="2">
        <v>1794</v>
      </c>
      <c r="AU54" s="2">
        <v>1794</v>
      </c>
      <c r="AV54" s="2">
        <v>1794</v>
      </c>
      <c r="AW54" s="2">
        <v>1794</v>
      </c>
      <c r="AX54" s="2">
        <v>1794</v>
      </c>
      <c r="AY54" s="2">
        <v>1794</v>
      </c>
      <c r="AZ54" s="2">
        <v>1794</v>
      </c>
      <c r="BA54" s="2">
        <v>1794</v>
      </c>
      <c r="BB54" s="2">
        <v>1794</v>
      </c>
      <c r="BC54" s="2">
        <v>1794</v>
      </c>
      <c r="BD54" s="2">
        <v>1794</v>
      </c>
      <c r="BE54" s="2">
        <v>1794</v>
      </c>
      <c r="BF54" s="2">
        <v>1794</v>
      </c>
      <c r="BG54" s="2">
        <v>1794</v>
      </c>
      <c r="BH54" s="2">
        <v>1794</v>
      </c>
      <c r="BI54" s="2">
        <v>1794</v>
      </c>
      <c r="BJ54" s="2">
        <v>1794</v>
      </c>
      <c r="BK54" s="2">
        <v>1794</v>
      </c>
      <c r="BL54" s="2">
        <v>1794</v>
      </c>
      <c r="BM54" s="2">
        <v>1794</v>
      </c>
      <c r="BN54" s="2">
        <v>1794</v>
      </c>
      <c r="BO54" s="2">
        <v>1794</v>
      </c>
      <c r="BP54" s="2">
        <v>1794</v>
      </c>
      <c r="BQ54" s="2">
        <v>1794</v>
      </c>
      <c r="BR54" s="2">
        <v>1794</v>
      </c>
      <c r="BS54" s="2">
        <v>1794</v>
      </c>
      <c r="BT54" s="2">
        <v>1794</v>
      </c>
      <c r="BU54" s="2">
        <v>1794</v>
      </c>
      <c r="BV54" s="2">
        <v>1794</v>
      </c>
      <c r="BW54" s="2">
        <v>1794</v>
      </c>
      <c r="BX54" s="2">
        <v>1794</v>
      </c>
      <c r="BY54" s="2">
        <v>1794</v>
      </c>
      <c r="BZ54" s="2">
        <v>1794</v>
      </c>
      <c r="CA54" s="2">
        <v>1794</v>
      </c>
      <c r="CB54" s="2">
        <v>1794</v>
      </c>
      <c r="CC54" s="2">
        <v>52</v>
      </c>
    </row>
    <row r="55" spans="1:81" s="2" customFormat="1" x14ac:dyDescent="0.35">
      <c r="A55" t="s">
        <v>671</v>
      </c>
      <c r="B55" s="2">
        <v>1788</v>
      </c>
      <c r="C55" s="2">
        <v>1776</v>
      </c>
      <c r="D55" s="2">
        <v>1786</v>
      </c>
      <c r="E55" s="2">
        <v>1802</v>
      </c>
      <c r="F55" s="2">
        <v>1787</v>
      </c>
      <c r="G55" s="2">
        <v>1787</v>
      </c>
      <c r="H55" s="2">
        <v>1787</v>
      </c>
      <c r="I55" s="2">
        <v>1801</v>
      </c>
      <c r="J55" s="2">
        <v>1801</v>
      </c>
      <c r="K55" s="2">
        <v>1801</v>
      </c>
      <c r="L55" s="2">
        <v>1817</v>
      </c>
      <c r="M55" s="2">
        <v>1817</v>
      </c>
      <c r="N55" s="2">
        <v>1817</v>
      </c>
      <c r="O55" s="2">
        <v>1837</v>
      </c>
      <c r="P55" s="2">
        <v>1859</v>
      </c>
      <c r="Q55" s="2">
        <v>1847</v>
      </c>
      <c r="R55" s="2">
        <v>1838</v>
      </c>
      <c r="S55" s="2">
        <v>1829</v>
      </c>
      <c r="T55" s="2">
        <v>1811</v>
      </c>
      <c r="U55" s="2">
        <v>1822</v>
      </c>
      <c r="V55" s="2">
        <v>1806</v>
      </c>
      <c r="W55" s="2">
        <v>1822</v>
      </c>
      <c r="X55" s="2">
        <v>1822</v>
      </c>
      <c r="Y55" s="2">
        <v>1822</v>
      </c>
      <c r="Z55" s="2">
        <v>1834</v>
      </c>
      <c r="AA55" s="2">
        <v>1819</v>
      </c>
      <c r="AB55" s="2">
        <v>1836</v>
      </c>
      <c r="AC55" s="2">
        <v>1836</v>
      </c>
      <c r="AD55" s="2">
        <v>1836</v>
      </c>
      <c r="AE55" s="2">
        <v>1829</v>
      </c>
      <c r="AF55" s="2">
        <v>1829</v>
      </c>
      <c r="AG55" s="2">
        <v>1829</v>
      </c>
      <c r="AH55" s="2">
        <v>1829</v>
      </c>
      <c r="AI55" s="2">
        <v>1829</v>
      </c>
      <c r="AJ55" s="2">
        <v>1811</v>
      </c>
      <c r="AK55" s="2">
        <v>1801</v>
      </c>
      <c r="AL55" s="2">
        <v>1792</v>
      </c>
      <c r="AM55" s="2">
        <v>1792</v>
      </c>
      <c r="AN55" s="2">
        <v>1792</v>
      </c>
      <c r="AO55" s="2">
        <v>1781</v>
      </c>
      <c r="AP55" s="2">
        <v>1781</v>
      </c>
      <c r="AQ55" s="2">
        <v>1781</v>
      </c>
      <c r="AR55" s="2">
        <v>1781</v>
      </c>
      <c r="AS55" s="2">
        <v>1781</v>
      </c>
      <c r="AT55" s="2">
        <v>1793</v>
      </c>
      <c r="AU55" s="2">
        <v>1793</v>
      </c>
      <c r="AV55" s="2">
        <v>1793</v>
      </c>
      <c r="AW55" s="2">
        <v>1793</v>
      </c>
      <c r="AX55" s="2">
        <v>1793</v>
      </c>
      <c r="AY55" s="2">
        <v>1793</v>
      </c>
      <c r="AZ55" s="2">
        <v>1793</v>
      </c>
      <c r="BA55" s="2">
        <v>1793</v>
      </c>
      <c r="BB55" s="2">
        <v>1793</v>
      </c>
      <c r="BC55" s="2">
        <v>1793</v>
      </c>
      <c r="BD55" s="2">
        <v>1793</v>
      </c>
      <c r="BE55" s="2">
        <v>1793</v>
      </c>
      <c r="BF55" s="2">
        <v>1793</v>
      </c>
      <c r="BG55" s="2">
        <v>1793</v>
      </c>
      <c r="BH55" s="2">
        <v>1793</v>
      </c>
      <c r="BI55" s="2">
        <v>1793</v>
      </c>
      <c r="BJ55" s="2">
        <v>1793</v>
      </c>
      <c r="BK55" s="2">
        <v>1793</v>
      </c>
      <c r="BL55" s="2">
        <v>1793</v>
      </c>
      <c r="BM55" s="2">
        <v>1793</v>
      </c>
      <c r="BN55" s="2">
        <v>1793</v>
      </c>
      <c r="BO55" s="2">
        <v>1793</v>
      </c>
      <c r="BP55" s="2">
        <v>1793</v>
      </c>
      <c r="BQ55" s="2">
        <v>1793</v>
      </c>
      <c r="BR55" s="2">
        <v>1793</v>
      </c>
      <c r="BS55" s="2">
        <v>1793</v>
      </c>
      <c r="BT55" s="2">
        <v>1793</v>
      </c>
      <c r="BU55" s="2">
        <v>1793</v>
      </c>
      <c r="BV55" s="2">
        <v>1793</v>
      </c>
      <c r="BW55" s="2">
        <v>1793</v>
      </c>
      <c r="BX55" s="2">
        <v>1793</v>
      </c>
      <c r="BY55" s="2">
        <v>1793</v>
      </c>
      <c r="BZ55" s="2">
        <v>1793</v>
      </c>
      <c r="CA55" s="2">
        <v>1793</v>
      </c>
      <c r="CB55" s="2">
        <v>1793</v>
      </c>
      <c r="CC55" s="2">
        <v>3</v>
      </c>
    </row>
    <row r="56" spans="1:81" s="2" customFormat="1" x14ac:dyDescent="0.35">
      <c r="A56" s="2" t="s">
        <v>750</v>
      </c>
      <c r="B56" s="2">
        <v>1895</v>
      </c>
      <c r="C56" s="2">
        <v>1904</v>
      </c>
      <c r="D56" s="2">
        <v>1917</v>
      </c>
      <c r="E56" s="2">
        <v>1897</v>
      </c>
      <c r="F56" s="2">
        <v>1880</v>
      </c>
      <c r="G56" s="2">
        <v>1880</v>
      </c>
      <c r="H56" s="2">
        <v>1880</v>
      </c>
      <c r="I56" s="2">
        <v>1892</v>
      </c>
      <c r="J56" s="2">
        <v>1892</v>
      </c>
      <c r="K56" s="2">
        <v>1892</v>
      </c>
      <c r="L56" s="2">
        <v>1902</v>
      </c>
      <c r="M56" s="2">
        <v>1902</v>
      </c>
      <c r="N56" s="2">
        <v>1902</v>
      </c>
      <c r="O56" s="2">
        <v>1882</v>
      </c>
      <c r="P56" s="2">
        <v>1860</v>
      </c>
      <c r="Q56" s="2">
        <v>1868</v>
      </c>
      <c r="R56" s="2">
        <v>1880</v>
      </c>
      <c r="S56" s="2">
        <v>1855</v>
      </c>
      <c r="T56" s="2">
        <v>1834</v>
      </c>
      <c r="U56" s="2">
        <v>1816</v>
      </c>
      <c r="V56" s="2">
        <v>1799</v>
      </c>
      <c r="W56" s="2">
        <v>1786</v>
      </c>
      <c r="X56" s="2">
        <v>1786</v>
      </c>
      <c r="Y56" s="2">
        <v>1786</v>
      </c>
      <c r="Z56" s="2">
        <v>1802</v>
      </c>
      <c r="AA56" s="2">
        <v>1793</v>
      </c>
      <c r="AB56" s="2">
        <v>1818</v>
      </c>
      <c r="AC56" s="2">
        <v>1818</v>
      </c>
      <c r="AD56" s="2">
        <v>1818</v>
      </c>
      <c r="AE56" s="2">
        <v>1798</v>
      </c>
      <c r="AF56" s="2">
        <v>1798</v>
      </c>
      <c r="AG56" s="2">
        <v>1798</v>
      </c>
      <c r="AH56" s="2">
        <v>1798</v>
      </c>
      <c r="AI56" s="2">
        <v>1798</v>
      </c>
      <c r="AJ56" s="2">
        <v>1788</v>
      </c>
      <c r="AK56" s="2">
        <v>1788</v>
      </c>
      <c r="AL56" s="2">
        <v>1788</v>
      </c>
      <c r="AM56" s="2">
        <v>1788</v>
      </c>
      <c r="AN56" s="2">
        <v>1788</v>
      </c>
      <c r="AO56" s="2">
        <v>1801</v>
      </c>
      <c r="AP56" s="2">
        <v>1801</v>
      </c>
      <c r="AQ56" s="2">
        <v>1801</v>
      </c>
      <c r="AR56" s="2">
        <v>1801</v>
      </c>
      <c r="AS56" s="2">
        <v>1801</v>
      </c>
      <c r="AT56" s="2">
        <v>1785</v>
      </c>
      <c r="AU56" s="2">
        <v>1785</v>
      </c>
      <c r="AV56" s="2">
        <v>1785</v>
      </c>
      <c r="AW56" s="2">
        <v>1785</v>
      </c>
      <c r="AX56" s="2">
        <v>1785</v>
      </c>
      <c r="AY56" s="2">
        <v>1785</v>
      </c>
      <c r="AZ56" s="2">
        <v>1785</v>
      </c>
      <c r="BA56" s="2">
        <v>1785</v>
      </c>
      <c r="BB56" s="2">
        <v>1785</v>
      </c>
      <c r="BC56" s="2">
        <v>1785</v>
      </c>
      <c r="BD56" s="2">
        <v>1785</v>
      </c>
      <c r="BE56" s="2">
        <v>1785</v>
      </c>
      <c r="BF56" s="2">
        <v>1785</v>
      </c>
      <c r="BG56" s="2">
        <v>1785</v>
      </c>
      <c r="BH56" s="2">
        <v>1785</v>
      </c>
      <c r="BI56" s="2">
        <v>1785</v>
      </c>
      <c r="BJ56" s="2">
        <v>1785</v>
      </c>
      <c r="BK56" s="2">
        <v>1785</v>
      </c>
      <c r="BL56" s="2">
        <v>1785</v>
      </c>
      <c r="BM56" s="2">
        <v>1785</v>
      </c>
      <c r="BN56" s="2">
        <v>1785</v>
      </c>
      <c r="BO56" s="2">
        <v>1785</v>
      </c>
      <c r="BP56" s="2">
        <v>1785</v>
      </c>
      <c r="BQ56" s="2">
        <v>1785</v>
      </c>
      <c r="BR56" s="2">
        <v>1785</v>
      </c>
      <c r="BS56" s="2">
        <v>1785</v>
      </c>
      <c r="BT56" s="2">
        <v>1785</v>
      </c>
      <c r="BU56" s="2">
        <v>1785</v>
      </c>
      <c r="BV56" s="2">
        <v>1785</v>
      </c>
      <c r="BW56" s="2">
        <v>1785</v>
      </c>
      <c r="BX56" s="2">
        <v>1785</v>
      </c>
      <c r="BY56" s="2">
        <v>1785</v>
      </c>
      <c r="BZ56" s="2">
        <v>1785</v>
      </c>
      <c r="CA56" s="2">
        <v>1785</v>
      </c>
      <c r="CB56" s="2">
        <v>1785</v>
      </c>
      <c r="CC56" s="2">
        <v>35</v>
      </c>
    </row>
    <row r="57" spans="1:81" s="2" customFormat="1" x14ac:dyDescent="0.35">
      <c r="A57" s="2" t="s">
        <v>1160</v>
      </c>
      <c r="B57" s="2">
        <v>1751</v>
      </c>
      <c r="C57" s="2">
        <v>1771</v>
      </c>
      <c r="D57" s="2">
        <v>1759</v>
      </c>
      <c r="E57" s="2">
        <v>1774</v>
      </c>
      <c r="F57" s="2">
        <v>1764</v>
      </c>
      <c r="G57" s="2">
        <v>1764</v>
      </c>
      <c r="H57" s="2">
        <v>1784</v>
      </c>
      <c r="I57" s="2">
        <v>1774</v>
      </c>
      <c r="J57" s="2">
        <v>1788</v>
      </c>
      <c r="K57" s="2">
        <v>1805</v>
      </c>
      <c r="L57" s="2">
        <v>1817</v>
      </c>
      <c r="M57" s="2">
        <v>1833</v>
      </c>
      <c r="N57" s="2">
        <v>1844</v>
      </c>
      <c r="O57" s="2">
        <v>1844</v>
      </c>
      <c r="P57" s="2">
        <v>1844</v>
      </c>
      <c r="Q57" s="2">
        <v>1831</v>
      </c>
      <c r="R57" s="2">
        <v>1831</v>
      </c>
      <c r="S57" s="2">
        <v>1831</v>
      </c>
      <c r="T57" s="2">
        <v>1811</v>
      </c>
      <c r="U57" s="2">
        <v>1824</v>
      </c>
      <c r="V57" s="2">
        <v>1811</v>
      </c>
      <c r="W57" s="2">
        <v>1838</v>
      </c>
      <c r="X57" s="2">
        <v>1838</v>
      </c>
      <c r="Y57" s="2">
        <v>1838</v>
      </c>
      <c r="Z57" s="2">
        <v>1829</v>
      </c>
      <c r="AA57" s="2">
        <v>1829</v>
      </c>
      <c r="AB57" s="2">
        <v>1829</v>
      </c>
      <c r="AC57" s="2">
        <v>1829</v>
      </c>
      <c r="AD57" s="2">
        <v>1829</v>
      </c>
      <c r="AE57" s="2">
        <v>1817</v>
      </c>
      <c r="AF57" s="2">
        <v>1804</v>
      </c>
      <c r="AG57" s="2">
        <v>1792</v>
      </c>
      <c r="AH57" s="2">
        <v>1792</v>
      </c>
      <c r="AI57" s="2">
        <v>1792</v>
      </c>
      <c r="AJ57" s="2">
        <v>1780</v>
      </c>
      <c r="AK57" s="2">
        <v>1780</v>
      </c>
      <c r="AL57" s="2">
        <v>1780</v>
      </c>
      <c r="AM57" s="2">
        <v>1780</v>
      </c>
      <c r="AN57" s="2">
        <v>1780</v>
      </c>
      <c r="AO57" s="2">
        <v>1790</v>
      </c>
      <c r="AP57" s="2">
        <v>1790</v>
      </c>
      <c r="AQ57" s="2">
        <v>1790</v>
      </c>
      <c r="AR57" s="2">
        <v>1790</v>
      </c>
      <c r="AS57" s="2">
        <v>1790</v>
      </c>
      <c r="AT57" s="2">
        <v>1778</v>
      </c>
      <c r="AU57" s="2">
        <v>1778</v>
      </c>
      <c r="AV57" s="2">
        <v>1778</v>
      </c>
      <c r="AW57" s="2">
        <v>1778</v>
      </c>
      <c r="AX57" s="2">
        <v>1778</v>
      </c>
      <c r="AY57" s="2">
        <v>1778</v>
      </c>
      <c r="AZ57" s="2">
        <v>1778</v>
      </c>
      <c r="BA57" s="2">
        <v>1778</v>
      </c>
      <c r="BB57" s="2">
        <v>1778</v>
      </c>
      <c r="BC57" s="2">
        <v>1778</v>
      </c>
      <c r="BD57" s="2">
        <v>1778</v>
      </c>
      <c r="BE57" s="2">
        <v>1778</v>
      </c>
      <c r="BF57" s="2">
        <v>1778</v>
      </c>
      <c r="BG57" s="2">
        <v>1778</v>
      </c>
      <c r="BH57" s="2">
        <v>1778</v>
      </c>
      <c r="BI57" s="2">
        <v>1778</v>
      </c>
      <c r="BJ57" s="2">
        <v>1778</v>
      </c>
      <c r="BK57" s="2">
        <v>1778</v>
      </c>
      <c r="BL57" s="2">
        <v>1778</v>
      </c>
      <c r="BM57" s="2">
        <v>1778</v>
      </c>
      <c r="BN57" s="2">
        <v>1778</v>
      </c>
      <c r="BO57" s="2">
        <v>1778</v>
      </c>
      <c r="BP57" s="2">
        <v>1778</v>
      </c>
      <c r="BQ57" s="2">
        <v>1778</v>
      </c>
      <c r="BR57" s="2">
        <v>1778</v>
      </c>
      <c r="BS57" s="2">
        <v>1778</v>
      </c>
      <c r="BT57" s="2">
        <v>1778</v>
      </c>
      <c r="BU57" s="2">
        <v>1778</v>
      </c>
      <c r="BV57" s="2">
        <v>1778</v>
      </c>
      <c r="BW57" s="2">
        <v>1778</v>
      </c>
      <c r="BX57" s="2">
        <v>1778</v>
      </c>
      <c r="BY57" s="2">
        <v>1778</v>
      </c>
      <c r="BZ57" s="2">
        <v>1778</v>
      </c>
      <c r="CA57" s="2">
        <v>1778</v>
      </c>
      <c r="CB57" s="2">
        <v>1778</v>
      </c>
      <c r="CC57" s="2">
        <v>94</v>
      </c>
    </row>
    <row r="58" spans="1:81" s="2" customFormat="1" x14ac:dyDescent="0.35">
      <c r="A58" t="s">
        <v>780</v>
      </c>
      <c r="B58" s="2">
        <v>1835</v>
      </c>
      <c r="C58" s="2">
        <v>1846</v>
      </c>
      <c r="D58" s="2">
        <v>1854</v>
      </c>
      <c r="E58" s="2">
        <v>1877</v>
      </c>
      <c r="F58" s="2">
        <v>1865</v>
      </c>
      <c r="G58" s="2">
        <v>1865</v>
      </c>
      <c r="H58" s="2">
        <v>1865</v>
      </c>
      <c r="I58" s="2">
        <v>1847</v>
      </c>
      <c r="J58" s="2">
        <v>1860</v>
      </c>
      <c r="K58" s="2">
        <v>1878</v>
      </c>
      <c r="L58" s="2">
        <v>1862</v>
      </c>
      <c r="M58" s="2">
        <v>1844</v>
      </c>
      <c r="N58" s="2">
        <v>1831</v>
      </c>
      <c r="O58" s="2">
        <v>1845</v>
      </c>
      <c r="P58" s="2">
        <v>1862</v>
      </c>
      <c r="Q58" s="2">
        <v>1876</v>
      </c>
      <c r="R58" s="2">
        <v>1876</v>
      </c>
      <c r="S58" s="2">
        <v>1876</v>
      </c>
      <c r="T58" s="2">
        <v>1853</v>
      </c>
      <c r="U58" s="2">
        <v>1864</v>
      </c>
      <c r="V58" s="2">
        <v>1864</v>
      </c>
      <c r="W58" s="2">
        <v>1864</v>
      </c>
      <c r="X58" s="2">
        <v>1849</v>
      </c>
      <c r="Y58" s="2">
        <v>1833</v>
      </c>
      <c r="Z58" s="2">
        <v>1844</v>
      </c>
      <c r="AA58" s="2">
        <v>1844</v>
      </c>
      <c r="AB58" s="2">
        <v>1844</v>
      </c>
      <c r="AC58" s="2">
        <v>1844</v>
      </c>
      <c r="AD58" s="2">
        <v>1844</v>
      </c>
      <c r="AE58" s="2">
        <v>1831</v>
      </c>
      <c r="AF58" s="2">
        <v>1831</v>
      </c>
      <c r="AG58" s="2">
        <v>1831</v>
      </c>
      <c r="AH58" s="2">
        <v>1815</v>
      </c>
      <c r="AI58" s="2">
        <v>1797</v>
      </c>
      <c r="AJ58" s="2">
        <v>1810</v>
      </c>
      <c r="AK58" s="2">
        <v>1810</v>
      </c>
      <c r="AL58" s="2">
        <v>1810</v>
      </c>
      <c r="AM58" s="2">
        <v>1810</v>
      </c>
      <c r="AN58" s="2">
        <v>1810</v>
      </c>
      <c r="AO58" s="2">
        <v>1786</v>
      </c>
      <c r="AP58" s="2">
        <v>1786</v>
      </c>
      <c r="AQ58" s="2">
        <v>1786</v>
      </c>
      <c r="AR58" s="2">
        <v>1786</v>
      </c>
      <c r="AS58" s="2">
        <v>1786</v>
      </c>
      <c r="AT58" s="2">
        <v>1778</v>
      </c>
      <c r="AU58" s="2">
        <v>1778</v>
      </c>
      <c r="AV58" s="2">
        <v>1778</v>
      </c>
      <c r="AW58" s="2">
        <v>1778</v>
      </c>
      <c r="AX58" s="2">
        <v>1778</v>
      </c>
      <c r="AY58" s="2">
        <v>1778</v>
      </c>
      <c r="AZ58" s="2">
        <v>1778</v>
      </c>
      <c r="BA58" s="2">
        <v>1778</v>
      </c>
      <c r="BB58" s="2">
        <v>1778</v>
      </c>
      <c r="BC58" s="2">
        <v>1778</v>
      </c>
      <c r="BD58" s="2">
        <v>1778</v>
      </c>
      <c r="BE58" s="2">
        <v>1778</v>
      </c>
      <c r="BF58" s="2">
        <v>1778</v>
      </c>
      <c r="BG58" s="2">
        <v>1778</v>
      </c>
      <c r="BH58" s="2">
        <v>1778</v>
      </c>
      <c r="BI58" s="2">
        <v>1778</v>
      </c>
      <c r="BJ58" s="2">
        <v>1778</v>
      </c>
      <c r="BK58" s="2">
        <v>1778</v>
      </c>
      <c r="BL58" s="2">
        <v>1778</v>
      </c>
      <c r="BM58" s="2">
        <v>1778</v>
      </c>
      <c r="BN58" s="2">
        <v>1778</v>
      </c>
      <c r="BO58" s="2">
        <v>1778</v>
      </c>
      <c r="BP58" s="2">
        <v>1778</v>
      </c>
      <c r="BQ58" s="2">
        <v>1778</v>
      </c>
      <c r="BR58" s="2">
        <v>1778</v>
      </c>
      <c r="BS58" s="2">
        <v>1778</v>
      </c>
      <c r="BT58" s="2">
        <v>1778</v>
      </c>
      <c r="BU58" s="2">
        <v>1778</v>
      </c>
      <c r="BV58" s="2">
        <v>1778</v>
      </c>
      <c r="BW58" s="2">
        <v>1778</v>
      </c>
      <c r="BX58" s="2">
        <v>1778</v>
      </c>
      <c r="BY58" s="2">
        <v>1778</v>
      </c>
      <c r="BZ58" s="2">
        <v>1778</v>
      </c>
      <c r="CA58" s="2">
        <v>1778</v>
      </c>
      <c r="CB58" s="2">
        <v>1778</v>
      </c>
      <c r="CC58" s="2">
        <v>59</v>
      </c>
    </row>
    <row r="59" spans="1:81" s="2" customFormat="1" x14ac:dyDescent="0.35">
      <c r="A59" s="2" t="s">
        <v>743</v>
      </c>
      <c r="B59" s="2">
        <v>1805</v>
      </c>
      <c r="C59" s="2">
        <v>1796</v>
      </c>
      <c r="D59" s="2">
        <v>1781</v>
      </c>
      <c r="E59" s="2">
        <v>1763</v>
      </c>
      <c r="F59" s="2">
        <v>1775</v>
      </c>
      <c r="G59" s="2">
        <v>1758</v>
      </c>
      <c r="H59" s="2">
        <v>1773</v>
      </c>
      <c r="I59" s="2">
        <v>1764</v>
      </c>
      <c r="J59" s="2">
        <v>1764</v>
      </c>
      <c r="K59" s="2">
        <v>1752</v>
      </c>
      <c r="L59" s="2">
        <v>1769</v>
      </c>
      <c r="M59" s="2">
        <v>1769</v>
      </c>
      <c r="N59" s="2">
        <v>1769</v>
      </c>
      <c r="O59" s="2">
        <v>1769</v>
      </c>
      <c r="P59" s="2">
        <v>1769</v>
      </c>
      <c r="Q59" s="2">
        <v>1780</v>
      </c>
      <c r="R59" s="2">
        <v>1780</v>
      </c>
      <c r="S59" s="2">
        <v>1780</v>
      </c>
      <c r="T59" s="2">
        <v>1780</v>
      </c>
      <c r="U59" s="2">
        <v>1770</v>
      </c>
      <c r="V59" s="2">
        <v>1770</v>
      </c>
      <c r="W59" s="2">
        <v>1770</v>
      </c>
      <c r="X59" s="2">
        <v>1770</v>
      </c>
      <c r="Y59" s="2">
        <v>1770</v>
      </c>
      <c r="Z59" s="2">
        <v>1788</v>
      </c>
      <c r="AA59" s="2">
        <v>1788</v>
      </c>
      <c r="AB59" s="2">
        <v>1788</v>
      </c>
      <c r="AC59" s="2">
        <v>1788</v>
      </c>
      <c r="AD59" s="2">
        <v>1788</v>
      </c>
      <c r="AE59" s="2">
        <v>1777</v>
      </c>
      <c r="AF59" s="2">
        <v>1777</v>
      </c>
      <c r="AG59" s="2">
        <v>1777</v>
      </c>
      <c r="AH59" s="2">
        <v>1777</v>
      </c>
      <c r="AI59" s="2">
        <v>1777</v>
      </c>
      <c r="AJ59" s="2">
        <v>1769</v>
      </c>
      <c r="AK59" s="2">
        <v>1769</v>
      </c>
      <c r="AL59" s="2">
        <v>1769</v>
      </c>
      <c r="AM59" s="2">
        <v>1769</v>
      </c>
      <c r="AN59" s="2">
        <v>1769</v>
      </c>
      <c r="AO59" s="2">
        <v>1760</v>
      </c>
      <c r="AP59" s="2">
        <v>1760</v>
      </c>
      <c r="AQ59" s="2">
        <v>1760</v>
      </c>
      <c r="AR59" s="2">
        <v>1760</v>
      </c>
      <c r="AS59" s="2">
        <v>1760</v>
      </c>
      <c r="AT59" s="2">
        <v>1778</v>
      </c>
      <c r="AU59" s="2">
        <v>1778</v>
      </c>
      <c r="AV59" s="2">
        <v>1778</v>
      </c>
      <c r="AW59" s="2">
        <v>1778</v>
      </c>
      <c r="AX59" s="2">
        <v>1778</v>
      </c>
      <c r="AY59" s="2">
        <v>1778</v>
      </c>
      <c r="AZ59" s="2">
        <v>1778</v>
      </c>
      <c r="BA59" s="2">
        <v>1778</v>
      </c>
      <c r="BB59" s="2">
        <v>1778</v>
      </c>
      <c r="BC59" s="2">
        <v>1778</v>
      </c>
      <c r="BD59" s="2">
        <v>1778</v>
      </c>
      <c r="BE59" s="2">
        <v>1778</v>
      </c>
      <c r="BF59" s="2">
        <v>1778</v>
      </c>
      <c r="BG59" s="2">
        <v>1778</v>
      </c>
      <c r="BH59" s="2">
        <v>1778</v>
      </c>
      <c r="BI59" s="2">
        <v>1778</v>
      </c>
      <c r="BJ59" s="2">
        <v>1778</v>
      </c>
      <c r="BK59" s="2">
        <v>1778</v>
      </c>
      <c r="BL59" s="2">
        <v>1778</v>
      </c>
      <c r="BM59" s="2">
        <v>1778</v>
      </c>
      <c r="BN59" s="2">
        <v>1778</v>
      </c>
      <c r="BO59" s="2">
        <v>1778</v>
      </c>
      <c r="BP59" s="2">
        <v>1778</v>
      </c>
      <c r="BQ59" s="2">
        <v>1778</v>
      </c>
      <c r="BR59" s="2">
        <v>1778</v>
      </c>
      <c r="BS59" s="2">
        <v>1778</v>
      </c>
      <c r="BT59" s="2">
        <v>1778</v>
      </c>
      <c r="BU59" s="2">
        <v>1778</v>
      </c>
      <c r="BV59" s="2">
        <v>1778</v>
      </c>
      <c r="BW59" s="2">
        <v>1778</v>
      </c>
      <c r="BX59" s="2">
        <v>1778</v>
      </c>
      <c r="BY59" s="2">
        <v>1778</v>
      </c>
      <c r="BZ59" s="2">
        <v>1778</v>
      </c>
      <c r="CA59" s="2">
        <v>1778</v>
      </c>
      <c r="CB59" s="2">
        <v>1778</v>
      </c>
      <c r="CC59" s="2">
        <v>34</v>
      </c>
    </row>
    <row r="60" spans="1:81" s="2" customFormat="1" x14ac:dyDescent="0.35">
      <c r="A60" s="2" t="s">
        <v>755</v>
      </c>
      <c r="B60" s="2">
        <v>1789</v>
      </c>
      <c r="C60" s="2">
        <v>1801</v>
      </c>
      <c r="D60" s="2">
        <v>1790</v>
      </c>
      <c r="E60" s="2">
        <v>1780</v>
      </c>
      <c r="F60" s="2">
        <v>1793</v>
      </c>
      <c r="G60" s="2">
        <v>1793</v>
      </c>
      <c r="H60" s="2">
        <v>1793</v>
      </c>
      <c r="I60" s="2">
        <v>1807</v>
      </c>
      <c r="J60" s="2">
        <v>1807</v>
      </c>
      <c r="K60" s="2">
        <v>1807</v>
      </c>
      <c r="L60" s="2">
        <v>1800</v>
      </c>
      <c r="M60" s="2">
        <v>1800</v>
      </c>
      <c r="N60" s="2">
        <v>1800</v>
      </c>
      <c r="O60" s="2">
        <v>1788</v>
      </c>
      <c r="P60" s="2">
        <v>1778</v>
      </c>
      <c r="Q60" s="2">
        <v>1767</v>
      </c>
      <c r="R60" s="2">
        <v>1785</v>
      </c>
      <c r="S60" s="2">
        <v>1767</v>
      </c>
      <c r="T60" s="2">
        <v>1755</v>
      </c>
      <c r="U60" s="2">
        <v>1772</v>
      </c>
      <c r="V60" s="2">
        <v>1761</v>
      </c>
      <c r="W60" s="2">
        <v>1752</v>
      </c>
      <c r="X60" s="2">
        <v>1752</v>
      </c>
      <c r="Y60" s="2">
        <v>1752</v>
      </c>
      <c r="Z60" s="2">
        <v>1740</v>
      </c>
      <c r="AA60" s="2">
        <v>1723</v>
      </c>
      <c r="AB60" s="2">
        <v>1745</v>
      </c>
      <c r="AC60" s="2">
        <v>1745</v>
      </c>
      <c r="AD60" s="2">
        <v>1745</v>
      </c>
      <c r="AE60" s="2">
        <v>1740</v>
      </c>
      <c r="AF60" s="2">
        <v>1740</v>
      </c>
      <c r="AG60" s="2">
        <v>1740</v>
      </c>
      <c r="AH60" s="2">
        <v>1740</v>
      </c>
      <c r="AI60" s="2">
        <v>1740</v>
      </c>
      <c r="AJ60" s="2">
        <v>1757</v>
      </c>
      <c r="AK60" s="2">
        <v>1783</v>
      </c>
      <c r="AL60" s="2">
        <v>1765</v>
      </c>
      <c r="AM60" s="2">
        <v>1765</v>
      </c>
      <c r="AN60" s="2">
        <v>1765</v>
      </c>
      <c r="AO60" s="2">
        <v>1751</v>
      </c>
      <c r="AP60" s="2">
        <v>1751</v>
      </c>
      <c r="AQ60" s="2">
        <v>1751</v>
      </c>
      <c r="AR60" s="2">
        <v>1776</v>
      </c>
      <c r="AS60" s="2">
        <v>1755</v>
      </c>
      <c r="AT60" s="2">
        <v>1771</v>
      </c>
      <c r="AU60" s="2">
        <v>1771</v>
      </c>
      <c r="AV60" s="2">
        <v>1771</v>
      </c>
      <c r="AW60" s="2">
        <v>1771</v>
      </c>
      <c r="AX60" s="2">
        <v>1771</v>
      </c>
      <c r="AY60" s="2">
        <v>1771</v>
      </c>
      <c r="AZ60" s="2">
        <v>1771</v>
      </c>
      <c r="BA60" s="2">
        <v>1771</v>
      </c>
      <c r="BB60" s="2">
        <v>1771</v>
      </c>
      <c r="BC60" s="2">
        <v>1771</v>
      </c>
      <c r="BD60" s="2">
        <v>1771</v>
      </c>
      <c r="BE60" s="2">
        <v>1771</v>
      </c>
      <c r="BF60" s="2">
        <v>1771</v>
      </c>
      <c r="BG60" s="2">
        <v>1771</v>
      </c>
      <c r="BH60" s="2">
        <v>1771</v>
      </c>
      <c r="BI60" s="2">
        <v>1771</v>
      </c>
      <c r="BJ60" s="2">
        <v>1771</v>
      </c>
      <c r="BK60" s="2">
        <v>1771</v>
      </c>
      <c r="BL60" s="2">
        <v>1771</v>
      </c>
      <c r="BM60" s="2">
        <v>1771</v>
      </c>
      <c r="BN60" s="2">
        <v>1771</v>
      </c>
      <c r="BO60" s="2">
        <v>1771</v>
      </c>
      <c r="BP60" s="2">
        <v>1771</v>
      </c>
      <c r="BQ60" s="2">
        <v>1771</v>
      </c>
      <c r="BR60" s="2">
        <v>1771</v>
      </c>
      <c r="BS60" s="2">
        <v>1771</v>
      </c>
      <c r="BT60" s="2">
        <v>1771</v>
      </c>
      <c r="BU60" s="2">
        <v>1771</v>
      </c>
      <c r="BV60" s="2">
        <v>1771</v>
      </c>
      <c r="BW60" s="2">
        <v>1771</v>
      </c>
      <c r="BX60" s="2">
        <v>1771</v>
      </c>
      <c r="BY60" s="2">
        <v>1771</v>
      </c>
      <c r="BZ60" s="2">
        <v>1771</v>
      </c>
      <c r="CA60" s="2">
        <v>1771</v>
      </c>
      <c r="CB60" s="2">
        <v>1771</v>
      </c>
      <c r="CC60" s="2">
        <v>36</v>
      </c>
    </row>
    <row r="61" spans="1:81" s="2" customFormat="1" x14ac:dyDescent="0.35">
      <c r="A61" s="2" t="s">
        <v>771</v>
      </c>
      <c r="B61" s="2">
        <v>1730</v>
      </c>
      <c r="C61" s="2">
        <v>1744</v>
      </c>
      <c r="D61" s="2">
        <v>1735</v>
      </c>
      <c r="E61" s="2">
        <v>1729</v>
      </c>
      <c r="F61" s="2">
        <v>1742</v>
      </c>
      <c r="G61" s="2">
        <v>1764</v>
      </c>
      <c r="H61" s="2">
        <v>1781</v>
      </c>
      <c r="I61" s="2">
        <v>1765</v>
      </c>
      <c r="J61" s="2">
        <v>1748</v>
      </c>
      <c r="K61" s="2">
        <v>1736</v>
      </c>
      <c r="L61" s="2">
        <v>1729</v>
      </c>
      <c r="M61" s="2">
        <v>1729</v>
      </c>
      <c r="N61" s="2">
        <v>1729</v>
      </c>
      <c r="O61" s="2">
        <v>1729</v>
      </c>
      <c r="P61" s="2">
        <v>1729</v>
      </c>
      <c r="Q61" s="2">
        <v>1754</v>
      </c>
      <c r="R61" s="2">
        <v>1754</v>
      </c>
      <c r="S61" s="2">
        <v>1754</v>
      </c>
      <c r="T61" s="2">
        <v>1754</v>
      </c>
      <c r="U61" s="2">
        <v>1748</v>
      </c>
      <c r="V61" s="2">
        <v>1748</v>
      </c>
      <c r="W61" s="2">
        <v>1748</v>
      </c>
      <c r="X61" s="2">
        <v>1748</v>
      </c>
      <c r="Y61" s="2">
        <v>1748</v>
      </c>
      <c r="Z61" s="2">
        <v>1762</v>
      </c>
      <c r="AA61" s="2">
        <v>1762</v>
      </c>
      <c r="AB61" s="2">
        <v>1762</v>
      </c>
      <c r="AC61" s="2">
        <v>1762</v>
      </c>
      <c r="AD61" s="2">
        <v>1762</v>
      </c>
      <c r="AE61" s="2">
        <v>1751</v>
      </c>
      <c r="AF61" s="2">
        <v>1751</v>
      </c>
      <c r="AG61" s="2">
        <v>1751</v>
      </c>
      <c r="AH61" s="2">
        <v>1751</v>
      </c>
      <c r="AI61" s="2">
        <v>1751</v>
      </c>
      <c r="AJ61" s="2">
        <v>1767</v>
      </c>
      <c r="AK61" s="2">
        <v>1767</v>
      </c>
      <c r="AL61" s="2">
        <v>1767</v>
      </c>
      <c r="AM61" s="2">
        <v>1767</v>
      </c>
      <c r="AN61" s="2">
        <v>1767</v>
      </c>
      <c r="AO61" s="2">
        <v>1779</v>
      </c>
      <c r="AP61" s="2">
        <v>1779</v>
      </c>
      <c r="AQ61" s="2">
        <v>1779</v>
      </c>
      <c r="AR61" s="2">
        <v>1779</v>
      </c>
      <c r="AS61" s="2">
        <v>1779</v>
      </c>
      <c r="AT61" s="2">
        <v>1768</v>
      </c>
      <c r="AU61" s="2">
        <v>1768</v>
      </c>
      <c r="AV61" s="2">
        <v>1768</v>
      </c>
      <c r="AW61" s="2">
        <v>1768</v>
      </c>
      <c r="AX61" s="2">
        <v>1768</v>
      </c>
      <c r="AY61" s="2">
        <v>1768</v>
      </c>
      <c r="AZ61" s="2">
        <v>1768</v>
      </c>
      <c r="BA61" s="2">
        <v>1768</v>
      </c>
      <c r="BB61" s="2">
        <v>1768</v>
      </c>
      <c r="BC61" s="2">
        <v>1768</v>
      </c>
      <c r="BD61" s="2">
        <v>1768</v>
      </c>
      <c r="BE61" s="2">
        <v>1768</v>
      </c>
      <c r="BF61" s="2">
        <v>1768</v>
      </c>
      <c r="BG61" s="2">
        <v>1768</v>
      </c>
      <c r="BH61" s="2">
        <v>1768</v>
      </c>
      <c r="BI61" s="2">
        <v>1768</v>
      </c>
      <c r="BJ61" s="2">
        <v>1768</v>
      </c>
      <c r="BK61" s="2">
        <v>1768</v>
      </c>
      <c r="BL61" s="2">
        <v>1768</v>
      </c>
      <c r="BM61" s="2">
        <v>1768</v>
      </c>
      <c r="BN61" s="2">
        <v>1768</v>
      </c>
      <c r="BO61" s="2">
        <v>1768</v>
      </c>
      <c r="BP61" s="2">
        <v>1768</v>
      </c>
      <c r="BQ61" s="2">
        <v>1768</v>
      </c>
      <c r="BR61" s="2">
        <v>1768</v>
      </c>
      <c r="BS61" s="2">
        <v>1768</v>
      </c>
      <c r="BT61" s="2">
        <v>1768</v>
      </c>
      <c r="BU61" s="2">
        <v>1768</v>
      </c>
      <c r="BV61" s="2">
        <v>1768</v>
      </c>
      <c r="BW61" s="2">
        <v>1768</v>
      </c>
      <c r="BX61" s="2">
        <v>1768</v>
      </c>
      <c r="BY61" s="2">
        <v>1768</v>
      </c>
      <c r="BZ61" s="2">
        <v>1768</v>
      </c>
      <c r="CA61" s="2">
        <v>1768</v>
      </c>
      <c r="CB61" s="2">
        <v>1768</v>
      </c>
      <c r="CC61" s="2">
        <v>65</v>
      </c>
    </row>
    <row r="62" spans="1:81" s="2" customFormat="1" x14ac:dyDescent="0.35">
      <c r="A62" s="2" t="s">
        <v>701</v>
      </c>
      <c r="B62" s="2">
        <v>1736</v>
      </c>
      <c r="C62" s="2">
        <v>1728</v>
      </c>
      <c r="D62" s="2">
        <v>1718</v>
      </c>
      <c r="E62" s="2">
        <v>1705</v>
      </c>
      <c r="F62" s="2">
        <v>1693</v>
      </c>
      <c r="G62" s="2">
        <v>1693</v>
      </c>
      <c r="H62" s="2">
        <v>1677</v>
      </c>
      <c r="I62" s="2">
        <v>1697</v>
      </c>
      <c r="J62" s="2">
        <v>1723</v>
      </c>
      <c r="K62" s="2">
        <v>1723</v>
      </c>
      <c r="L62" s="2">
        <v>1714</v>
      </c>
      <c r="M62" s="2">
        <v>1701</v>
      </c>
      <c r="N62" s="2">
        <v>1691</v>
      </c>
      <c r="O62" s="2">
        <v>1691</v>
      </c>
      <c r="P62" s="2">
        <v>1691</v>
      </c>
      <c r="Q62" s="2">
        <v>1710</v>
      </c>
      <c r="R62" s="2">
        <v>1710</v>
      </c>
      <c r="S62" s="2">
        <v>1710</v>
      </c>
      <c r="T62" s="2">
        <v>1710</v>
      </c>
      <c r="U62" s="2">
        <v>1725</v>
      </c>
      <c r="V62" s="2">
        <v>1725</v>
      </c>
      <c r="W62" s="2">
        <v>1725</v>
      </c>
      <c r="X62" s="2">
        <v>1725</v>
      </c>
      <c r="Y62" s="2">
        <v>1725</v>
      </c>
      <c r="Z62" s="2">
        <v>1741</v>
      </c>
      <c r="AA62" s="2">
        <v>1741</v>
      </c>
      <c r="AB62" s="2">
        <v>1741</v>
      </c>
      <c r="AC62" s="2">
        <v>1741</v>
      </c>
      <c r="AD62" s="2">
        <v>1741</v>
      </c>
      <c r="AE62" s="2">
        <v>1755</v>
      </c>
      <c r="AF62" s="2">
        <v>1755</v>
      </c>
      <c r="AG62" s="2">
        <v>1755</v>
      </c>
      <c r="AH62" s="2">
        <v>1755</v>
      </c>
      <c r="AI62" s="2">
        <v>1755</v>
      </c>
      <c r="AJ62" s="2">
        <v>1764</v>
      </c>
      <c r="AK62" s="2">
        <v>1764</v>
      </c>
      <c r="AL62" s="2">
        <v>1764</v>
      </c>
      <c r="AM62" s="2">
        <v>1764</v>
      </c>
      <c r="AN62" s="2">
        <v>1764</v>
      </c>
      <c r="AO62" s="2">
        <v>1756</v>
      </c>
      <c r="AP62" s="2">
        <v>1756</v>
      </c>
      <c r="AQ62" s="2">
        <v>1756</v>
      </c>
      <c r="AR62" s="2">
        <v>1756</v>
      </c>
      <c r="AS62" s="2">
        <v>1756</v>
      </c>
      <c r="AT62" s="2">
        <v>1768</v>
      </c>
      <c r="AU62" s="2">
        <v>1768</v>
      </c>
      <c r="AV62" s="2">
        <v>1768</v>
      </c>
      <c r="AW62" s="2">
        <v>1768</v>
      </c>
      <c r="AX62" s="2">
        <v>1768</v>
      </c>
      <c r="AY62" s="2">
        <v>1768</v>
      </c>
      <c r="AZ62" s="2">
        <v>1768</v>
      </c>
      <c r="BA62" s="2">
        <v>1768</v>
      </c>
      <c r="BB62" s="2">
        <v>1768</v>
      </c>
      <c r="BC62" s="2">
        <v>1768</v>
      </c>
      <c r="BD62" s="2">
        <v>1768</v>
      </c>
      <c r="BE62" s="2">
        <v>1768</v>
      </c>
      <c r="BF62" s="2">
        <v>1768</v>
      </c>
      <c r="BG62" s="2">
        <v>1768</v>
      </c>
      <c r="BH62" s="2">
        <v>1768</v>
      </c>
      <c r="BI62" s="2">
        <v>1768</v>
      </c>
      <c r="BJ62" s="2">
        <v>1768</v>
      </c>
      <c r="BK62" s="2">
        <v>1768</v>
      </c>
      <c r="BL62" s="2">
        <v>1768</v>
      </c>
      <c r="BM62" s="2">
        <v>1768</v>
      </c>
      <c r="BN62" s="2">
        <v>1768</v>
      </c>
      <c r="BO62" s="2">
        <v>1768</v>
      </c>
      <c r="BP62" s="2">
        <v>1768</v>
      </c>
      <c r="BQ62" s="2">
        <v>1768</v>
      </c>
      <c r="BR62" s="2">
        <v>1768</v>
      </c>
      <c r="BS62" s="2">
        <v>1768</v>
      </c>
      <c r="BT62" s="2">
        <v>1768</v>
      </c>
      <c r="BU62" s="2">
        <v>1768</v>
      </c>
      <c r="BV62" s="2">
        <v>1768</v>
      </c>
      <c r="BW62" s="2">
        <v>1768</v>
      </c>
      <c r="BX62" s="2">
        <v>1768</v>
      </c>
      <c r="BY62" s="2">
        <v>1768</v>
      </c>
      <c r="BZ62" s="2">
        <v>1768</v>
      </c>
      <c r="CA62" s="2">
        <v>1768</v>
      </c>
      <c r="CB62" s="2">
        <v>1768</v>
      </c>
      <c r="CC62" s="2">
        <v>6</v>
      </c>
    </row>
    <row r="63" spans="1:81" s="2" customFormat="1" x14ac:dyDescent="0.35">
      <c r="A63" s="2" t="s">
        <v>1163</v>
      </c>
      <c r="B63" s="2">
        <v>1754</v>
      </c>
      <c r="C63" s="2">
        <v>1769</v>
      </c>
      <c r="D63" s="2">
        <v>1781</v>
      </c>
      <c r="E63" s="2">
        <v>1767</v>
      </c>
      <c r="F63" s="2">
        <v>1757</v>
      </c>
      <c r="G63" s="2">
        <v>1741</v>
      </c>
      <c r="H63" s="2">
        <v>1767</v>
      </c>
      <c r="I63" s="2">
        <v>1757</v>
      </c>
      <c r="J63" s="2">
        <v>1757</v>
      </c>
      <c r="K63" s="2">
        <v>1778</v>
      </c>
      <c r="L63" s="2">
        <v>1766</v>
      </c>
      <c r="M63" s="2">
        <v>1766</v>
      </c>
      <c r="N63" s="2">
        <v>1766</v>
      </c>
      <c r="O63" s="2">
        <v>1766</v>
      </c>
      <c r="P63" s="2">
        <v>1766</v>
      </c>
      <c r="Q63" s="2">
        <v>1755</v>
      </c>
      <c r="R63" s="2">
        <v>1755</v>
      </c>
      <c r="S63" s="2">
        <v>1755</v>
      </c>
      <c r="T63" s="2">
        <v>1741</v>
      </c>
      <c r="U63" s="2">
        <v>1728</v>
      </c>
      <c r="V63" s="2">
        <v>1728</v>
      </c>
      <c r="W63" s="2">
        <v>1728</v>
      </c>
      <c r="X63" s="2">
        <v>1728</v>
      </c>
      <c r="Y63" s="2">
        <v>1728</v>
      </c>
      <c r="Z63" s="2">
        <v>1738</v>
      </c>
      <c r="AA63" s="2">
        <v>1738</v>
      </c>
      <c r="AB63" s="2">
        <v>1738</v>
      </c>
      <c r="AC63" s="2">
        <v>1738</v>
      </c>
      <c r="AD63" s="2">
        <v>1738</v>
      </c>
      <c r="AE63" s="2">
        <v>1749</v>
      </c>
      <c r="AF63" s="2">
        <v>1749</v>
      </c>
      <c r="AG63" s="2">
        <v>1749</v>
      </c>
      <c r="AH63" s="2">
        <v>1749</v>
      </c>
      <c r="AI63" s="2">
        <v>1749</v>
      </c>
      <c r="AJ63" s="2">
        <v>1735</v>
      </c>
      <c r="AK63" s="2">
        <v>1735</v>
      </c>
      <c r="AL63" s="2">
        <v>1735</v>
      </c>
      <c r="AM63" s="2">
        <v>1735</v>
      </c>
      <c r="AN63" s="2">
        <v>1735</v>
      </c>
      <c r="AO63" s="2">
        <v>1751</v>
      </c>
      <c r="AP63" s="2">
        <v>1751</v>
      </c>
      <c r="AQ63" s="2">
        <v>1751</v>
      </c>
      <c r="AR63" s="2">
        <v>1751</v>
      </c>
      <c r="AS63" s="2">
        <v>1751</v>
      </c>
      <c r="AT63" s="2">
        <v>1764</v>
      </c>
      <c r="AU63" s="2">
        <v>1764</v>
      </c>
      <c r="AV63" s="2">
        <v>1764</v>
      </c>
      <c r="AW63" s="2">
        <v>1764</v>
      </c>
      <c r="AX63" s="2">
        <v>1764</v>
      </c>
      <c r="AY63" s="2">
        <v>1764</v>
      </c>
      <c r="AZ63" s="2">
        <v>1764</v>
      </c>
      <c r="BA63" s="2">
        <v>1764</v>
      </c>
      <c r="BB63" s="2">
        <v>1764</v>
      </c>
      <c r="BC63" s="2">
        <v>1764</v>
      </c>
      <c r="BD63" s="2">
        <v>1764</v>
      </c>
      <c r="BE63" s="2">
        <v>1764</v>
      </c>
      <c r="BF63" s="2">
        <v>1764</v>
      </c>
      <c r="BG63" s="2">
        <v>1764</v>
      </c>
      <c r="BH63" s="2">
        <v>1764</v>
      </c>
      <c r="BI63" s="2">
        <v>1764</v>
      </c>
      <c r="BJ63" s="2">
        <v>1764</v>
      </c>
      <c r="BK63" s="2">
        <v>1764</v>
      </c>
      <c r="BL63" s="2">
        <v>1764</v>
      </c>
      <c r="BM63" s="2">
        <v>1764</v>
      </c>
      <c r="BN63" s="2">
        <v>1764</v>
      </c>
      <c r="BO63" s="2">
        <v>1764</v>
      </c>
      <c r="BP63" s="2">
        <v>1764</v>
      </c>
      <c r="BQ63" s="2">
        <v>1764</v>
      </c>
      <c r="BR63" s="2">
        <v>1764</v>
      </c>
      <c r="BS63" s="2">
        <v>1764</v>
      </c>
      <c r="BT63" s="2">
        <v>1764</v>
      </c>
      <c r="BU63" s="2">
        <v>1764</v>
      </c>
      <c r="BV63" s="2">
        <v>1764</v>
      </c>
      <c r="BW63" s="2">
        <v>1764</v>
      </c>
      <c r="BX63" s="2">
        <v>1764</v>
      </c>
      <c r="BY63" s="2">
        <v>1764</v>
      </c>
      <c r="BZ63" s="2">
        <v>1764</v>
      </c>
      <c r="CA63" s="2">
        <v>1764</v>
      </c>
      <c r="CB63" s="2">
        <v>1764</v>
      </c>
      <c r="CC63" s="2">
        <v>92</v>
      </c>
    </row>
    <row r="64" spans="1:81" x14ac:dyDescent="0.35">
      <c r="A64" s="2" t="s">
        <v>763</v>
      </c>
      <c r="B64" s="2">
        <v>1784</v>
      </c>
      <c r="C64" s="2">
        <v>1797</v>
      </c>
      <c r="D64" s="2">
        <v>1811</v>
      </c>
      <c r="E64" s="2">
        <v>1802</v>
      </c>
      <c r="F64" s="2">
        <v>1791</v>
      </c>
      <c r="G64" s="2">
        <v>1769</v>
      </c>
      <c r="H64" s="2">
        <v>1751</v>
      </c>
      <c r="I64" s="2">
        <v>1765</v>
      </c>
      <c r="J64" s="2">
        <v>1765</v>
      </c>
      <c r="K64" s="2">
        <v>1765</v>
      </c>
      <c r="L64" s="2">
        <v>1778</v>
      </c>
      <c r="M64" s="2">
        <v>1778</v>
      </c>
      <c r="N64" s="2">
        <v>1778</v>
      </c>
      <c r="O64" s="2">
        <v>1778</v>
      </c>
      <c r="P64" s="2">
        <v>1778</v>
      </c>
      <c r="Q64" s="2">
        <v>1763</v>
      </c>
      <c r="R64" s="2">
        <v>1763</v>
      </c>
      <c r="S64" s="2">
        <v>1763</v>
      </c>
      <c r="T64" s="2">
        <v>1763</v>
      </c>
      <c r="U64" s="2">
        <v>1782</v>
      </c>
      <c r="V64" s="2">
        <v>1782</v>
      </c>
      <c r="W64" s="2">
        <v>1782</v>
      </c>
      <c r="X64" s="2">
        <v>1782</v>
      </c>
      <c r="Y64" s="2">
        <v>1782</v>
      </c>
      <c r="Z64" s="2">
        <v>1795</v>
      </c>
      <c r="AA64" s="2">
        <v>1795</v>
      </c>
      <c r="AB64" s="2">
        <v>1795</v>
      </c>
      <c r="AC64" s="2">
        <v>1795</v>
      </c>
      <c r="AD64" s="2">
        <v>1795</v>
      </c>
      <c r="AE64" s="2">
        <v>1779</v>
      </c>
      <c r="AF64" s="2">
        <v>1779</v>
      </c>
      <c r="AG64" s="2">
        <v>1779</v>
      </c>
      <c r="AH64" s="2">
        <v>1779</v>
      </c>
      <c r="AI64" s="2">
        <v>1779</v>
      </c>
      <c r="AJ64" s="2">
        <v>1794</v>
      </c>
      <c r="AK64" s="2">
        <v>1794</v>
      </c>
      <c r="AL64" s="2">
        <v>1794</v>
      </c>
      <c r="AM64" s="2">
        <v>1794</v>
      </c>
      <c r="AN64" s="2">
        <v>1794</v>
      </c>
      <c r="AO64" s="2">
        <v>1779</v>
      </c>
      <c r="AP64" s="2">
        <v>1779</v>
      </c>
      <c r="AQ64" s="2">
        <v>1779</v>
      </c>
      <c r="AR64" s="2">
        <v>1779</v>
      </c>
      <c r="AS64" s="2">
        <v>1779</v>
      </c>
      <c r="AT64" s="2">
        <v>1763</v>
      </c>
      <c r="AU64" s="2">
        <v>1763</v>
      </c>
      <c r="AV64" s="2">
        <v>1763</v>
      </c>
      <c r="AW64" s="2">
        <v>1763</v>
      </c>
      <c r="AX64" s="2">
        <v>1763</v>
      </c>
      <c r="AY64" s="2">
        <v>1763</v>
      </c>
      <c r="AZ64" s="2">
        <v>1763</v>
      </c>
      <c r="BA64" s="2">
        <v>1763</v>
      </c>
      <c r="BB64" s="2">
        <v>1763</v>
      </c>
      <c r="BC64" s="2">
        <v>1763</v>
      </c>
      <c r="BD64" s="2">
        <v>1763</v>
      </c>
      <c r="BE64" s="2">
        <v>1763</v>
      </c>
      <c r="BF64" s="2">
        <v>1763</v>
      </c>
      <c r="BG64" s="2">
        <v>1763</v>
      </c>
      <c r="BH64" s="2">
        <v>1763</v>
      </c>
      <c r="BI64" s="2">
        <v>1763</v>
      </c>
      <c r="BJ64" s="2">
        <v>1763</v>
      </c>
      <c r="BK64" s="2">
        <v>1763</v>
      </c>
      <c r="BL64" s="2">
        <v>1763</v>
      </c>
      <c r="BM64" s="2">
        <v>1763</v>
      </c>
      <c r="BN64" s="2">
        <v>1763</v>
      </c>
      <c r="BO64" s="2">
        <v>1763</v>
      </c>
      <c r="BP64" s="2">
        <v>1763</v>
      </c>
      <c r="BQ64" s="2">
        <v>1763</v>
      </c>
      <c r="BR64" s="2">
        <v>1763</v>
      </c>
      <c r="BS64" s="2">
        <v>1763</v>
      </c>
      <c r="BT64" s="2">
        <v>1763</v>
      </c>
      <c r="BU64" s="2">
        <v>1763</v>
      </c>
      <c r="BV64" s="2">
        <v>1763</v>
      </c>
      <c r="BW64" s="2">
        <v>1763</v>
      </c>
      <c r="BX64" s="2">
        <v>1763</v>
      </c>
      <c r="BY64" s="2">
        <v>1763</v>
      </c>
      <c r="BZ64" s="2">
        <v>1763</v>
      </c>
      <c r="CA64" s="2">
        <v>1763</v>
      </c>
      <c r="CB64" s="2">
        <v>1763</v>
      </c>
      <c r="CC64" s="2">
        <v>54</v>
      </c>
    </row>
    <row r="65" spans="1:81" x14ac:dyDescent="0.35">
      <c r="A65" s="2" t="s">
        <v>678</v>
      </c>
      <c r="B65" s="2">
        <v>1696</v>
      </c>
      <c r="C65" s="2">
        <v>1689</v>
      </c>
      <c r="D65" s="2">
        <v>1704</v>
      </c>
      <c r="E65" s="2">
        <v>1723</v>
      </c>
      <c r="F65" s="2">
        <v>1741</v>
      </c>
      <c r="G65" s="2">
        <v>1719</v>
      </c>
      <c r="H65" s="2">
        <v>1738</v>
      </c>
      <c r="I65" s="2">
        <v>1748</v>
      </c>
      <c r="J65" s="2">
        <v>1748</v>
      </c>
      <c r="K65" s="2">
        <v>1734</v>
      </c>
      <c r="L65" s="2">
        <v>1723</v>
      </c>
      <c r="M65" s="2">
        <v>1723</v>
      </c>
      <c r="N65" s="2">
        <v>1723</v>
      </c>
      <c r="O65" s="2">
        <v>1723</v>
      </c>
      <c r="P65" s="2">
        <v>1723</v>
      </c>
      <c r="Q65" s="2">
        <v>1737</v>
      </c>
      <c r="R65" s="2">
        <v>1737</v>
      </c>
      <c r="S65" s="2">
        <v>1737</v>
      </c>
      <c r="T65" s="2">
        <v>1737</v>
      </c>
      <c r="U65" s="2">
        <v>1756</v>
      </c>
      <c r="V65" s="2">
        <v>1756</v>
      </c>
      <c r="W65" s="2">
        <v>1756</v>
      </c>
      <c r="X65" s="2">
        <v>1756</v>
      </c>
      <c r="Y65" s="2">
        <v>1756</v>
      </c>
      <c r="Z65" s="2">
        <v>1769</v>
      </c>
      <c r="AA65" s="2">
        <v>1769</v>
      </c>
      <c r="AB65" s="2">
        <v>1769</v>
      </c>
      <c r="AC65" s="2">
        <v>1769</v>
      </c>
      <c r="AD65" s="2">
        <v>1769</v>
      </c>
      <c r="AE65" s="2">
        <v>1762</v>
      </c>
      <c r="AF65" s="2">
        <v>1762</v>
      </c>
      <c r="AG65" s="2">
        <v>1762</v>
      </c>
      <c r="AH65" s="2">
        <v>1762</v>
      </c>
      <c r="AI65" s="2">
        <v>1762</v>
      </c>
      <c r="AJ65" s="2">
        <v>1778</v>
      </c>
      <c r="AK65" s="2">
        <v>1778</v>
      </c>
      <c r="AL65" s="2">
        <v>1778</v>
      </c>
      <c r="AM65" s="2">
        <v>1778</v>
      </c>
      <c r="AN65" s="2">
        <v>1778</v>
      </c>
      <c r="AO65" s="2">
        <v>1771</v>
      </c>
      <c r="AP65" s="2">
        <v>1771</v>
      </c>
      <c r="AQ65" s="2">
        <v>1771</v>
      </c>
      <c r="AR65" s="2">
        <v>1771</v>
      </c>
      <c r="AS65" s="2">
        <v>1771</v>
      </c>
      <c r="AT65" s="2">
        <v>1761</v>
      </c>
      <c r="AU65" s="2">
        <v>1761</v>
      </c>
      <c r="AV65" s="2">
        <v>1761</v>
      </c>
      <c r="AW65" s="2">
        <v>1761</v>
      </c>
      <c r="AX65" s="2">
        <v>1761</v>
      </c>
      <c r="AY65" s="2">
        <v>1761</v>
      </c>
      <c r="AZ65" s="2">
        <v>1761</v>
      </c>
      <c r="BA65" s="2">
        <v>1761</v>
      </c>
      <c r="BB65" s="2">
        <v>1761</v>
      </c>
      <c r="BC65" s="2">
        <v>1761</v>
      </c>
      <c r="BD65" s="2">
        <v>1761</v>
      </c>
      <c r="BE65" s="2">
        <v>1761</v>
      </c>
      <c r="BF65" s="2">
        <v>1761</v>
      </c>
      <c r="BG65" s="2">
        <v>1761</v>
      </c>
      <c r="BH65" s="2">
        <v>1761</v>
      </c>
      <c r="BI65" s="2">
        <v>1761</v>
      </c>
      <c r="BJ65" s="2">
        <v>1761</v>
      </c>
      <c r="BK65" s="2">
        <v>1761</v>
      </c>
      <c r="BL65" s="2">
        <v>1761</v>
      </c>
      <c r="BM65" s="2">
        <v>1761</v>
      </c>
      <c r="BN65" s="2">
        <v>1761</v>
      </c>
      <c r="BO65" s="2">
        <v>1761</v>
      </c>
      <c r="BP65" s="2">
        <v>1761</v>
      </c>
      <c r="BQ65" s="2">
        <v>1761</v>
      </c>
      <c r="BR65" s="2">
        <v>1761</v>
      </c>
      <c r="BS65" s="2">
        <v>1761</v>
      </c>
      <c r="BT65" s="2">
        <v>1761</v>
      </c>
      <c r="BU65" s="2">
        <v>1761</v>
      </c>
      <c r="BV65" s="2">
        <v>1761</v>
      </c>
      <c r="BW65" s="2">
        <v>1761</v>
      </c>
      <c r="BX65" s="2">
        <v>1761</v>
      </c>
      <c r="BY65" s="2">
        <v>1761</v>
      </c>
      <c r="BZ65" s="2">
        <v>1761</v>
      </c>
      <c r="CA65" s="2">
        <v>1761</v>
      </c>
      <c r="CB65" s="2">
        <v>1761</v>
      </c>
      <c r="CC65" s="2">
        <v>37</v>
      </c>
    </row>
    <row r="66" spans="1:81" x14ac:dyDescent="0.35">
      <c r="A66" s="2" t="s">
        <v>1157</v>
      </c>
      <c r="B66" s="2">
        <v>1871</v>
      </c>
      <c r="C66" s="2">
        <v>1879</v>
      </c>
      <c r="D66" s="2">
        <v>1860</v>
      </c>
      <c r="E66" s="2">
        <v>1842</v>
      </c>
      <c r="F66" s="2">
        <v>1829</v>
      </c>
      <c r="G66" s="2">
        <v>1829</v>
      </c>
      <c r="H66" s="2">
        <v>1829</v>
      </c>
      <c r="I66" s="2">
        <v>1815</v>
      </c>
      <c r="J66" s="2">
        <v>1815</v>
      </c>
      <c r="K66" s="2">
        <v>1815</v>
      </c>
      <c r="L66" s="2">
        <v>1805</v>
      </c>
      <c r="M66" s="2">
        <v>1805</v>
      </c>
      <c r="N66" s="2">
        <v>1805</v>
      </c>
      <c r="O66" s="2">
        <v>1821</v>
      </c>
      <c r="P66" s="2">
        <v>1833</v>
      </c>
      <c r="Q66" s="2">
        <v>1811</v>
      </c>
      <c r="R66" s="2">
        <v>1788</v>
      </c>
      <c r="S66" s="2">
        <v>1774</v>
      </c>
      <c r="T66" s="2">
        <v>1757</v>
      </c>
      <c r="U66" s="2">
        <v>1742</v>
      </c>
      <c r="V66" s="2">
        <v>1734</v>
      </c>
      <c r="W66" s="2">
        <v>1726</v>
      </c>
      <c r="X66" s="2">
        <v>1726</v>
      </c>
      <c r="Y66" s="2">
        <v>1726</v>
      </c>
      <c r="Z66" s="2">
        <v>1738</v>
      </c>
      <c r="AA66" s="2">
        <v>1727</v>
      </c>
      <c r="AB66" s="2">
        <v>1716</v>
      </c>
      <c r="AC66" s="2">
        <v>1716</v>
      </c>
      <c r="AD66" s="2">
        <v>1716</v>
      </c>
      <c r="AE66" s="2">
        <v>1706</v>
      </c>
      <c r="AF66" s="2">
        <v>1706</v>
      </c>
      <c r="AG66" s="2">
        <v>1706</v>
      </c>
      <c r="AH66" s="2">
        <v>1706</v>
      </c>
      <c r="AI66" s="2">
        <v>1706</v>
      </c>
      <c r="AJ66" s="2">
        <v>1722</v>
      </c>
      <c r="AK66" s="2">
        <v>1751</v>
      </c>
      <c r="AL66" s="2">
        <v>1736</v>
      </c>
      <c r="AM66" s="2">
        <v>1736</v>
      </c>
      <c r="AN66" s="2">
        <v>1736</v>
      </c>
      <c r="AO66" s="2">
        <v>1749</v>
      </c>
      <c r="AP66" s="2">
        <v>1749</v>
      </c>
      <c r="AQ66" s="2">
        <v>1749</v>
      </c>
      <c r="AR66" s="2">
        <v>1749</v>
      </c>
      <c r="AS66" s="2">
        <v>1749</v>
      </c>
      <c r="AT66" s="2">
        <v>1760</v>
      </c>
      <c r="AU66" s="2">
        <v>1760</v>
      </c>
      <c r="AV66" s="2">
        <v>1760</v>
      </c>
      <c r="AW66" s="2">
        <v>1760</v>
      </c>
      <c r="AX66" s="2">
        <v>1760</v>
      </c>
      <c r="AY66" s="2">
        <v>1760</v>
      </c>
      <c r="AZ66" s="2">
        <v>1760</v>
      </c>
      <c r="BA66" s="2">
        <v>1760</v>
      </c>
      <c r="BB66" s="2">
        <v>1760</v>
      </c>
      <c r="BC66" s="2">
        <v>1760</v>
      </c>
      <c r="BD66" s="2">
        <v>1760</v>
      </c>
      <c r="BE66" s="2">
        <v>1760</v>
      </c>
      <c r="BF66" s="2">
        <v>1760</v>
      </c>
      <c r="BG66" s="2">
        <v>1760</v>
      </c>
      <c r="BH66" s="2">
        <v>1760</v>
      </c>
      <c r="BI66" s="2">
        <v>1760</v>
      </c>
      <c r="BJ66" s="2">
        <v>1760</v>
      </c>
      <c r="BK66" s="2">
        <v>1760</v>
      </c>
      <c r="BL66" s="2">
        <v>1760</v>
      </c>
      <c r="BM66" s="2">
        <v>1760</v>
      </c>
      <c r="BN66" s="2">
        <v>1760</v>
      </c>
      <c r="BO66" s="2">
        <v>1760</v>
      </c>
      <c r="BP66" s="2">
        <v>1760</v>
      </c>
      <c r="BQ66" s="2">
        <v>1760</v>
      </c>
      <c r="BR66" s="2">
        <v>1760</v>
      </c>
      <c r="BS66" s="2">
        <v>1760</v>
      </c>
      <c r="BT66" s="2">
        <v>1760</v>
      </c>
      <c r="BU66" s="2">
        <v>1760</v>
      </c>
      <c r="BV66" s="2">
        <v>1760</v>
      </c>
      <c r="BW66" s="2">
        <v>1760</v>
      </c>
      <c r="BX66" s="2">
        <v>1760</v>
      </c>
      <c r="BY66" s="2">
        <v>1760</v>
      </c>
      <c r="BZ66" s="2">
        <v>1760</v>
      </c>
      <c r="CA66" s="2">
        <v>1760</v>
      </c>
      <c r="CB66" s="2">
        <v>1760</v>
      </c>
      <c r="CC66" s="2">
        <v>83</v>
      </c>
    </row>
    <row r="67" spans="1:81" x14ac:dyDescent="0.35">
      <c r="A67" s="2" t="s">
        <v>751</v>
      </c>
      <c r="B67" s="2">
        <v>1804</v>
      </c>
      <c r="C67" s="2">
        <v>1818</v>
      </c>
      <c r="D67" s="2">
        <v>1790</v>
      </c>
      <c r="E67" s="2">
        <v>1805</v>
      </c>
      <c r="F67" s="2">
        <v>1790</v>
      </c>
      <c r="G67" s="2">
        <v>1766</v>
      </c>
      <c r="H67" s="2">
        <v>1766</v>
      </c>
      <c r="I67" s="2">
        <v>1777</v>
      </c>
      <c r="J67" s="2">
        <v>1777</v>
      </c>
      <c r="K67" s="2">
        <v>1755</v>
      </c>
      <c r="L67" s="2">
        <v>1767</v>
      </c>
      <c r="M67" s="2">
        <v>1767</v>
      </c>
      <c r="N67" s="2">
        <v>1767</v>
      </c>
      <c r="O67" s="2">
        <v>1753</v>
      </c>
      <c r="P67" s="2">
        <v>1736</v>
      </c>
      <c r="Q67" s="2">
        <v>1751</v>
      </c>
      <c r="R67" s="2">
        <v>1751</v>
      </c>
      <c r="S67" s="2">
        <v>1751</v>
      </c>
      <c r="T67" s="2">
        <v>1751</v>
      </c>
      <c r="U67" s="2">
        <v>1736</v>
      </c>
      <c r="V67" s="2">
        <v>1736</v>
      </c>
      <c r="W67" s="2">
        <v>1736</v>
      </c>
      <c r="X67" s="2">
        <v>1758</v>
      </c>
      <c r="Y67" s="2">
        <v>1747</v>
      </c>
      <c r="Z67" s="2">
        <v>1756</v>
      </c>
      <c r="AA67" s="2">
        <v>1756</v>
      </c>
      <c r="AB67" s="2">
        <v>1756</v>
      </c>
      <c r="AC67" s="2">
        <v>1756</v>
      </c>
      <c r="AD67" s="2">
        <v>1756</v>
      </c>
      <c r="AE67" s="2">
        <v>1741</v>
      </c>
      <c r="AF67" s="2">
        <v>1741</v>
      </c>
      <c r="AG67" s="2">
        <v>1741</v>
      </c>
      <c r="AH67" s="2">
        <v>1729</v>
      </c>
      <c r="AI67" s="2">
        <v>1754</v>
      </c>
      <c r="AJ67" s="2">
        <v>1741</v>
      </c>
      <c r="AK67" s="2">
        <v>1741</v>
      </c>
      <c r="AL67" s="2">
        <v>1741</v>
      </c>
      <c r="AM67" s="2">
        <v>1741</v>
      </c>
      <c r="AN67" s="2">
        <v>1741</v>
      </c>
      <c r="AO67" s="2">
        <v>1732</v>
      </c>
      <c r="AP67" s="2">
        <v>1732</v>
      </c>
      <c r="AQ67" s="2">
        <v>1732</v>
      </c>
      <c r="AR67" s="2">
        <v>1732</v>
      </c>
      <c r="AS67" s="2">
        <v>1732</v>
      </c>
      <c r="AT67" s="2">
        <v>1756</v>
      </c>
      <c r="AU67" s="2">
        <v>1756</v>
      </c>
      <c r="AV67" s="2">
        <v>1756</v>
      </c>
      <c r="AW67" s="2">
        <v>1756</v>
      </c>
      <c r="AX67" s="2">
        <v>1756</v>
      </c>
      <c r="AY67" s="2">
        <v>1756</v>
      </c>
      <c r="AZ67" s="2">
        <v>1756</v>
      </c>
      <c r="BA67" s="2">
        <v>1756</v>
      </c>
      <c r="BB67" s="2">
        <v>1756</v>
      </c>
      <c r="BC67" s="2">
        <v>1756</v>
      </c>
      <c r="BD67" s="2">
        <v>1756</v>
      </c>
      <c r="BE67" s="2">
        <v>1756</v>
      </c>
      <c r="BF67" s="2">
        <v>1756</v>
      </c>
      <c r="BG67" s="2">
        <v>1756</v>
      </c>
      <c r="BH67" s="2">
        <v>1756</v>
      </c>
      <c r="BI67" s="2">
        <v>1756</v>
      </c>
      <c r="BJ67" s="2">
        <v>1756</v>
      </c>
      <c r="BK67" s="2">
        <v>1756</v>
      </c>
      <c r="BL67" s="2">
        <v>1756</v>
      </c>
      <c r="BM67" s="2">
        <v>1756</v>
      </c>
      <c r="BN67" s="2">
        <v>1756</v>
      </c>
      <c r="BO67" s="2">
        <v>1756</v>
      </c>
      <c r="BP67" s="2">
        <v>1756</v>
      </c>
      <c r="BQ67" s="2">
        <v>1756</v>
      </c>
      <c r="BR67" s="2">
        <v>1756</v>
      </c>
      <c r="BS67" s="2">
        <v>1756</v>
      </c>
      <c r="BT67" s="2">
        <v>1756</v>
      </c>
      <c r="BU67" s="2">
        <v>1756</v>
      </c>
      <c r="BV67" s="2">
        <v>1756</v>
      </c>
      <c r="BW67" s="2">
        <v>1756</v>
      </c>
      <c r="BX67" s="2">
        <v>1756</v>
      </c>
      <c r="BY67" s="2">
        <v>1756</v>
      </c>
      <c r="BZ67" s="2">
        <v>1756</v>
      </c>
      <c r="CA67" s="2">
        <v>1756</v>
      </c>
      <c r="CB67" s="2">
        <v>1756</v>
      </c>
      <c r="CC67" s="2">
        <v>77</v>
      </c>
    </row>
    <row r="68" spans="1:81" x14ac:dyDescent="0.35">
      <c r="A68" s="2" t="s">
        <v>676</v>
      </c>
      <c r="B68" s="2">
        <v>1834</v>
      </c>
      <c r="C68" s="2">
        <v>1842</v>
      </c>
      <c r="D68" s="2">
        <v>1829</v>
      </c>
      <c r="E68" s="2">
        <v>1814</v>
      </c>
      <c r="F68" s="2">
        <v>1825</v>
      </c>
      <c r="G68" s="2">
        <v>1825</v>
      </c>
      <c r="H68" s="2">
        <v>1825</v>
      </c>
      <c r="I68" s="2">
        <v>1832</v>
      </c>
      <c r="J68" s="2">
        <v>1832</v>
      </c>
      <c r="K68" s="2">
        <v>1815</v>
      </c>
      <c r="L68" s="2">
        <v>1829</v>
      </c>
      <c r="M68" s="2">
        <v>1811</v>
      </c>
      <c r="N68" s="2">
        <v>1826</v>
      </c>
      <c r="O68" s="2">
        <v>1843</v>
      </c>
      <c r="P68" s="2">
        <v>1820</v>
      </c>
      <c r="Q68" s="2">
        <v>1808</v>
      </c>
      <c r="R68" s="2">
        <v>1808</v>
      </c>
      <c r="S68" s="2">
        <v>1808</v>
      </c>
      <c r="T68" s="2">
        <v>1808</v>
      </c>
      <c r="U68" s="2">
        <v>1789</v>
      </c>
      <c r="V68" s="2">
        <v>1789</v>
      </c>
      <c r="W68" s="2">
        <v>1789</v>
      </c>
      <c r="X68" s="2">
        <v>1773</v>
      </c>
      <c r="Y68" s="2">
        <v>1757</v>
      </c>
      <c r="Z68" s="2">
        <v>1748</v>
      </c>
      <c r="AA68" s="2">
        <v>1748</v>
      </c>
      <c r="AB68" s="2">
        <v>1748</v>
      </c>
      <c r="AC68" s="2">
        <v>1748</v>
      </c>
      <c r="AD68" s="2">
        <v>1748</v>
      </c>
      <c r="AE68" s="2">
        <v>1735</v>
      </c>
      <c r="AF68" s="2">
        <v>1735</v>
      </c>
      <c r="AG68" s="2">
        <v>1735</v>
      </c>
      <c r="AH68" s="2">
        <v>1751</v>
      </c>
      <c r="AI68" s="2">
        <v>1766</v>
      </c>
      <c r="AJ68" s="2">
        <v>1753</v>
      </c>
      <c r="AK68" s="2">
        <v>1753</v>
      </c>
      <c r="AL68" s="2">
        <v>1753</v>
      </c>
      <c r="AM68" s="2">
        <v>1753</v>
      </c>
      <c r="AN68" s="2">
        <v>1753</v>
      </c>
      <c r="AO68" s="2">
        <v>1767</v>
      </c>
      <c r="AP68" s="2">
        <v>1767</v>
      </c>
      <c r="AQ68" s="2">
        <v>1767</v>
      </c>
      <c r="AR68" s="2">
        <v>1767</v>
      </c>
      <c r="AS68" s="2">
        <v>1767</v>
      </c>
      <c r="AT68" s="2">
        <v>1752</v>
      </c>
      <c r="AU68" s="2">
        <v>1752</v>
      </c>
      <c r="AV68" s="2">
        <v>1752</v>
      </c>
      <c r="AW68" s="2">
        <v>1752</v>
      </c>
      <c r="AX68" s="2">
        <v>1752</v>
      </c>
      <c r="AY68" s="2">
        <v>1752</v>
      </c>
      <c r="AZ68" s="2">
        <v>1752</v>
      </c>
      <c r="BA68" s="2">
        <v>1752</v>
      </c>
      <c r="BB68" s="2">
        <v>1752</v>
      </c>
      <c r="BC68" s="2">
        <v>1752</v>
      </c>
      <c r="BD68" s="2">
        <v>1752</v>
      </c>
      <c r="BE68" s="2">
        <v>1752</v>
      </c>
      <c r="BF68" s="2">
        <v>1752</v>
      </c>
      <c r="BG68" s="2">
        <v>1752</v>
      </c>
      <c r="BH68" s="2">
        <v>1752</v>
      </c>
      <c r="BI68" s="2">
        <v>1752</v>
      </c>
      <c r="BJ68" s="2">
        <v>1752</v>
      </c>
      <c r="BK68" s="2">
        <v>1752</v>
      </c>
      <c r="BL68" s="2">
        <v>1752</v>
      </c>
      <c r="BM68" s="2">
        <v>1752</v>
      </c>
      <c r="BN68" s="2">
        <v>1752</v>
      </c>
      <c r="BO68" s="2">
        <v>1752</v>
      </c>
      <c r="BP68" s="2">
        <v>1752</v>
      </c>
      <c r="BQ68" s="2">
        <v>1752</v>
      </c>
      <c r="BR68" s="2">
        <v>1752</v>
      </c>
      <c r="BS68" s="2">
        <v>1752</v>
      </c>
      <c r="BT68" s="2">
        <v>1752</v>
      </c>
      <c r="BU68" s="2">
        <v>1752</v>
      </c>
      <c r="BV68" s="2">
        <v>1752</v>
      </c>
      <c r="BW68" s="2">
        <v>1752</v>
      </c>
      <c r="BX68" s="2">
        <v>1752</v>
      </c>
      <c r="BY68" s="2">
        <v>1752</v>
      </c>
      <c r="BZ68" s="2">
        <v>1752</v>
      </c>
      <c r="CA68" s="2">
        <v>1752</v>
      </c>
      <c r="CB68" s="2">
        <v>1752</v>
      </c>
      <c r="CC68" s="2">
        <v>5</v>
      </c>
    </row>
    <row r="69" spans="1:81" x14ac:dyDescent="0.35">
      <c r="A69" s="2" t="s">
        <v>729</v>
      </c>
      <c r="B69" s="2">
        <v>1785</v>
      </c>
      <c r="C69" s="2">
        <v>1771</v>
      </c>
      <c r="D69" s="2">
        <v>1784</v>
      </c>
      <c r="E69" s="2">
        <v>1770</v>
      </c>
      <c r="F69" s="2">
        <v>1783</v>
      </c>
      <c r="G69" s="2">
        <v>1783</v>
      </c>
      <c r="H69" s="2">
        <v>1783</v>
      </c>
      <c r="I69" s="2">
        <v>1770</v>
      </c>
      <c r="J69" s="2">
        <v>1770</v>
      </c>
      <c r="K69" s="2">
        <v>1788</v>
      </c>
      <c r="L69" s="2">
        <v>1800</v>
      </c>
      <c r="M69" s="2">
        <v>1779</v>
      </c>
      <c r="N69" s="2">
        <v>1804</v>
      </c>
      <c r="O69" s="2">
        <v>1823</v>
      </c>
      <c r="P69" s="2">
        <v>1801</v>
      </c>
      <c r="Q69" s="2">
        <v>1812</v>
      </c>
      <c r="R69" s="2">
        <v>1812</v>
      </c>
      <c r="S69" s="2">
        <v>1812</v>
      </c>
      <c r="T69" s="2">
        <v>1797</v>
      </c>
      <c r="U69" s="2">
        <v>1785</v>
      </c>
      <c r="V69" s="2">
        <v>1807</v>
      </c>
      <c r="W69" s="2">
        <v>1822</v>
      </c>
      <c r="X69" s="2">
        <v>1803</v>
      </c>
      <c r="Y69" s="2">
        <v>1790</v>
      </c>
      <c r="Z69" s="2">
        <v>1801</v>
      </c>
      <c r="AA69" s="2">
        <v>1801</v>
      </c>
      <c r="AB69" s="2">
        <v>1801</v>
      </c>
      <c r="AC69" s="2">
        <v>1801</v>
      </c>
      <c r="AD69" s="2">
        <v>1801</v>
      </c>
      <c r="AE69" s="2">
        <v>1813</v>
      </c>
      <c r="AF69" s="2">
        <v>1802</v>
      </c>
      <c r="AG69" s="2">
        <v>1795</v>
      </c>
      <c r="AH69" s="2">
        <v>1812</v>
      </c>
      <c r="AI69" s="2">
        <v>1790</v>
      </c>
      <c r="AJ69" s="2">
        <v>1784</v>
      </c>
      <c r="AK69" s="2">
        <v>1784</v>
      </c>
      <c r="AL69" s="2">
        <v>1784</v>
      </c>
      <c r="AM69" s="2">
        <v>1784</v>
      </c>
      <c r="AN69" s="2">
        <v>1784</v>
      </c>
      <c r="AO69" s="2">
        <v>1772</v>
      </c>
      <c r="AP69" s="2">
        <v>1772</v>
      </c>
      <c r="AQ69" s="2">
        <v>1772</v>
      </c>
      <c r="AR69" s="2">
        <v>1772</v>
      </c>
      <c r="AS69" s="2">
        <v>1772</v>
      </c>
      <c r="AT69" s="2">
        <v>1748</v>
      </c>
      <c r="AU69" s="2">
        <v>1748</v>
      </c>
      <c r="AV69" s="2">
        <v>1748</v>
      </c>
      <c r="AW69" s="2">
        <v>1748</v>
      </c>
      <c r="AX69" s="2">
        <v>1748</v>
      </c>
      <c r="AY69" s="2">
        <v>1748</v>
      </c>
      <c r="AZ69" s="2">
        <v>1748</v>
      </c>
      <c r="BA69" s="2">
        <v>1748</v>
      </c>
      <c r="BB69" s="2">
        <v>1748</v>
      </c>
      <c r="BC69" s="2">
        <v>1748</v>
      </c>
      <c r="BD69" s="2">
        <v>1748</v>
      </c>
      <c r="BE69" s="2">
        <v>1748</v>
      </c>
      <c r="BF69" s="2">
        <v>1748</v>
      </c>
      <c r="BG69" s="2">
        <v>1748</v>
      </c>
      <c r="BH69" s="2">
        <v>1748</v>
      </c>
      <c r="BI69" s="2">
        <v>1748</v>
      </c>
      <c r="BJ69" s="2">
        <v>1748</v>
      </c>
      <c r="BK69" s="2">
        <v>1748</v>
      </c>
      <c r="BL69" s="2">
        <v>1748</v>
      </c>
      <c r="BM69" s="2">
        <v>1748</v>
      </c>
      <c r="BN69" s="2">
        <v>1748</v>
      </c>
      <c r="BO69" s="2">
        <v>1748</v>
      </c>
      <c r="BP69" s="2">
        <v>1748</v>
      </c>
      <c r="BQ69" s="2">
        <v>1748</v>
      </c>
      <c r="BR69" s="2">
        <v>1748</v>
      </c>
      <c r="BS69" s="2">
        <v>1748</v>
      </c>
      <c r="BT69" s="2">
        <v>1748</v>
      </c>
      <c r="BU69" s="2">
        <v>1748</v>
      </c>
      <c r="BV69" s="2">
        <v>1748</v>
      </c>
      <c r="BW69" s="2">
        <v>1748</v>
      </c>
      <c r="BX69" s="2">
        <v>1748</v>
      </c>
      <c r="BY69" s="2">
        <v>1748</v>
      </c>
      <c r="BZ69" s="2">
        <v>1748</v>
      </c>
      <c r="CA69" s="2">
        <v>1748</v>
      </c>
      <c r="CB69" s="2">
        <v>1748</v>
      </c>
      <c r="CC69" s="2">
        <v>19</v>
      </c>
    </row>
    <row r="70" spans="1:81" x14ac:dyDescent="0.35">
      <c r="A70" s="2" t="s">
        <v>742</v>
      </c>
      <c r="B70" s="2">
        <v>1758</v>
      </c>
      <c r="C70" s="2">
        <v>1770</v>
      </c>
      <c r="D70" s="2">
        <v>1782</v>
      </c>
      <c r="E70" s="2">
        <v>1799</v>
      </c>
      <c r="F70" s="2">
        <v>1787</v>
      </c>
      <c r="G70" s="2">
        <v>1769</v>
      </c>
      <c r="H70" s="2">
        <v>1784</v>
      </c>
      <c r="I70" s="2">
        <v>1774</v>
      </c>
      <c r="J70" s="2">
        <v>1774</v>
      </c>
      <c r="K70" s="2">
        <v>1794</v>
      </c>
      <c r="L70" s="2">
        <v>1782</v>
      </c>
      <c r="M70" s="2">
        <v>1782</v>
      </c>
      <c r="N70" s="2">
        <v>1782</v>
      </c>
      <c r="O70" s="2">
        <v>1782</v>
      </c>
      <c r="P70" s="2">
        <v>1782</v>
      </c>
      <c r="Q70" s="2">
        <v>1793</v>
      </c>
      <c r="R70" s="2">
        <v>1793</v>
      </c>
      <c r="S70" s="2">
        <v>1793</v>
      </c>
      <c r="T70" s="2">
        <v>1772</v>
      </c>
      <c r="U70" s="2">
        <v>1759</v>
      </c>
      <c r="V70" s="2">
        <v>1759</v>
      </c>
      <c r="W70" s="2">
        <v>1759</v>
      </c>
      <c r="X70" s="2">
        <v>1759</v>
      </c>
      <c r="Y70" s="2">
        <v>1759</v>
      </c>
      <c r="Z70" s="2">
        <v>1771</v>
      </c>
      <c r="AA70" s="2">
        <v>1771</v>
      </c>
      <c r="AB70" s="2">
        <v>1771</v>
      </c>
      <c r="AC70" s="2">
        <v>1771</v>
      </c>
      <c r="AD70" s="2">
        <v>1771</v>
      </c>
      <c r="AE70" s="2">
        <v>1758</v>
      </c>
      <c r="AF70" s="2">
        <v>1758</v>
      </c>
      <c r="AG70" s="2">
        <v>1758</v>
      </c>
      <c r="AH70" s="2">
        <v>1758</v>
      </c>
      <c r="AI70" s="2">
        <v>1758</v>
      </c>
      <c r="AJ70" s="2">
        <v>1752</v>
      </c>
      <c r="AK70" s="2">
        <v>1752</v>
      </c>
      <c r="AL70" s="2">
        <v>1752</v>
      </c>
      <c r="AM70" s="2">
        <v>1752</v>
      </c>
      <c r="AN70" s="2">
        <v>1752</v>
      </c>
      <c r="AO70" s="2">
        <v>1764</v>
      </c>
      <c r="AP70" s="2">
        <v>1764</v>
      </c>
      <c r="AQ70" s="2">
        <v>1764</v>
      </c>
      <c r="AR70" s="2">
        <v>1764</v>
      </c>
      <c r="AS70" s="2">
        <v>1764</v>
      </c>
      <c r="AT70" s="2">
        <v>1748</v>
      </c>
      <c r="AU70" s="2">
        <v>1748</v>
      </c>
      <c r="AV70" s="2">
        <v>1748</v>
      </c>
      <c r="AW70" s="2">
        <v>1748</v>
      </c>
      <c r="AX70" s="2">
        <v>1748</v>
      </c>
      <c r="AY70" s="2">
        <v>1748</v>
      </c>
      <c r="AZ70" s="2">
        <v>1748</v>
      </c>
      <c r="BA70" s="2">
        <v>1748</v>
      </c>
      <c r="BB70" s="2">
        <v>1748</v>
      </c>
      <c r="BC70" s="2">
        <v>1748</v>
      </c>
      <c r="BD70" s="2">
        <v>1748</v>
      </c>
      <c r="BE70" s="2">
        <v>1748</v>
      </c>
      <c r="BF70" s="2">
        <v>1748</v>
      </c>
      <c r="BG70" s="2">
        <v>1748</v>
      </c>
      <c r="BH70" s="2">
        <v>1748</v>
      </c>
      <c r="BI70" s="2">
        <v>1748</v>
      </c>
      <c r="BJ70" s="2">
        <v>1748</v>
      </c>
      <c r="BK70" s="2">
        <v>1748</v>
      </c>
      <c r="BL70" s="2">
        <v>1748</v>
      </c>
      <c r="BM70" s="2">
        <v>1748</v>
      </c>
      <c r="BN70" s="2">
        <v>1748</v>
      </c>
      <c r="BO70" s="2">
        <v>1748</v>
      </c>
      <c r="BP70" s="2">
        <v>1748</v>
      </c>
      <c r="BQ70" s="2">
        <v>1748</v>
      </c>
      <c r="BR70" s="2">
        <v>1748</v>
      </c>
      <c r="BS70" s="2">
        <v>1748</v>
      </c>
      <c r="BT70" s="2">
        <v>1748</v>
      </c>
      <c r="BU70" s="2">
        <v>1748</v>
      </c>
      <c r="BV70" s="2">
        <v>1748</v>
      </c>
      <c r="BW70" s="2">
        <v>1748</v>
      </c>
      <c r="BX70" s="2">
        <v>1748</v>
      </c>
      <c r="BY70" s="2">
        <v>1748</v>
      </c>
      <c r="BZ70" s="2">
        <v>1748</v>
      </c>
      <c r="CA70" s="2">
        <v>1748</v>
      </c>
      <c r="CB70" s="2">
        <v>1748</v>
      </c>
      <c r="CC70" s="2">
        <v>28</v>
      </c>
    </row>
    <row r="71" spans="1:81" x14ac:dyDescent="0.35">
      <c r="A71" s="2" t="s">
        <v>680</v>
      </c>
      <c r="B71" s="2">
        <v>1742</v>
      </c>
      <c r="C71" s="2">
        <v>1732</v>
      </c>
      <c r="D71" s="2">
        <v>1747</v>
      </c>
      <c r="E71" s="2">
        <v>1762</v>
      </c>
      <c r="F71" s="2">
        <v>1774</v>
      </c>
      <c r="G71" s="2">
        <v>1790</v>
      </c>
      <c r="H71" s="2">
        <v>1773</v>
      </c>
      <c r="I71" s="2">
        <v>1764</v>
      </c>
      <c r="J71" s="2">
        <v>1781</v>
      </c>
      <c r="K71" s="2">
        <v>1781</v>
      </c>
      <c r="L71" s="2">
        <v>1764</v>
      </c>
      <c r="M71" s="2">
        <v>1749</v>
      </c>
      <c r="N71" s="2">
        <v>1737</v>
      </c>
      <c r="O71" s="2">
        <v>1737</v>
      </c>
      <c r="P71" s="2">
        <v>1737</v>
      </c>
      <c r="Q71" s="2">
        <v>1748</v>
      </c>
      <c r="R71" s="2">
        <v>1748</v>
      </c>
      <c r="S71" s="2">
        <v>1748</v>
      </c>
      <c r="T71" s="2">
        <v>1748</v>
      </c>
      <c r="U71" s="2">
        <v>1761</v>
      </c>
      <c r="V71" s="2">
        <v>1761</v>
      </c>
      <c r="W71" s="2">
        <v>1761</v>
      </c>
      <c r="X71" s="2">
        <v>1761</v>
      </c>
      <c r="Y71" s="2">
        <v>1761</v>
      </c>
      <c r="Z71" s="2">
        <v>1774</v>
      </c>
      <c r="AA71" s="2">
        <v>1774</v>
      </c>
      <c r="AB71" s="2">
        <v>1774</v>
      </c>
      <c r="AC71" s="2">
        <v>1774</v>
      </c>
      <c r="AD71" s="2">
        <v>1774</v>
      </c>
      <c r="AE71" s="2">
        <v>1785</v>
      </c>
      <c r="AF71" s="2">
        <v>1785</v>
      </c>
      <c r="AG71" s="2">
        <v>1785</v>
      </c>
      <c r="AH71" s="2">
        <v>1785</v>
      </c>
      <c r="AI71" s="2">
        <v>1785</v>
      </c>
      <c r="AJ71" s="2">
        <v>1776</v>
      </c>
      <c r="AK71" s="2">
        <v>1776</v>
      </c>
      <c r="AL71" s="2">
        <v>1776</v>
      </c>
      <c r="AM71" s="2">
        <v>1776</v>
      </c>
      <c r="AN71" s="2">
        <v>1776</v>
      </c>
      <c r="AO71" s="2">
        <v>1762</v>
      </c>
      <c r="AP71" s="2">
        <v>1762</v>
      </c>
      <c r="AQ71" s="2">
        <v>1762</v>
      </c>
      <c r="AR71" s="2">
        <v>1762</v>
      </c>
      <c r="AS71" s="2">
        <v>1762</v>
      </c>
      <c r="AT71" s="2">
        <v>1748</v>
      </c>
      <c r="AU71" s="2">
        <v>1748</v>
      </c>
      <c r="AV71" s="2">
        <v>1748</v>
      </c>
      <c r="AW71" s="2">
        <v>1748</v>
      </c>
      <c r="AX71" s="2">
        <v>1748</v>
      </c>
      <c r="AY71" s="2">
        <v>1748</v>
      </c>
      <c r="AZ71" s="2">
        <v>1748</v>
      </c>
      <c r="BA71" s="2">
        <v>1748</v>
      </c>
      <c r="BB71" s="2">
        <v>1748</v>
      </c>
      <c r="BC71" s="2">
        <v>1748</v>
      </c>
      <c r="BD71" s="2">
        <v>1748</v>
      </c>
      <c r="BE71" s="2">
        <v>1748</v>
      </c>
      <c r="BF71" s="2">
        <v>1748</v>
      </c>
      <c r="BG71" s="2">
        <v>1748</v>
      </c>
      <c r="BH71" s="2">
        <v>1748</v>
      </c>
      <c r="BI71" s="2">
        <v>1748</v>
      </c>
      <c r="BJ71" s="2">
        <v>1748</v>
      </c>
      <c r="BK71" s="2">
        <v>1748</v>
      </c>
      <c r="BL71" s="2">
        <v>1748</v>
      </c>
      <c r="BM71" s="2">
        <v>1748</v>
      </c>
      <c r="BN71" s="2">
        <v>1748</v>
      </c>
      <c r="BO71" s="2">
        <v>1748</v>
      </c>
      <c r="BP71" s="2">
        <v>1748</v>
      </c>
      <c r="BQ71" s="2">
        <v>1748</v>
      </c>
      <c r="BR71" s="2">
        <v>1748</v>
      </c>
      <c r="BS71" s="2">
        <v>1748</v>
      </c>
      <c r="BT71" s="2">
        <v>1748</v>
      </c>
      <c r="BU71" s="2">
        <v>1748</v>
      </c>
      <c r="BV71" s="2">
        <v>1748</v>
      </c>
      <c r="BW71" s="2">
        <v>1748</v>
      </c>
      <c r="BX71" s="2">
        <v>1748</v>
      </c>
      <c r="BY71" s="2">
        <v>1748</v>
      </c>
      <c r="BZ71" s="2">
        <v>1748</v>
      </c>
      <c r="CA71" s="2">
        <v>1748</v>
      </c>
      <c r="CB71" s="2">
        <v>1748</v>
      </c>
      <c r="CC71" s="2">
        <v>76</v>
      </c>
    </row>
    <row r="72" spans="1:81" x14ac:dyDescent="0.35">
      <c r="A72" t="s">
        <v>772</v>
      </c>
      <c r="B72" s="2">
        <v>1692</v>
      </c>
      <c r="C72" s="2">
        <v>1711</v>
      </c>
      <c r="D72" s="2">
        <v>1705</v>
      </c>
      <c r="E72" s="2">
        <v>1719</v>
      </c>
      <c r="F72" s="2">
        <v>1731</v>
      </c>
      <c r="G72" s="2">
        <v>1753</v>
      </c>
      <c r="H72" s="2">
        <v>1770</v>
      </c>
      <c r="I72" s="2">
        <v>1758</v>
      </c>
      <c r="J72" s="2">
        <v>1777</v>
      </c>
      <c r="K72" s="2">
        <v>1759</v>
      </c>
      <c r="L72" s="2">
        <v>1771</v>
      </c>
      <c r="M72" s="2">
        <v>1751</v>
      </c>
      <c r="N72" s="2">
        <v>1770</v>
      </c>
      <c r="O72" s="2">
        <v>1770</v>
      </c>
      <c r="P72" s="2">
        <v>1770</v>
      </c>
      <c r="Q72" s="2">
        <v>1784</v>
      </c>
      <c r="R72" s="2">
        <v>1784</v>
      </c>
      <c r="S72" s="2">
        <v>1784</v>
      </c>
      <c r="T72" s="2">
        <v>1784</v>
      </c>
      <c r="U72" s="2">
        <v>1773</v>
      </c>
      <c r="V72" s="2">
        <v>1773</v>
      </c>
      <c r="W72" s="2">
        <v>1773</v>
      </c>
      <c r="X72" s="2">
        <v>1773</v>
      </c>
      <c r="Y72" s="2">
        <v>1773</v>
      </c>
      <c r="Z72" s="2">
        <v>1761</v>
      </c>
      <c r="AA72" s="2">
        <v>1761</v>
      </c>
      <c r="AB72" s="2">
        <v>1761</v>
      </c>
      <c r="AC72" s="2">
        <v>1761</v>
      </c>
      <c r="AD72" s="2">
        <v>1761</v>
      </c>
      <c r="AE72" s="2">
        <v>1753</v>
      </c>
      <c r="AF72" s="2">
        <v>1753</v>
      </c>
      <c r="AG72" s="2">
        <v>1753</v>
      </c>
      <c r="AH72" s="2">
        <v>1753</v>
      </c>
      <c r="AI72" s="2">
        <v>1753</v>
      </c>
      <c r="AJ72" s="2">
        <v>1773</v>
      </c>
      <c r="AK72" s="2">
        <v>1773</v>
      </c>
      <c r="AL72" s="2">
        <v>1773</v>
      </c>
      <c r="AM72" s="2">
        <v>1773</v>
      </c>
      <c r="AN72" s="2">
        <v>1773</v>
      </c>
      <c r="AO72" s="2">
        <v>1762</v>
      </c>
      <c r="AP72" s="2">
        <v>1762</v>
      </c>
      <c r="AQ72" s="2">
        <v>1762</v>
      </c>
      <c r="AR72" s="2">
        <v>1762</v>
      </c>
      <c r="AS72" s="2">
        <v>1762</v>
      </c>
      <c r="AT72" s="2">
        <v>1748</v>
      </c>
      <c r="AU72" s="2">
        <v>1748</v>
      </c>
      <c r="AV72" s="2">
        <v>1748</v>
      </c>
      <c r="AW72" s="2">
        <v>1748</v>
      </c>
      <c r="AX72" s="2">
        <v>1748</v>
      </c>
      <c r="AY72" s="2">
        <v>1748</v>
      </c>
      <c r="AZ72" s="2">
        <v>1748</v>
      </c>
      <c r="BA72" s="2">
        <v>1748</v>
      </c>
      <c r="BB72" s="2">
        <v>1748</v>
      </c>
      <c r="BC72" s="2">
        <v>1748</v>
      </c>
      <c r="BD72" s="2">
        <v>1748</v>
      </c>
      <c r="BE72" s="2">
        <v>1748</v>
      </c>
      <c r="BF72" s="2">
        <v>1748</v>
      </c>
      <c r="BG72" s="2">
        <v>1748</v>
      </c>
      <c r="BH72" s="2">
        <v>1748</v>
      </c>
      <c r="BI72" s="2">
        <v>1748</v>
      </c>
      <c r="BJ72" s="2">
        <v>1748</v>
      </c>
      <c r="BK72" s="2">
        <v>1748</v>
      </c>
      <c r="BL72" s="2">
        <v>1748</v>
      </c>
      <c r="BM72" s="2">
        <v>1748</v>
      </c>
      <c r="BN72" s="2">
        <v>1748</v>
      </c>
      <c r="BO72" s="2">
        <v>1748</v>
      </c>
      <c r="BP72" s="2">
        <v>1748</v>
      </c>
      <c r="BQ72" s="2">
        <v>1748</v>
      </c>
      <c r="BR72" s="2">
        <v>1748</v>
      </c>
      <c r="BS72" s="2">
        <v>1748</v>
      </c>
      <c r="BT72" s="2">
        <v>1748</v>
      </c>
      <c r="BU72" s="2">
        <v>1748</v>
      </c>
      <c r="BV72" s="2">
        <v>1748</v>
      </c>
      <c r="BW72" s="2">
        <v>1748</v>
      </c>
      <c r="BX72" s="2">
        <v>1748</v>
      </c>
      <c r="BY72" s="2">
        <v>1748</v>
      </c>
      <c r="BZ72" s="2">
        <v>1748</v>
      </c>
      <c r="CA72" s="2">
        <v>1748</v>
      </c>
      <c r="CB72" s="2">
        <v>1748</v>
      </c>
      <c r="CC72" s="2">
        <v>63</v>
      </c>
    </row>
    <row r="73" spans="1:81" x14ac:dyDescent="0.35">
      <c r="A73" s="2" t="s">
        <v>632</v>
      </c>
      <c r="B73" s="2">
        <v>1805</v>
      </c>
      <c r="C73" s="2">
        <v>1820</v>
      </c>
      <c r="D73" s="2">
        <v>1835</v>
      </c>
      <c r="E73" s="2">
        <v>1821</v>
      </c>
      <c r="F73" s="2">
        <v>1803</v>
      </c>
      <c r="G73" s="2">
        <v>1803</v>
      </c>
      <c r="H73" s="2">
        <v>1803</v>
      </c>
      <c r="I73" s="2">
        <v>1818</v>
      </c>
      <c r="J73" s="2">
        <v>1818</v>
      </c>
      <c r="K73" s="2">
        <v>1818</v>
      </c>
      <c r="L73" s="2">
        <v>1808</v>
      </c>
      <c r="M73" s="2">
        <v>1808</v>
      </c>
      <c r="N73" s="2">
        <v>1808</v>
      </c>
      <c r="O73" s="2">
        <v>1796</v>
      </c>
      <c r="P73" s="2">
        <v>1785</v>
      </c>
      <c r="Q73" s="2">
        <v>1799</v>
      </c>
      <c r="R73" s="2">
        <v>1821</v>
      </c>
      <c r="S73" s="2">
        <v>1833</v>
      </c>
      <c r="T73" s="2">
        <v>1810</v>
      </c>
      <c r="U73" s="2">
        <v>1820</v>
      </c>
      <c r="V73" s="2">
        <v>1837</v>
      </c>
      <c r="W73" s="2">
        <v>1850</v>
      </c>
      <c r="X73" s="2">
        <v>1850</v>
      </c>
      <c r="Y73" s="2">
        <v>1850</v>
      </c>
      <c r="Z73" s="2">
        <v>1838</v>
      </c>
      <c r="AA73" s="2">
        <v>1858</v>
      </c>
      <c r="AB73" s="2">
        <v>1843</v>
      </c>
      <c r="AC73" s="2">
        <v>1843</v>
      </c>
      <c r="AD73" s="2">
        <v>1843</v>
      </c>
      <c r="AE73" s="2">
        <v>1827</v>
      </c>
      <c r="AF73" s="2">
        <v>1816</v>
      </c>
      <c r="AG73" s="2">
        <v>1807</v>
      </c>
      <c r="AH73" s="2">
        <v>1807</v>
      </c>
      <c r="AI73" s="2">
        <v>1807</v>
      </c>
      <c r="AJ73" s="2">
        <v>1787</v>
      </c>
      <c r="AK73" s="2">
        <v>1787</v>
      </c>
      <c r="AL73" s="2">
        <v>1787</v>
      </c>
      <c r="AM73" s="2">
        <v>1787</v>
      </c>
      <c r="AN73" s="2">
        <v>1787</v>
      </c>
      <c r="AO73" s="2">
        <v>1776</v>
      </c>
      <c r="AP73" s="2">
        <v>1776</v>
      </c>
      <c r="AQ73" s="2">
        <v>1776</v>
      </c>
      <c r="AR73" s="2">
        <v>1768</v>
      </c>
      <c r="AS73" s="2">
        <v>1758</v>
      </c>
      <c r="AT73" s="2">
        <v>1748</v>
      </c>
      <c r="AU73" s="2">
        <v>1748</v>
      </c>
      <c r="AV73" s="2">
        <v>1748</v>
      </c>
      <c r="AW73" s="2">
        <v>1748</v>
      </c>
      <c r="AX73" s="2">
        <v>1748</v>
      </c>
      <c r="AY73" s="2">
        <v>1748</v>
      </c>
      <c r="AZ73" s="2">
        <v>1748</v>
      </c>
      <c r="BA73" s="2">
        <v>1748</v>
      </c>
      <c r="BB73" s="2">
        <v>1748</v>
      </c>
      <c r="BC73" s="2">
        <v>1748</v>
      </c>
      <c r="BD73" s="2">
        <v>1748</v>
      </c>
      <c r="BE73" s="2">
        <v>1748</v>
      </c>
      <c r="BF73" s="2">
        <v>1748</v>
      </c>
      <c r="BG73" s="2">
        <v>1748</v>
      </c>
      <c r="BH73" s="2">
        <v>1748</v>
      </c>
      <c r="BI73" s="2">
        <v>1748</v>
      </c>
      <c r="BJ73" s="2">
        <v>1748</v>
      </c>
      <c r="BK73" s="2">
        <v>1748</v>
      </c>
      <c r="BL73" s="2">
        <v>1748</v>
      </c>
      <c r="BM73" s="2">
        <v>1748</v>
      </c>
      <c r="BN73" s="2">
        <v>1748</v>
      </c>
      <c r="BO73" s="2">
        <v>1748</v>
      </c>
      <c r="BP73" s="2">
        <v>1748</v>
      </c>
      <c r="BQ73" s="2">
        <v>1748</v>
      </c>
      <c r="BR73" s="2">
        <v>1748</v>
      </c>
      <c r="BS73" s="2">
        <v>1748</v>
      </c>
      <c r="BT73" s="2">
        <v>1748</v>
      </c>
      <c r="BU73" s="2">
        <v>1748</v>
      </c>
      <c r="BV73" s="2">
        <v>1748</v>
      </c>
      <c r="BW73" s="2">
        <v>1748</v>
      </c>
      <c r="BX73" s="2">
        <v>1748</v>
      </c>
      <c r="BY73" s="2">
        <v>1748</v>
      </c>
      <c r="BZ73" s="2">
        <v>1748</v>
      </c>
      <c r="CA73" s="2">
        <v>1748</v>
      </c>
      <c r="CB73" s="2">
        <v>1748</v>
      </c>
      <c r="CC73" s="2">
        <v>104</v>
      </c>
    </row>
    <row r="74" spans="1:81" x14ac:dyDescent="0.35">
      <c r="A74" s="2" t="s">
        <v>713</v>
      </c>
      <c r="B74" s="2">
        <v>1806</v>
      </c>
      <c r="C74" s="2">
        <v>1817</v>
      </c>
      <c r="D74" s="2">
        <v>1827</v>
      </c>
      <c r="E74" s="2">
        <v>1812</v>
      </c>
      <c r="F74" s="2">
        <v>1829</v>
      </c>
      <c r="G74" s="2">
        <v>1829</v>
      </c>
      <c r="H74" s="2">
        <v>1829</v>
      </c>
      <c r="I74" s="2">
        <v>1820</v>
      </c>
      <c r="J74" s="2">
        <v>1820</v>
      </c>
      <c r="K74" s="2">
        <v>1804</v>
      </c>
      <c r="L74" s="2">
        <v>1790</v>
      </c>
      <c r="M74" s="2">
        <v>1790</v>
      </c>
      <c r="N74" s="2">
        <v>1790</v>
      </c>
      <c r="O74" s="2">
        <v>1777</v>
      </c>
      <c r="P74" s="2">
        <v>1802</v>
      </c>
      <c r="Q74" s="2">
        <v>1813</v>
      </c>
      <c r="R74" s="2">
        <v>1796</v>
      </c>
      <c r="S74" s="2">
        <v>1782</v>
      </c>
      <c r="T74" s="2">
        <v>1782</v>
      </c>
      <c r="U74" s="2">
        <v>1771</v>
      </c>
      <c r="V74" s="2">
        <v>1796</v>
      </c>
      <c r="W74" s="2">
        <v>1816</v>
      </c>
      <c r="X74" s="2">
        <v>1816</v>
      </c>
      <c r="Y74" s="2">
        <v>1816</v>
      </c>
      <c r="Z74" s="2">
        <v>1803</v>
      </c>
      <c r="AA74" s="2">
        <v>1790</v>
      </c>
      <c r="AB74" s="2">
        <v>1775</v>
      </c>
      <c r="AC74" s="2">
        <v>1775</v>
      </c>
      <c r="AD74" s="2">
        <v>1775</v>
      </c>
      <c r="AE74" s="2">
        <v>1790</v>
      </c>
      <c r="AF74" s="2">
        <v>1783</v>
      </c>
      <c r="AG74" s="2">
        <v>1776</v>
      </c>
      <c r="AH74" s="2">
        <v>1776</v>
      </c>
      <c r="AI74" s="2">
        <v>1776</v>
      </c>
      <c r="AJ74" s="2">
        <v>1769</v>
      </c>
      <c r="AK74" s="2">
        <v>1769</v>
      </c>
      <c r="AL74" s="2">
        <v>1769</v>
      </c>
      <c r="AM74" s="2">
        <v>1769</v>
      </c>
      <c r="AN74" s="2">
        <v>1769</v>
      </c>
      <c r="AO74" s="2">
        <v>1758</v>
      </c>
      <c r="AP74" s="2">
        <v>1758</v>
      </c>
      <c r="AQ74" s="2">
        <v>1758</v>
      </c>
      <c r="AR74" s="2">
        <v>1758</v>
      </c>
      <c r="AS74" s="2">
        <v>1758</v>
      </c>
      <c r="AT74" s="2">
        <v>1746</v>
      </c>
      <c r="AU74" s="2">
        <v>1746</v>
      </c>
      <c r="AV74" s="2">
        <v>1746</v>
      </c>
      <c r="AW74" s="2">
        <v>1746</v>
      </c>
      <c r="AX74" s="2">
        <v>1746</v>
      </c>
      <c r="AY74" s="2">
        <v>1746</v>
      </c>
      <c r="AZ74" s="2">
        <v>1746</v>
      </c>
      <c r="BA74" s="2">
        <v>1746</v>
      </c>
      <c r="BB74" s="2">
        <v>1746</v>
      </c>
      <c r="BC74" s="2">
        <v>1746</v>
      </c>
      <c r="BD74" s="2">
        <v>1746</v>
      </c>
      <c r="BE74" s="2">
        <v>1746</v>
      </c>
      <c r="BF74" s="2">
        <v>1746</v>
      </c>
      <c r="BG74" s="2">
        <v>1746</v>
      </c>
      <c r="BH74" s="2">
        <v>1746</v>
      </c>
      <c r="BI74" s="2">
        <v>1746</v>
      </c>
      <c r="BJ74" s="2">
        <v>1746</v>
      </c>
      <c r="BK74" s="2">
        <v>1746</v>
      </c>
      <c r="BL74" s="2">
        <v>1746</v>
      </c>
      <c r="BM74" s="2">
        <v>1746</v>
      </c>
      <c r="BN74" s="2">
        <v>1746</v>
      </c>
      <c r="BO74" s="2">
        <v>1746</v>
      </c>
      <c r="BP74" s="2">
        <v>1746</v>
      </c>
      <c r="BQ74" s="2">
        <v>1746</v>
      </c>
      <c r="BR74" s="2">
        <v>1746</v>
      </c>
      <c r="BS74" s="2">
        <v>1746</v>
      </c>
      <c r="BT74" s="2">
        <v>1746</v>
      </c>
      <c r="BU74" s="2">
        <v>1746</v>
      </c>
      <c r="BV74" s="2">
        <v>1746</v>
      </c>
      <c r="BW74" s="2">
        <v>1746</v>
      </c>
      <c r="BX74" s="2">
        <v>1746</v>
      </c>
      <c r="BY74" s="2">
        <v>1746</v>
      </c>
      <c r="BZ74" s="2">
        <v>1746</v>
      </c>
      <c r="CA74" s="2">
        <v>1746</v>
      </c>
      <c r="CB74" s="2">
        <v>1746</v>
      </c>
      <c r="CC74" s="2">
        <v>7</v>
      </c>
    </row>
    <row r="75" spans="1:81" x14ac:dyDescent="0.35">
      <c r="A75" s="2" t="s">
        <v>784</v>
      </c>
      <c r="B75" s="2">
        <v>1820</v>
      </c>
      <c r="C75" s="2">
        <v>1806</v>
      </c>
      <c r="D75" s="2">
        <v>1793</v>
      </c>
      <c r="E75" s="2">
        <v>1775</v>
      </c>
      <c r="F75" s="2">
        <v>1783</v>
      </c>
      <c r="G75" s="2">
        <v>1798</v>
      </c>
      <c r="H75" s="2">
        <v>1778</v>
      </c>
      <c r="I75" s="2">
        <v>1767</v>
      </c>
      <c r="J75" s="2">
        <v>1754</v>
      </c>
      <c r="K75" s="2">
        <v>1754</v>
      </c>
      <c r="L75" s="2">
        <v>1765</v>
      </c>
      <c r="M75" s="2">
        <v>1765</v>
      </c>
      <c r="N75" s="2">
        <v>1765</v>
      </c>
      <c r="O75" s="2">
        <v>1765</v>
      </c>
      <c r="P75" s="2">
        <v>1765</v>
      </c>
      <c r="Q75" s="2">
        <v>1778</v>
      </c>
      <c r="R75" s="2">
        <v>1778</v>
      </c>
      <c r="S75" s="2">
        <v>1778</v>
      </c>
      <c r="T75" s="2">
        <v>1778</v>
      </c>
      <c r="U75" s="2">
        <v>1762</v>
      </c>
      <c r="V75" s="2">
        <v>1762</v>
      </c>
      <c r="W75" s="2">
        <v>1762</v>
      </c>
      <c r="X75" s="2">
        <v>1762</v>
      </c>
      <c r="Y75" s="2">
        <v>1762</v>
      </c>
      <c r="Z75" s="2">
        <v>1753</v>
      </c>
      <c r="AA75" s="2">
        <v>1753</v>
      </c>
      <c r="AB75" s="2">
        <v>1753</v>
      </c>
      <c r="AC75" s="2">
        <v>1753</v>
      </c>
      <c r="AD75" s="2">
        <v>1753</v>
      </c>
      <c r="AE75" s="2">
        <v>1769</v>
      </c>
      <c r="AF75" s="2">
        <v>1769</v>
      </c>
      <c r="AG75" s="2">
        <v>1769</v>
      </c>
      <c r="AH75" s="2">
        <v>1769</v>
      </c>
      <c r="AI75" s="2">
        <v>1769</v>
      </c>
      <c r="AJ75" s="2">
        <v>1759</v>
      </c>
      <c r="AK75" s="2">
        <v>1759</v>
      </c>
      <c r="AL75" s="2">
        <v>1759</v>
      </c>
      <c r="AM75" s="2">
        <v>1759</v>
      </c>
      <c r="AN75" s="2">
        <v>1759</v>
      </c>
      <c r="AO75" s="2">
        <v>1755</v>
      </c>
      <c r="AP75" s="2">
        <v>1755</v>
      </c>
      <c r="AQ75" s="2">
        <v>1755</v>
      </c>
      <c r="AR75" s="2">
        <v>1755</v>
      </c>
      <c r="AS75" s="2">
        <v>1755</v>
      </c>
      <c r="AT75" s="2">
        <v>1743</v>
      </c>
      <c r="AU75" s="2">
        <v>1743</v>
      </c>
      <c r="AV75" s="2">
        <v>1743</v>
      </c>
      <c r="AW75" s="2">
        <v>1743</v>
      </c>
      <c r="AX75" s="2">
        <v>1743</v>
      </c>
      <c r="AY75" s="2">
        <v>1743</v>
      </c>
      <c r="AZ75" s="2">
        <v>1743</v>
      </c>
      <c r="BA75" s="2">
        <v>1743</v>
      </c>
      <c r="BB75" s="2">
        <v>1743</v>
      </c>
      <c r="BC75" s="2">
        <v>1743</v>
      </c>
      <c r="BD75" s="2">
        <v>1743</v>
      </c>
      <c r="BE75" s="2">
        <v>1743</v>
      </c>
      <c r="BF75" s="2">
        <v>1743</v>
      </c>
      <c r="BG75" s="2">
        <v>1743</v>
      </c>
      <c r="BH75" s="2">
        <v>1743</v>
      </c>
      <c r="BI75" s="2">
        <v>1743</v>
      </c>
      <c r="BJ75" s="2">
        <v>1743</v>
      </c>
      <c r="BK75" s="2">
        <v>1743</v>
      </c>
      <c r="BL75" s="2">
        <v>1743</v>
      </c>
      <c r="BM75" s="2">
        <v>1743</v>
      </c>
      <c r="BN75" s="2">
        <v>1743</v>
      </c>
      <c r="BO75" s="2">
        <v>1743</v>
      </c>
      <c r="BP75" s="2">
        <v>1743</v>
      </c>
      <c r="BQ75" s="2">
        <v>1743</v>
      </c>
      <c r="BR75" s="2">
        <v>1743</v>
      </c>
      <c r="BS75" s="2">
        <v>1743</v>
      </c>
      <c r="BT75" s="2">
        <v>1743</v>
      </c>
      <c r="BU75" s="2">
        <v>1743</v>
      </c>
      <c r="BV75" s="2">
        <v>1743</v>
      </c>
      <c r="BW75" s="2">
        <v>1743</v>
      </c>
      <c r="BX75" s="2">
        <v>1743</v>
      </c>
      <c r="BY75" s="2">
        <v>1743</v>
      </c>
      <c r="BZ75" s="2">
        <v>1743</v>
      </c>
      <c r="CA75" s="2">
        <v>1743</v>
      </c>
      <c r="CB75" s="2">
        <v>1743</v>
      </c>
      <c r="CC75" s="2">
        <v>68</v>
      </c>
    </row>
    <row r="76" spans="1:81" x14ac:dyDescent="0.35">
      <c r="A76" s="2" t="s">
        <v>635</v>
      </c>
      <c r="B76" s="2">
        <v>1793</v>
      </c>
      <c r="C76" s="2">
        <v>1782</v>
      </c>
      <c r="D76" s="2">
        <v>1770</v>
      </c>
      <c r="E76" s="2">
        <v>1788</v>
      </c>
      <c r="F76" s="2">
        <v>1799</v>
      </c>
      <c r="G76" s="2">
        <v>1811</v>
      </c>
      <c r="H76" s="2">
        <v>1827</v>
      </c>
      <c r="I76" s="2">
        <v>1812</v>
      </c>
      <c r="J76" s="2">
        <v>1795</v>
      </c>
      <c r="K76" s="2">
        <v>1778</v>
      </c>
      <c r="L76" s="2">
        <v>1767</v>
      </c>
      <c r="M76" s="2">
        <v>1767</v>
      </c>
      <c r="N76" s="2">
        <v>1767</v>
      </c>
      <c r="O76" s="2">
        <v>1767</v>
      </c>
      <c r="P76" s="2">
        <v>1767</v>
      </c>
      <c r="Q76" s="2">
        <v>1786</v>
      </c>
      <c r="R76" s="2">
        <v>1786</v>
      </c>
      <c r="S76" s="2">
        <v>1786</v>
      </c>
      <c r="T76" s="2">
        <v>1786</v>
      </c>
      <c r="U76" s="2">
        <v>1768</v>
      </c>
      <c r="V76" s="2">
        <v>1768</v>
      </c>
      <c r="W76" s="2">
        <v>1768</v>
      </c>
      <c r="X76" s="2">
        <v>1768</v>
      </c>
      <c r="Y76" s="2">
        <v>1768</v>
      </c>
      <c r="Z76" s="2">
        <v>1755</v>
      </c>
      <c r="AA76" s="2">
        <v>1755</v>
      </c>
      <c r="AB76" s="2">
        <v>1755</v>
      </c>
      <c r="AC76" s="2">
        <v>1755</v>
      </c>
      <c r="AD76" s="2">
        <v>1755</v>
      </c>
      <c r="AE76" s="2">
        <v>1742</v>
      </c>
      <c r="AF76" s="2">
        <v>1742</v>
      </c>
      <c r="AG76" s="2">
        <v>1742</v>
      </c>
      <c r="AH76" s="2">
        <v>1742</v>
      </c>
      <c r="AI76" s="2">
        <v>1742</v>
      </c>
      <c r="AJ76" s="2">
        <v>1763</v>
      </c>
      <c r="AK76" s="2">
        <v>1763</v>
      </c>
      <c r="AL76" s="2">
        <v>1763</v>
      </c>
      <c r="AM76" s="2">
        <v>1763</v>
      </c>
      <c r="AN76" s="2">
        <v>1763</v>
      </c>
      <c r="AO76" s="2">
        <v>1751</v>
      </c>
      <c r="AP76" s="2">
        <v>1751</v>
      </c>
      <c r="AQ76" s="2">
        <v>1751</v>
      </c>
      <c r="AR76" s="2">
        <v>1751</v>
      </c>
      <c r="AS76" s="2">
        <v>1751</v>
      </c>
      <c r="AT76" s="2">
        <v>1743</v>
      </c>
      <c r="AU76" s="2">
        <v>1743</v>
      </c>
      <c r="AV76" s="2">
        <v>1743</v>
      </c>
      <c r="AW76" s="2">
        <v>1743</v>
      </c>
      <c r="AX76" s="2">
        <v>1743</v>
      </c>
      <c r="AY76" s="2">
        <v>1743</v>
      </c>
      <c r="AZ76" s="2">
        <v>1743</v>
      </c>
      <c r="BA76" s="2">
        <v>1743</v>
      </c>
      <c r="BB76" s="2">
        <v>1743</v>
      </c>
      <c r="BC76" s="2">
        <v>1743</v>
      </c>
      <c r="BD76" s="2">
        <v>1743</v>
      </c>
      <c r="BE76" s="2">
        <v>1743</v>
      </c>
      <c r="BF76" s="2">
        <v>1743</v>
      </c>
      <c r="BG76" s="2">
        <v>1743</v>
      </c>
      <c r="BH76" s="2">
        <v>1743</v>
      </c>
      <c r="BI76" s="2">
        <v>1743</v>
      </c>
      <c r="BJ76" s="2">
        <v>1743</v>
      </c>
      <c r="BK76" s="2">
        <v>1743</v>
      </c>
      <c r="BL76" s="2">
        <v>1743</v>
      </c>
      <c r="BM76" s="2">
        <v>1743</v>
      </c>
      <c r="BN76" s="2">
        <v>1743</v>
      </c>
      <c r="BO76" s="2">
        <v>1743</v>
      </c>
      <c r="BP76" s="2">
        <v>1743</v>
      </c>
      <c r="BQ76" s="2">
        <v>1743</v>
      </c>
      <c r="BR76" s="2">
        <v>1743</v>
      </c>
      <c r="BS76" s="2">
        <v>1743</v>
      </c>
      <c r="BT76" s="2">
        <v>1743</v>
      </c>
      <c r="BU76" s="2">
        <v>1743</v>
      </c>
      <c r="BV76" s="2">
        <v>1743</v>
      </c>
      <c r="BW76" s="2">
        <v>1743</v>
      </c>
      <c r="BX76" s="2">
        <v>1743</v>
      </c>
      <c r="BY76" s="2">
        <v>1743</v>
      </c>
      <c r="BZ76" s="2">
        <v>1743</v>
      </c>
      <c r="CA76" s="2">
        <v>1743</v>
      </c>
      <c r="CB76" s="2">
        <v>1743</v>
      </c>
      <c r="CC76" s="2">
        <v>105</v>
      </c>
    </row>
    <row r="77" spans="1:81" x14ac:dyDescent="0.35">
      <c r="A77" s="2" t="s">
        <v>764</v>
      </c>
      <c r="B77" s="2">
        <v>1804</v>
      </c>
      <c r="C77" s="2">
        <v>1790</v>
      </c>
      <c r="D77" s="2">
        <v>1800</v>
      </c>
      <c r="E77" s="2">
        <v>1787</v>
      </c>
      <c r="F77" s="2">
        <v>1771</v>
      </c>
      <c r="G77" s="2">
        <v>1771</v>
      </c>
      <c r="H77" s="2">
        <v>1756</v>
      </c>
      <c r="I77" s="2">
        <v>1772</v>
      </c>
      <c r="J77" s="2">
        <v>1772</v>
      </c>
      <c r="K77" s="2">
        <v>1772</v>
      </c>
      <c r="L77" s="2">
        <v>1761</v>
      </c>
      <c r="M77" s="2">
        <v>1784</v>
      </c>
      <c r="N77" s="2">
        <v>1767</v>
      </c>
      <c r="O77" s="2">
        <v>1767</v>
      </c>
      <c r="P77" s="2">
        <v>1767</v>
      </c>
      <c r="Q77" s="2">
        <v>1761</v>
      </c>
      <c r="R77" s="2">
        <v>1761</v>
      </c>
      <c r="S77" s="2">
        <v>1761</v>
      </c>
      <c r="T77" s="2">
        <v>1761</v>
      </c>
      <c r="U77" s="2">
        <v>1748</v>
      </c>
      <c r="V77" s="2">
        <v>1769</v>
      </c>
      <c r="W77" s="2">
        <v>1747</v>
      </c>
      <c r="X77" s="2">
        <v>1747</v>
      </c>
      <c r="Y77" s="2">
        <v>1747</v>
      </c>
      <c r="Z77" s="2">
        <v>1759</v>
      </c>
      <c r="AA77" s="2">
        <v>1759</v>
      </c>
      <c r="AB77" s="2">
        <v>1759</v>
      </c>
      <c r="AC77" s="2">
        <v>1759</v>
      </c>
      <c r="AD77" s="2">
        <v>1759</v>
      </c>
      <c r="AE77" s="2">
        <v>1750</v>
      </c>
      <c r="AF77" s="2">
        <v>1750</v>
      </c>
      <c r="AG77" s="2">
        <v>1750</v>
      </c>
      <c r="AH77" s="2">
        <v>1750</v>
      </c>
      <c r="AI77" s="2">
        <v>1750</v>
      </c>
      <c r="AJ77" s="2">
        <v>1766</v>
      </c>
      <c r="AK77" s="2">
        <v>1766</v>
      </c>
      <c r="AL77" s="2">
        <v>1766</v>
      </c>
      <c r="AM77" s="2">
        <v>1766</v>
      </c>
      <c r="AN77" s="2">
        <v>1766</v>
      </c>
      <c r="AO77" s="2">
        <v>1755</v>
      </c>
      <c r="AP77" s="2">
        <v>1755</v>
      </c>
      <c r="AQ77" s="2">
        <v>1755</v>
      </c>
      <c r="AR77" s="2">
        <v>1755</v>
      </c>
      <c r="AS77" s="2">
        <v>1755</v>
      </c>
      <c r="AT77" s="2">
        <v>1740</v>
      </c>
      <c r="AU77" s="2">
        <v>1740</v>
      </c>
      <c r="AV77" s="2">
        <v>1740</v>
      </c>
      <c r="AW77" s="2">
        <v>1740</v>
      </c>
      <c r="AX77" s="2">
        <v>1740</v>
      </c>
      <c r="AY77" s="2">
        <v>1740</v>
      </c>
      <c r="AZ77" s="2">
        <v>1740</v>
      </c>
      <c r="BA77" s="2">
        <v>1740</v>
      </c>
      <c r="BB77" s="2">
        <v>1740</v>
      </c>
      <c r="BC77" s="2">
        <v>1740</v>
      </c>
      <c r="BD77" s="2">
        <v>1740</v>
      </c>
      <c r="BE77" s="2">
        <v>1740</v>
      </c>
      <c r="BF77" s="2">
        <v>1740</v>
      </c>
      <c r="BG77" s="2">
        <v>1740</v>
      </c>
      <c r="BH77" s="2">
        <v>1740</v>
      </c>
      <c r="BI77" s="2">
        <v>1740</v>
      </c>
      <c r="BJ77" s="2">
        <v>1740</v>
      </c>
      <c r="BK77" s="2">
        <v>1740</v>
      </c>
      <c r="BL77" s="2">
        <v>1740</v>
      </c>
      <c r="BM77" s="2">
        <v>1740</v>
      </c>
      <c r="BN77" s="2">
        <v>1740</v>
      </c>
      <c r="BO77" s="2">
        <v>1740</v>
      </c>
      <c r="BP77" s="2">
        <v>1740</v>
      </c>
      <c r="BQ77" s="2">
        <v>1740</v>
      </c>
      <c r="BR77" s="2">
        <v>1740</v>
      </c>
      <c r="BS77" s="2">
        <v>1740</v>
      </c>
      <c r="BT77" s="2">
        <v>1740</v>
      </c>
      <c r="BU77" s="2">
        <v>1740</v>
      </c>
      <c r="BV77" s="2">
        <v>1740</v>
      </c>
      <c r="BW77" s="2">
        <v>1740</v>
      </c>
      <c r="BX77" s="2">
        <v>1740</v>
      </c>
      <c r="BY77" s="2">
        <v>1740</v>
      </c>
      <c r="BZ77" s="2">
        <v>1740</v>
      </c>
      <c r="CA77" s="2">
        <v>1740</v>
      </c>
      <c r="CB77" s="2">
        <v>1740</v>
      </c>
      <c r="CC77" s="2">
        <v>78</v>
      </c>
    </row>
    <row r="78" spans="1:81" x14ac:dyDescent="0.35">
      <c r="A78" s="2" t="s">
        <v>765</v>
      </c>
      <c r="B78" s="2">
        <v>1819</v>
      </c>
      <c r="C78" s="2">
        <v>1831</v>
      </c>
      <c r="D78" s="2">
        <v>1818</v>
      </c>
      <c r="E78" s="2">
        <v>1836</v>
      </c>
      <c r="F78" s="2">
        <v>1848</v>
      </c>
      <c r="G78" s="2">
        <v>1848</v>
      </c>
      <c r="H78" s="2">
        <v>1861</v>
      </c>
      <c r="I78" s="2">
        <v>1847</v>
      </c>
      <c r="J78" s="2">
        <v>1847</v>
      </c>
      <c r="K78" s="2">
        <v>1832</v>
      </c>
      <c r="L78" s="2">
        <v>1820</v>
      </c>
      <c r="M78" s="2">
        <v>1838</v>
      </c>
      <c r="N78" s="2">
        <v>1820</v>
      </c>
      <c r="O78" s="2">
        <v>1820</v>
      </c>
      <c r="P78" s="2">
        <v>1820</v>
      </c>
      <c r="Q78" s="2">
        <v>1835</v>
      </c>
      <c r="R78" s="2">
        <v>1835</v>
      </c>
      <c r="S78" s="2">
        <v>1835</v>
      </c>
      <c r="T78" s="2">
        <v>1835</v>
      </c>
      <c r="U78" s="2">
        <v>1822</v>
      </c>
      <c r="V78" s="2">
        <v>1800</v>
      </c>
      <c r="W78" s="2">
        <v>1785</v>
      </c>
      <c r="X78" s="2">
        <v>1785</v>
      </c>
      <c r="Y78" s="2">
        <v>1785</v>
      </c>
      <c r="Z78" s="2">
        <v>1771</v>
      </c>
      <c r="AA78" s="2">
        <v>1771</v>
      </c>
      <c r="AB78" s="2">
        <v>1771</v>
      </c>
      <c r="AC78" s="2">
        <v>1771</v>
      </c>
      <c r="AD78" s="2">
        <v>1771</v>
      </c>
      <c r="AE78" s="2">
        <v>1756</v>
      </c>
      <c r="AF78" s="2">
        <v>1756</v>
      </c>
      <c r="AG78" s="2">
        <v>1756</v>
      </c>
      <c r="AH78" s="2">
        <v>1756</v>
      </c>
      <c r="AI78" s="2">
        <v>1756</v>
      </c>
      <c r="AJ78" s="2">
        <v>1739</v>
      </c>
      <c r="AK78" s="2">
        <v>1739</v>
      </c>
      <c r="AL78" s="2">
        <v>1739</v>
      </c>
      <c r="AM78" s="2">
        <v>1739</v>
      </c>
      <c r="AN78" s="2">
        <v>1739</v>
      </c>
      <c r="AO78" s="2">
        <v>1722</v>
      </c>
      <c r="AP78" s="2">
        <v>1722</v>
      </c>
      <c r="AQ78" s="2">
        <v>1722</v>
      </c>
      <c r="AR78" s="2">
        <v>1722</v>
      </c>
      <c r="AS78" s="2">
        <v>1722</v>
      </c>
      <c r="AT78" s="2">
        <v>1738</v>
      </c>
      <c r="AU78" s="2">
        <v>1738</v>
      </c>
      <c r="AV78" s="2">
        <v>1738</v>
      </c>
      <c r="AW78" s="2">
        <v>1738</v>
      </c>
      <c r="AX78" s="2">
        <v>1738</v>
      </c>
      <c r="AY78" s="2">
        <v>1738</v>
      </c>
      <c r="AZ78" s="2">
        <v>1738</v>
      </c>
      <c r="BA78" s="2">
        <v>1738</v>
      </c>
      <c r="BB78" s="2">
        <v>1738</v>
      </c>
      <c r="BC78" s="2">
        <v>1738</v>
      </c>
      <c r="BD78" s="2">
        <v>1738</v>
      </c>
      <c r="BE78" s="2">
        <v>1738</v>
      </c>
      <c r="BF78" s="2">
        <v>1738</v>
      </c>
      <c r="BG78" s="2">
        <v>1738</v>
      </c>
      <c r="BH78" s="2">
        <v>1738</v>
      </c>
      <c r="BI78" s="2">
        <v>1738</v>
      </c>
      <c r="BJ78" s="2">
        <v>1738</v>
      </c>
      <c r="BK78" s="2">
        <v>1738</v>
      </c>
      <c r="BL78" s="2">
        <v>1738</v>
      </c>
      <c r="BM78" s="2">
        <v>1738</v>
      </c>
      <c r="BN78" s="2">
        <v>1738</v>
      </c>
      <c r="BO78" s="2">
        <v>1738</v>
      </c>
      <c r="BP78" s="2">
        <v>1738</v>
      </c>
      <c r="BQ78" s="2">
        <v>1738</v>
      </c>
      <c r="BR78" s="2">
        <v>1738</v>
      </c>
      <c r="BS78" s="2">
        <v>1738</v>
      </c>
      <c r="BT78" s="2">
        <v>1738</v>
      </c>
      <c r="BU78" s="2">
        <v>1738</v>
      </c>
      <c r="BV78" s="2">
        <v>1738</v>
      </c>
      <c r="BW78" s="2">
        <v>1738</v>
      </c>
      <c r="BX78" s="2">
        <v>1738</v>
      </c>
      <c r="BY78" s="2">
        <v>1738</v>
      </c>
      <c r="BZ78" s="2">
        <v>1738</v>
      </c>
      <c r="CA78" s="2">
        <v>1738</v>
      </c>
      <c r="CB78" s="2">
        <v>1738</v>
      </c>
      <c r="CC78" s="2">
        <v>10</v>
      </c>
    </row>
    <row r="79" spans="1:81" x14ac:dyDescent="0.35">
      <c r="A79" s="2" t="s">
        <v>631</v>
      </c>
      <c r="B79" s="2">
        <v>1797</v>
      </c>
      <c r="C79" s="2">
        <v>1783</v>
      </c>
      <c r="D79" s="2">
        <v>1773</v>
      </c>
      <c r="E79" s="2">
        <v>1757</v>
      </c>
      <c r="F79" s="2">
        <v>1746</v>
      </c>
      <c r="G79" s="2">
        <v>1746</v>
      </c>
      <c r="H79" s="2">
        <v>1727</v>
      </c>
      <c r="I79" s="2">
        <v>1742</v>
      </c>
      <c r="J79" s="2">
        <v>1723</v>
      </c>
      <c r="K79" s="2">
        <v>1723</v>
      </c>
      <c r="L79" s="2">
        <v>1736</v>
      </c>
      <c r="M79" s="2">
        <v>1736</v>
      </c>
      <c r="N79" s="2">
        <v>1736</v>
      </c>
      <c r="O79" s="2">
        <v>1736</v>
      </c>
      <c r="P79" s="2">
        <v>1736</v>
      </c>
      <c r="Q79" s="2">
        <v>1717</v>
      </c>
      <c r="R79" s="2">
        <v>1717</v>
      </c>
      <c r="S79" s="2">
        <v>1717</v>
      </c>
      <c r="T79" s="2">
        <v>1717</v>
      </c>
      <c r="U79" s="2">
        <v>1709</v>
      </c>
      <c r="V79" s="2">
        <v>1709</v>
      </c>
      <c r="W79" s="2">
        <v>1709</v>
      </c>
      <c r="X79" s="2">
        <v>1709</v>
      </c>
      <c r="Y79" s="2">
        <v>1709</v>
      </c>
      <c r="Z79" s="2">
        <v>1694</v>
      </c>
      <c r="AA79" s="2">
        <v>1694</v>
      </c>
      <c r="AB79" s="2">
        <v>1694</v>
      </c>
      <c r="AC79" s="2">
        <v>1694</v>
      </c>
      <c r="AD79" s="2">
        <v>1694</v>
      </c>
      <c r="AE79" s="2">
        <v>1706</v>
      </c>
      <c r="AF79" s="2">
        <v>1706</v>
      </c>
      <c r="AG79" s="2">
        <v>1706</v>
      </c>
      <c r="AH79" s="2">
        <v>1706</v>
      </c>
      <c r="AI79" s="2">
        <v>1706</v>
      </c>
      <c r="AJ79" s="2">
        <v>1726</v>
      </c>
      <c r="AK79" s="2">
        <v>1726</v>
      </c>
      <c r="AL79" s="2">
        <v>1726</v>
      </c>
      <c r="AM79" s="2">
        <v>1726</v>
      </c>
      <c r="AN79" s="2">
        <v>1726</v>
      </c>
      <c r="AO79" s="2">
        <v>1719</v>
      </c>
      <c r="AP79" s="2">
        <v>1719</v>
      </c>
      <c r="AQ79" s="2">
        <v>1719</v>
      </c>
      <c r="AR79" s="2">
        <v>1719</v>
      </c>
      <c r="AS79" s="2">
        <v>1719</v>
      </c>
      <c r="AT79" s="2">
        <v>1732</v>
      </c>
      <c r="AU79" s="2">
        <v>1732</v>
      </c>
      <c r="AV79" s="2">
        <v>1732</v>
      </c>
      <c r="AW79" s="2">
        <v>1732</v>
      </c>
      <c r="AX79" s="2">
        <v>1732</v>
      </c>
      <c r="AY79" s="2">
        <v>1732</v>
      </c>
      <c r="AZ79" s="2">
        <v>1732</v>
      </c>
      <c r="BA79" s="2">
        <v>1732</v>
      </c>
      <c r="BB79" s="2">
        <v>1732</v>
      </c>
      <c r="BC79" s="2">
        <v>1732</v>
      </c>
      <c r="BD79" s="2">
        <v>1732</v>
      </c>
      <c r="BE79" s="2">
        <v>1732</v>
      </c>
      <c r="BF79" s="2">
        <v>1732</v>
      </c>
      <c r="BG79" s="2">
        <v>1732</v>
      </c>
      <c r="BH79" s="2">
        <v>1732</v>
      </c>
      <c r="BI79" s="2">
        <v>1732</v>
      </c>
      <c r="BJ79" s="2">
        <v>1732</v>
      </c>
      <c r="BK79" s="2">
        <v>1732</v>
      </c>
      <c r="BL79" s="2">
        <v>1732</v>
      </c>
      <c r="BM79" s="2">
        <v>1732</v>
      </c>
      <c r="BN79" s="2">
        <v>1732</v>
      </c>
      <c r="BO79" s="2">
        <v>1732</v>
      </c>
      <c r="BP79" s="2">
        <v>1732</v>
      </c>
      <c r="BQ79" s="2">
        <v>1732</v>
      </c>
      <c r="BR79" s="2">
        <v>1732</v>
      </c>
      <c r="BS79" s="2">
        <v>1732</v>
      </c>
      <c r="BT79" s="2">
        <v>1732</v>
      </c>
      <c r="BU79" s="2">
        <v>1732</v>
      </c>
      <c r="BV79" s="2">
        <v>1732</v>
      </c>
      <c r="BW79" s="2">
        <v>1732</v>
      </c>
      <c r="BX79" s="2">
        <v>1732</v>
      </c>
      <c r="BY79" s="2">
        <v>1732</v>
      </c>
      <c r="BZ79" s="2">
        <v>1732</v>
      </c>
      <c r="CA79" s="2">
        <v>1732</v>
      </c>
      <c r="CB79" s="2">
        <v>1732</v>
      </c>
      <c r="CC79" s="2">
        <v>102</v>
      </c>
    </row>
    <row r="80" spans="1:81" s="2" customFormat="1" x14ac:dyDescent="0.35">
      <c r="A80" s="2" t="s">
        <v>738</v>
      </c>
      <c r="B80" s="2">
        <v>1791</v>
      </c>
      <c r="C80" s="2">
        <v>1779</v>
      </c>
      <c r="D80" s="2">
        <v>1762</v>
      </c>
      <c r="E80" s="2">
        <v>1775</v>
      </c>
      <c r="F80" s="2">
        <v>1764</v>
      </c>
      <c r="G80" s="2">
        <v>1764</v>
      </c>
      <c r="H80" s="2">
        <v>1751</v>
      </c>
      <c r="I80" s="2">
        <v>1739</v>
      </c>
      <c r="J80" s="2">
        <v>1726</v>
      </c>
      <c r="K80" s="2">
        <v>1726</v>
      </c>
      <c r="L80" s="2">
        <v>1742</v>
      </c>
      <c r="M80" s="2">
        <v>1742</v>
      </c>
      <c r="N80" s="2">
        <v>1742</v>
      </c>
      <c r="O80" s="2">
        <v>1742</v>
      </c>
      <c r="P80" s="2">
        <v>1742</v>
      </c>
      <c r="Q80" s="2">
        <v>1754</v>
      </c>
      <c r="R80" s="2">
        <v>1754</v>
      </c>
      <c r="S80" s="2">
        <v>1754</v>
      </c>
      <c r="T80" s="2">
        <v>1754</v>
      </c>
      <c r="U80" s="2">
        <v>1767</v>
      </c>
      <c r="V80" s="2">
        <v>1767</v>
      </c>
      <c r="W80" s="2">
        <v>1767</v>
      </c>
      <c r="X80" s="2">
        <v>1767</v>
      </c>
      <c r="Y80" s="2">
        <v>1767</v>
      </c>
      <c r="Z80" s="2">
        <v>1776</v>
      </c>
      <c r="AA80" s="2">
        <v>1776</v>
      </c>
      <c r="AB80" s="2">
        <v>1776</v>
      </c>
      <c r="AC80" s="2">
        <v>1776</v>
      </c>
      <c r="AD80" s="2">
        <v>1776</v>
      </c>
      <c r="AE80" s="2">
        <v>1762</v>
      </c>
      <c r="AF80" s="2">
        <v>1762</v>
      </c>
      <c r="AG80" s="2">
        <v>1762</v>
      </c>
      <c r="AH80" s="2">
        <v>1762</v>
      </c>
      <c r="AI80" s="2">
        <v>1762</v>
      </c>
      <c r="AJ80" s="2">
        <v>1747</v>
      </c>
      <c r="AK80" s="2">
        <v>1747</v>
      </c>
      <c r="AL80" s="2">
        <v>1747</v>
      </c>
      <c r="AM80" s="2">
        <v>1747</v>
      </c>
      <c r="AN80" s="2">
        <v>1747</v>
      </c>
      <c r="AO80" s="2">
        <v>1741</v>
      </c>
      <c r="AP80" s="2">
        <v>1741</v>
      </c>
      <c r="AQ80" s="2">
        <v>1741</v>
      </c>
      <c r="AR80" s="2">
        <v>1741</v>
      </c>
      <c r="AS80" s="2">
        <v>1741</v>
      </c>
      <c r="AT80" s="2">
        <v>1731</v>
      </c>
      <c r="AU80" s="2">
        <v>1731</v>
      </c>
      <c r="AV80" s="2">
        <v>1731</v>
      </c>
      <c r="AW80" s="2">
        <v>1731</v>
      </c>
      <c r="AX80" s="2">
        <v>1731</v>
      </c>
      <c r="AY80" s="2">
        <v>1731</v>
      </c>
      <c r="AZ80" s="2">
        <v>1731</v>
      </c>
      <c r="BA80" s="2">
        <v>1731</v>
      </c>
      <c r="BB80" s="2">
        <v>1731</v>
      </c>
      <c r="BC80" s="2">
        <v>1731</v>
      </c>
      <c r="BD80" s="2">
        <v>1731</v>
      </c>
      <c r="BE80" s="2">
        <v>1731</v>
      </c>
      <c r="BF80" s="2">
        <v>1731</v>
      </c>
      <c r="BG80" s="2">
        <v>1731</v>
      </c>
      <c r="BH80" s="2">
        <v>1731</v>
      </c>
      <c r="BI80" s="2">
        <v>1731</v>
      </c>
      <c r="BJ80" s="2">
        <v>1731</v>
      </c>
      <c r="BK80" s="2">
        <v>1731</v>
      </c>
      <c r="BL80" s="2">
        <v>1731</v>
      </c>
      <c r="BM80" s="2">
        <v>1731</v>
      </c>
      <c r="BN80" s="2">
        <v>1731</v>
      </c>
      <c r="BO80" s="2">
        <v>1731</v>
      </c>
      <c r="BP80" s="2">
        <v>1731</v>
      </c>
      <c r="BQ80" s="2">
        <v>1731</v>
      </c>
      <c r="BR80" s="2">
        <v>1731</v>
      </c>
      <c r="BS80" s="2">
        <v>1731</v>
      </c>
      <c r="BT80" s="2">
        <v>1731</v>
      </c>
      <c r="BU80" s="2">
        <v>1731</v>
      </c>
      <c r="BV80" s="2">
        <v>1731</v>
      </c>
      <c r="BW80" s="2">
        <v>1731</v>
      </c>
      <c r="BX80" s="2">
        <v>1731</v>
      </c>
      <c r="BY80" s="2">
        <v>1731</v>
      </c>
      <c r="BZ80" s="2">
        <v>1731</v>
      </c>
      <c r="CA80" s="2">
        <v>1731</v>
      </c>
      <c r="CB80" s="2">
        <v>1731</v>
      </c>
      <c r="CC80" s="2">
        <v>9</v>
      </c>
    </row>
    <row r="81" spans="1:81" s="2" customFormat="1" x14ac:dyDescent="0.35">
      <c r="A81" s="2" t="s">
        <v>634</v>
      </c>
      <c r="B81" s="2">
        <v>1795</v>
      </c>
      <c r="C81" s="2">
        <v>1783</v>
      </c>
      <c r="D81" s="2">
        <v>1770</v>
      </c>
      <c r="E81" s="2">
        <v>1787</v>
      </c>
      <c r="F81" s="2">
        <v>1769</v>
      </c>
      <c r="G81" s="2">
        <v>1785</v>
      </c>
      <c r="H81" s="2">
        <v>1767</v>
      </c>
      <c r="I81" s="2">
        <v>1783</v>
      </c>
      <c r="J81" s="2">
        <v>1766</v>
      </c>
      <c r="K81" s="2">
        <v>1766</v>
      </c>
      <c r="L81" s="2">
        <v>1778</v>
      </c>
      <c r="M81" s="2">
        <v>1778</v>
      </c>
      <c r="N81" s="2">
        <v>1778</v>
      </c>
      <c r="O81" s="2">
        <v>1778</v>
      </c>
      <c r="P81" s="2">
        <v>1778</v>
      </c>
      <c r="Q81" s="2">
        <v>1771</v>
      </c>
      <c r="R81" s="2">
        <v>1771</v>
      </c>
      <c r="S81" s="2">
        <v>1771</v>
      </c>
      <c r="T81" s="2">
        <v>1771</v>
      </c>
      <c r="U81" s="2">
        <v>1761</v>
      </c>
      <c r="V81" s="2">
        <v>1761</v>
      </c>
      <c r="W81" s="2">
        <v>1761</v>
      </c>
      <c r="X81" s="2">
        <v>1761</v>
      </c>
      <c r="Y81" s="2">
        <v>1761</v>
      </c>
      <c r="Z81" s="2">
        <v>1747</v>
      </c>
      <c r="AA81" s="2">
        <v>1747</v>
      </c>
      <c r="AB81" s="2">
        <v>1747</v>
      </c>
      <c r="AC81" s="2">
        <v>1747</v>
      </c>
      <c r="AD81" s="2">
        <v>1747</v>
      </c>
      <c r="AE81" s="2">
        <v>1760</v>
      </c>
      <c r="AF81" s="2">
        <v>1760</v>
      </c>
      <c r="AG81" s="2">
        <v>1760</v>
      </c>
      <c r="AH81" s="2">
        <v>1760</v>
      </c>
      <c r="AI81" s="2">
        <v>1760</v>
      </c>
      <c r="AJ81" s="2">
        <v>1746</v>
      </c>
      <c r="AK81" s="2">
        <v>1746</v>
      </c>
      <c r="AL81" s="2">
        <v>1746</v>
      </c>
      <c r="AM81" s="2">
        <v>1746</v>
      </c>
      <c r="AN81" s="2">
        <v>1746</v>
      </c>
      <c r="AO81" s="2">
        <v>1738</v>
      </c>
      <c r="AP81" s="2">
        <v>1738</v>
      </c>
      <c r="AQ81" s="2">
        <v>1738</v>
      </c>
      <c r="AR81" s="2">
        <v>1738</v>
      </c>
      <c r="AS81" s="2">
        <v>1738</v>
      </c>
      <c r="AT81" s="2">
        <v>1719</v>
      </c>
      <c r="AU81" s="2">
        <v>1719</v>
      </c>
      <c r="AV81" s="2">
        <v>1719</v>
      </c>
      <c r="AW81" s="2">
        <v>1719</v>
      </c>
      <c r="AX81" s="2">
        <v>1719</v>
      </c>
      <c r="AY81" s="2">
        <v>1719</v>
      </c>
      <c r="AZ81" s="2">
        <v>1719</v>
      </c>
      <c r="BA81" s="2">
        <v>1719</v>
      </c>
      <c r="BB81" s="2">
        <v>1719</v>
      </c>
      <c r="BC81" s="2">
        <v>1719</v>
      </c>
      <c r="BD81" s="2">
        <v>1719</v>
      </c>
      <c r="BE81" s="2">
        <v>1719</v>
      </c>
      <c r="BF81" s="2">
        <v>1719</v>
      </c>
      <c r="BG81" s="2">
        <v>1719</v>
      </c>
      <c r="BH81" s="2">
        <v>1719</v>
      </c>
      <c r="BI81" s="2">
        <v>1719</v>
      </c>
      <c r="BJ81" s="2">
        <v>1719</v>
      </c>
      <c r="BK81" s="2">
        <v>1719</v>
      </c>
      <c r="BL81" s="2">
        <v>1719</v>
      </c>
      <c r="BM81" s="2">
        <v>1719</v>
      </c>
      <c r="BN81" s="2">
        <v>1719</v>
      </c>
      <c r="BO81" s="2">
        <v>1719</v>
      </c>
      <c r="BP81" s="2">
        <v>1719</v>
      </c>
      <c r="BQ81" s="2">
        <v>1719</v>
      </c>
      <c r="BR81" s="2">
        <v>1719</v>
      </c>
      <c r="BS81" s="2">
        <v>1719</v>
      </c>
      <c r="BT81" s="2">
        <v>1719</v>
      </c>
      <c r="BU81" s="2">
        <v>1719</v>
      </c>
      <c r="BV81" s="2">
        <v>1719</v>
      </c>
      <c r="BW81" s="2">
        <v>1719</v>
      </c>
      <c r="BX81" s="2">
        <v>1719</v>
      </c>
      <c r="BY81" s="2">
        <v>1719</v>
      </c>
      <c r="BZ81" s="2">
        <v>1719</v>
      </c>
      <c r="CA81" s="2">
        <v>1719</v>
      </c>
      <c r="CB81" s="2">
        <v>1719</v>
      </c>
      <c r="CC81" s="2">
        <v>97</v>
      </c>
    </row>
    <row r="82" spans="1:81" s="2" customFormat="1" x14ac:dyDescent="0.35">
      <c r="A82" s="2" t="s">
        <v>792</v>
      </c>
      <c r="B82" s="2">
        <v>1714</v>
      </c>
      <c r="C82" s="2">
        <v>1707</v>
      </c>
      <c r="D82" s="2">
        <v>1699</v>
      </c>
      <c r="E82" s="2">
        <v>1718</v>
      </c>
      <c r="F82" s="2">
        <v>1704</v>
      </c>
      <c r="G82" s="2">
        <v>1704</v>
      </c>
      <c r="H82" s="2">
        <v>1688</v>
      </c>
      <c r="I82" s="2">
        <v>1679</v>
      </c>
      <c r="J82" s="2">
        <v>1697</v>
      </c>
      <c r="K82" s="2">
        <v>1697</v>
      </c>
      <c r="L82" s="2">
        <v>1683</v>
      </c>
      <c r="M82" s="2">
        <v>1704</v>
      </c>
      <c r="N82" s="2">
        <v>1688</v>
      </c>
      <c r="O82" s="2">
        <v>1688</v>
      </c>
      <c r="P82" s="2">
        <v>1688</v>
      </c>
      <c r="Q82" s="2">
        <v>1681</v>
      </c>
      <c r="R82" s="2">
        <v>1681</v>
      </c>
      <c r="S82" s="2">
        <v>1681</v>
      </c>
      <c r="T82" s="2">
        <v>1681</v>
      </c>
      <c r="U82" s="2">
        <v>1674</v>
      </c>
      <c r="V82" s="2">
        <v>1674</v>
      </c>
      <c r="W82" s="2">
        <v>1674</v>
      </c>
      <c r="X82" s="2">
        <v>1674</v>
      </c>
      <c r="Y82" s="2">
        <v>1674</v>
      </c>
      <c r="Z82" s="2">
        <v>1665</v>
      </c>
      <c r="AA82" s="2">
        <v>1665</v>
      </c>
      <c r="AB82" s="2">
        <v>1665</v>
      </c>
      <c r="AC82" s="2">
        <v>1665</v>
      </c>
      <c r="AD82" s="2">
        <v>1665</v>
      </c>
      <c r="AE82" s="2">
        <v>1678</v>
      </c>
      <c r="AF82" s="2">
        <v>1678</v>
      </c>
      <c r="AG82" s="2">
        <v>1678</v>
      </c>
      <c r="AH82" s="2">
        <v>1678</v>
      </c>
      <c r="AI82" s="2">
        <v>1678</v>
      </c>
      <c r="AJ82" s="2">
        <v>1690</v>
      </c>
      <c r="AK82" s="2">
        <v>1690</v>
      </c>
      <c r="AL82" s="2">
        <v>1690</v>
      </c>
      <c r="AM82" s="2">
        <v>1690</v>
      </c>
      <c r="AN82" s="2">
        <v>1690</v>
      </c>
      <c r="AO82" s="2">
        <v>1705</v>
      </c>
      <c r="AP82" s="2">
        <v>1705</v>
      </c>
      <c r="AQ82" s="2">
        <v>1705</v>
      </c>
      <c r="AR82" s="2">
        <v>1705</v>
      </c>
      <c r="AS82" s="2">
        <v>1705</v>
      </c>
      <c r="AT82" s="2">
        <v>1719</v>
      </c>
      <c r="AU82" s="2">
        <v>1719</v>
      </c>
      <c r="AV82" s="2">
        <v>1719</v>
      </c>
      <c r="AW82" s="2">
        <v>1719</v>
      </c>
      <c r="AX82" s="2">
        <v>1719</v>
      </c>
      <c r="AY82" s="2">
        <v>1719</v>
      </c>
      <c r="AZ82" s="2">
        <v>1719</v>
      </c>
      <c r="BA82" s="2">
        <v>1719</v>
      </c>
      <c r="BB82" s="2">
        <v>1719</v>
      </c>
      <c r="BC82" s="2">
        <v>1719</v>
      </c>
      <c r="BD82" s="2">
        <v>1719</v>
      </c>
      <c r="BE82" s="2">
        <v>1719</v>
      </c>
      <c r="BF82" s="2">
        <v>1719</v>
      </c>
      <c r="BG82" s="2">
        <v>1719</v>
      </c>
      <c r="BH82" s="2">
        <v>1719</v>
      </c>
      <c r="BI82" s="2">
        <v>1719</v>
      </c>
      <c r="BJ82" s="2">
        <v>1719</v>
      </c>
      <c r="BK82" s="2">
        <v>1719</v>
      </c>
      <c r="BL82" s="2">
        <v>1719</v>
      </c>
      <c r="BM82" s="2">
        <v>1719</v>
      </c>
      <c r="BN82" s="2">
        <v>1719</v>
      </c>
      <c r="BO82" s="2">
        <v>1719</v>
      </c>
      <c r="BP82" s="2">
        <v>1719</v>
      </c>
      <c r="BQ82" s="2">
        <v>1719</v>
      </c>
      <c r="BR82" s="2">
        <v>1719</v>
      </c>
      <c r="BS82" s="2">
        <v>1719</v>
      </c>
      <c r="BT82" s="2">
        <v>1719</v>
      </c>
      <c r="BU82" s="2">
        <v>1719</v>
      </c>
      <c r="BV82" s="2">
        <v>1719</v>
      </c>
      <c r="BW82" s="2">
        <v>1719</v>
      </c>
      <c r="BX82" s="2">
        <v>1719</v>
      </c>
      <c r="BY82" s="2">
        <v>1719</v>
      </c>
      <c r="BZ82" s="2">
        <v>1719</v>
      </c>
      <c r="CA82" s="2">
        <v>1719</v>
      </c>
      <c r="CB82" s="2">
        <v>1719</v>
      </c>
      <c r="CC82" s="2">
        <v>62</v>
      </c>
    </row>
    <row r="83" spans="1:81" s="2" customFormat="1" x14ac:dyDescent="0.35">
      <c r="A83" t="s">
        <v>774</v>
      </c>
      <c r="B83" s="2">
        <v>1762</v>
      </c>
      <c r="C83" s="2">
        <v>1746</v>
      </c>
      <c r="D83" s="2">
        <v>1759</v>
      </c>
      <c r="E83" s="2">
        <v>1740</v>
      </c>
      <c r="F83" s="2">
        <v>1755</v>
      </c>
      <c r="G83" s="2">
        <v>1771</v>
      </c>
      <c r="H83" s="2">
        <v>1786</v>
      </c>
      <c r="I83" s="2">
        <v>1795</v>
      </c>
      <c r="J83" s="2">
        <v>1819</v>
      </c>
      <c r="K83" s="2">
        <v>1802</v>
      </c>
      <c r="L83" s="2">
        <v>1785</v>
      </c>
      <c r="M83" s="2">
        <v>1772</v>
      </c>
      <c r="N83" s="2">
        <v>1761</v>
      </c>
      <c r="O83" s="2">
        <v>1761</v>
      </c>
      <c r="P83" s="2">
        <v>1761</v>
      </c>
      <c r="Q83" s="2">
        <v>1755</v>
      </c>
      <c r="R83" s="2">
        <v>1755</v>
      </c>
      <c r="S83" s="2">
        <v>1755</v>
      </c>
      <c r="T83" s="2">
        <v>1755</v>
      </c>
      <c r="U83" s="2">
        <v>1748</v>
      </c>
      <c r="V83" s="2">
        <v>1748</v>
      </c>
      <c r="W83" s="2">
        <v>1748</v>
      </c>
      <c r="X83" s="2">
        <v>1748</v>
      </c>
      <c r="Y83" s="2">
        <v>1748</v>
      </c>
      <c r="Z83" s="2">
        <v>1763</v>
      </c>
      <c r="AA83" s="2">
        <v>1763</v>
      </c>
      <c r="AB83" s="2">
        <v>1763</v>
      </c>
      <c r="AC83" s="2">
        <v>1763</v>
      </c>
      <c r="AD83" s="2">
        <v>1763</v>
      </c>
      <c r="AE83" s="2">
        <v>1757</v>
      </c>
      <c r="AF83" s="2">
        <v>1757</v>
      </c>
      <c r="AG83" s="2">
        <v>1757</v>
      </c>
      <c r="AH83" s="2">
        <v>1757</v>
      </c>
      <c r="AI83" s="2">
        <v>1757</v>
      </c>
      <c r="AJ83" s="2">
        <v>1743</v>
      </c>
      <c r="AK83" s="2">
        <v>1743</v>
      </c>
      <c r="AL83" s="2">
        <v>1743</v>
      </c>
      <c r="AM83" s="2">
        <v>1743</v>
      </c>
      <c r="AN83" s="2">
        <v>1743</v>
      </c>
      <c r="AO83" s="2">
        <v>1732</v>
      </c>
      <c r="AP83" s="2">
        <v>1732</v>
      </c>
      <c r="AQ83" s="2">
        <v>1732</v>
      </c>
      <c r="AR83" s="2">
        <v>1732</v>
      </c>
      <c r="AS83" s="2">
        <v>1732</v>
      </c>
      <c r="AT83" s="2">
        <v>1717</v>
      </c>
      <c r="AU83" s="2">
        <v>1717</v>
      </c>
      <c r="AV83" s="2">
        <v>1717</v>
      </c>
      <c r="AW83" s="2">
        <v>1717</v>
      </c>
      <c r="AX83" s="2">
        <v>1717</v>
      </c>
      <c r="AY83" s="2">
        <v>1717</v>
      </c>
      <c r="AZ83" s="2">
        <v>1717</v>
      </c>
      <c r="BA83" s="2">
        <v>1717</v>
      </c>
      <c r="BB83" s="2">
        <v>1717</v>
      </c>
      <c r="BC83" s="2">
        <v>1717</v>
      </c>
      <c r="BD83" s="2">
        <v>1717</v>
      </c>
      <c r="BE83" s="2">
        <v>1717</v>
      </c>
      <c r="BF83" s="2">
        <v>1717</v>
      </c>
      <c r="BG83" s="2">
        <v>1717</v>
      </c>
      <c r="BH83" s="2">
        <v>1717</v>
      </c>
      <c r="BI83" s="2">
        <v>1717</v>
      </c>
      <c r="BJ83" s="2">
        <v>1717</v>
      </c>
      <c r="BK83" s="2">
        <v>1717</v>
      </c>
      <c r="BL83" s="2">
        <v>1717</v>
      </c>
      <c r="BM83" s="2">
        <v>1717</v>
      </c>
      <c r="BN83" s="2">
        <v>1717</v>
      </c>
      <c r="BO83" s="2">
        <v>1717</v>
      </c>
      <c r="BP83" s="2">
        <v>1717</v>
      </c>
      <c r="BQ83" s="2">
        <v>1717</v>
      </c>
      <c r="BR83" s="2">
        <v>1717</v>
      </c>
      <c r="BS83" s="2">
        <v>1717</v>
      </c>
      <c r="BT83" s="2">
        <v>1717</v>
      </c>
      <c r="BU83" s="2">
        <v>1717</v>
      </c>
      <c r="BV83" s="2">
        <v>1717</v>
      </c>
      <c r="BW83" s="2">
        <v>1717</v>
      </c>
      <c r="BX83" s="2">
        <v>1717</v>
      </c>
      <c r="BY83" s="2">
        <v>1717</v>
      </c>
      <c r="BZ83" s="2">
        <v>1717</v>
      </c>
      <c r="CA83" s="2">
        <v>1717</v>
      </c>
      <c r="CB83" s="2">
        <v>1717</v>
      </c>
      <c r="CC83" s="2">
        <v>69</v>
      </c>
    </row>
    <row r="84" spans="1:81" s="2" customFormat="1" x14ac:dyDescent="0.35">
      <c r="A84" s="2" t="s">
        <v>1161</v>
      </c>
      <c r="B84" s="2">
        <v>1791</v>
      </c>
      <c r="C84" s="2">
        <v>1771</v>
      </c>
      <c r="D84" s="2">
        <v>1789</v>
      </c>
      <c r="E84" s="2">
        <v>1776</v>
      </c>
      <c r="F84" s="2">
        <v>1788</v>
      </c>
      <c r="G84" s="2">
        <v>1788</v>
      </c>
      <c r="H84" s="2">
        <v>1769</v>
      </c>
      <c r="I84" s="2">
        <v>1757</v>
      </c>
      <c r="J84" s="2">
        <v>1731</v>
      </c>
      <c r="K84" s="2">
        <v>1731</v>
      </c>
      <c r="L84" s="2">
        <v>1745</v>
      </c>
      <c r="M84" s="2">
        <v>1745</v>
      </c>
      <c r="N84" s="2">
        <v>1745</v>
      </c>
      <c r="O84" s="2">
        <v>1745</v>
      </c>
      <c r="P84" s="2">
        <v>1745</v>
      </c>
      <c r="Q84" s="2">
        <v>1732</v>
      </c>
      <c r="R84" s="2">
        <v>1732</v>
      </c>
      <c r="S84" s="2">
        <v>1732</v>
      </c>
      <c r="T84" s="2">
        <v>1732</v>
      </c>
      <c r="U84" s="2">
        <v>1722</v>
      </c>
      <c r="V84" s="2">
        <v>1722</v>
      </c>
      <c r="W84" s="2">
        <v>1722</v>
      </c>
      <c r="X84" s="2">
        <v>1722</v>
      </c>
      <c r="Y84" s="2">
        <v>1722</v>
      </c>
      <c r="Z84" s="2">
        <v>1733</v>
      </c>
      <c r="AA84" s="2">
        <v>1733</v>
      </c>
      <c r="AB84" s="2">
        <v>1733</v>
      </c>
      <c r="AC84" s="2">
        <v>1733</v>
      </c>
      <c r="AD84" s="2">
        <v>1733</v>
      </c>
      <c r="AE84" s="2">
        <v>1727</v>
      </c>
      <c r="AF84" s="2">
        <v>1727</v>
      </c>
      <c r="AG84" s="2">
        <v>1727</v>
      </c>
      <c r="AH84" s="2">
        <v>1727</v>
      </c>
      <c r="AI84" s="2">
        <v>1727</v>
      </c>
      <c r="AJ84" s="2">
        <v>1712</v>
      </c>
      <c r="AK84" s="2">
        <v>1712</v>
      </c>
      <c r="AL84" s="2">
        <v>1712</v>
      </c>
      <c r="AM84" s="2">
        <v>1712</v>
      </c>
      <c r="AN84" s="2">
        <v>1712</v>
      </c>
      <c r="AO84" s="2">
        <v>1699</v>
      </c>
      <c r="AP84" s="2">
        <v>1699</v>
      </c>
      <c r="AQ84" s="2">
        <v>1699</v>
      </c>
      <c r="AR84" s="2">
        <v>1699</v>
      </c>
      <c r="AS84" s="2">
        <v>1699</v>
      </c>
      <c r="AT84" s="2">
        <v>1715</v>
      </c>
      <c r="AU84" s="2">
        <v>1715</v>
      </c>
      <c r="AV84" s="2">
        <v>1715</v>
      </c>
      <c r="AW84" s="2">
        <v>1715</v>
      </c>
      <c r="AX84" s="2">
        <v>1715</v>
      </c>
      <c r="AY84" s="2">
        <v>1715</v>
      </c>
      <c r="AZ84" s="2">
        <v>1715</v>
      </c>
      <c r="BA84" s="2">
        <v>1715</v>
      </c>
      <c r="BB84" s="2">
        <v>1715</v>
      </c>
      <c r="BC84" s="2">
        <v>1715</v>
      </c>
      <c r="BD84" s="2">
        <v>1715</v>
      </c>
      <c r="BE84" s="2">
        <v>1715</v>
      </c>
      <c r="BF84" s="2">
        <v>1715</v>
      </c>
      <c r="BG84" s="2">
        <v>1715</v>
      </c>
      <c r="BH84" s="2">
        <v>1715</v>
      </c>
      <c r="BI84" s="2">
        <v>1715</v>
      </c>
      <c r="BJ84" s="2">
        <v>1715</v>
      </c>
      <c r="BK84" s="2">
        <v>1715</v>
      </c>
      <c r="BL84" s="2">
        <v>1715</v>
      </c>
      <c r="BM84" s="2">
        <v>1715</v>
      </c>
      <c r="BN84" s="2">
        <v>1715</v>
      </c>
      <c r="BO84" s="2">
        <v>1715</v>
      </c>
      <c r="BP84" s="2">
        <v>1715</v>
      </c>
      <c r="BQ84" s="2">
        <v>1715</v>
      </c>
      <c r="BR84" s="2">
        <v>1715</v>
      </c>
      <c r="BS84" s="2">
        <v>1715</v>
      </c>
      <c r="BT84" s="2">
        <v>1715</v>
      </c>
      <c r="BU84" s="2">
        <v>1715</v>
      </c>
      <c r="BV84" s="2">
        <v>1715</v>
      </c>
      <c r="BW84" s="2">
        <v>1715</v>
      </c>
      <c r="BX84" s="2">
        <v>1715</v>
      </c>
      <c r="BY84" s="2">
        <v>1715</v>
      </c>
      <c r="BZ84" s="2">
        <v>1715</v>
      </c>
      <c r="CA84" s="2">
        <v>1715</v>
      </c>
      <c r="CB84" s="2">
        <v>1715</v>
      </c>
      <c r="CC84" s="2">
        <v>93</v>
      </c>
    </row>
    <row r="85" spans="1:81" s="2" customFormat="1" x14ac:dyDescent="0.35">
      <c r="A85" s="2" t="s">
        <v>1162</v>
      </c>
      <c r="B85" s="2">
        <v>1760</v>
      </c>
      <c r="C85" s="2">
        <v>1750</v>
      </c>
      <c r="D85" s="2">
        <v>1738</v>
      </c>
      <c r="E85" s="2">
        <v>1751</v>
      </c>
      <c r="F85" s="2">
        <v>1741</v>
      </c>
      <c r="G85" s="2">
        <v>1763</v>
      </c>
      <c r="H85" s="2">
        <v>1743</v>
      </c>
      <c r="I85" s="2">
        <v>1757</v>
      </c>
      <c r="J85" s="2">
        <v>1776</v>
      </c>
      <c r="K85" s="2">
        <v>1776</v>
      </c>
      <c r="L85" s="2">
        <v>1764</v>
      </c>
      <c r="M85" s="2">
        <v>1785</v>
      </c>
      <c r="N85" s="2">
        <v>1760</v>
      </c>
      <c r="O85" s="2">
        <v>1760</v>
      </c>
      <c r="P85" s="2">
        <v>1760</v>
      </c>
      <c r="Q85" s="2">
        <v>1776</v>
      </c>
      <c r="R85" s="2">
        <v>1776</v>
      </c>
      <c r="S85" s="2">
        <v>1776</v>
      </c>
      <c r="T85" s="2">
        <v>1776</v>
      </c>
      <c r="U85" s="2">
        <v>1765</v>
      </c>
      <c r="V85" s="2">
        <v>1765</v>
      </c>
      <c r="W85" s="2">
        <v>1765</v>
      </c>
      <c r="X85" s="2">
        <v>1765</v>
      </c>
      <c r="Y85" s="2">
        <v>1765</v>
      </c>
      <c r="Z85" s="2">
        <v>1775</v>
      </c>
      <c r="AA85" s="2">
        <v>1775</v>
      </c>
      <c r="AB85" s="2">
        <v>1775</v>
      </c>
      <c r="AC85" s="2">
        <v>1775</v>
      </c>
      <c r="AD85" s="2">
        <v>1775</v>
      </c>
      <c r="AE85" s="2">
        <v>1757</v>
      </c>
      <c r="AF85" s="2">
        <v>1757</v>
      </c>
      <c r="AG85" s="2">
        <v>1757</v>
      </c>
      <c r="AH85" s="2">
        <v>1757</v>
      </c>
      <c r="AI85" s="2">
        <v>1757</v>
      </c>
      <c r="AJ85" s="2">
        <v>1746</v>
      </c>
      <c r="AK85" s="2">
        <v>1746</v>
      </c>
      <c r="AL85" s="2">
        <v>1746</v>
      </c>
      <c r="AM85" s="2">
        <v>1746</v>
      </c>
      <c r="AN85" s="2">
        <v>1746</v>
      </c>
      <c r="AO85" s="2">
        <v>1730</v>
      </c>
      <c r="AP85" s="2">
        <v>1730</v>
      </c>
      <c r="AQ85" s="2">
        <v>1730</v>
      </c>
      <c r="AR85" s="2">
        <v>1730</v>
      </c>
      <c r="AS85" s="2">
        <v>1730</v>
      </c>
      <c r="AT85" s="2">
        <v>1714</v>
      </c>
      <c r="AU85" s="2">
        <v>1714</v>
      </c>
      <c r="AV85" s="2">
        <v>1714</v>
      </c>
      <c r="AW85" s="2">
        <v>1714</v>
      </c>
      <c r="AX85" s="2">
        <v>1714</v>
      </c>
      <c r="AY85" s="2">
        <v>1714</v>
      </c>
      <c r="AZ85" s="2">
        <v>1714</v>
      </c>
      <c r="BA85" s="2">
        <v>1714</v>
      </c>
      <c r="BB85" s="2">
        <v>1714</v>
      </c>
      <c r="BC85" s="2">
        <v>1714</v>
      </c>
      <c r="BD85" s="2">
        <v>1714</v>
      </c>
      <c r="BE85" s="2">
        <v>1714</v>
      </c>
      <c r="BF85" s="2">
        <v>1714</v>
      </c>
      <c r="BG85" s="2">
        <v>1714</v>
      </c>
      <c r="BH85" s="2">
        <v>1714</v>
      </c>
      <c r="BI85" s="2">
        <v>1714</v>
      </c>
      <c r="BJ85" s="2">
        <v>1714</v>
      </c>
      <c r="BK85" s="2">
        <v>1714</v>
      </c>
      <c r="BL85" s="2">
        <v>1714</v>
      </c>
      <c r="BM85" s="2">
        <v>1714</v>
      </c>
      <c r="BN85" s="2">
        <v>1714</v>
      </c>
      <c r="BO85" s="2">
        <v>1714</v>
      </c>
      <c r="BP85" s="2">
        <v>1714</v>
      </c>
      <c r="BQ85" s="2">
        <v>1714</v>
      </c>
      <c r="BR85" s="2">
        <v>1714</v>
      </c>
      <c r="BS85" s="2">
        <v>1714</v>
      </c>
      <c r="BT85" s="2">
        <v>1714</v>
      </c>
      <c r="BU85" s="2">
        <v>1714</v>
      </c>
      <c r="BV85" s="2">
        <v>1714</v>
      </c>
      <c r="BW85" s="2">
        <v>1714</v>
      </c>
      <c r="BX85" s="2">
        <v>1714</v>
      </c>
      <c r="BY85" s="2">
        <v>1714</v>
      </c>
      <c r="BZ85" s="2">
        <v>1714</v>
      </c>
      <c r="CA85" s="2">
        <v>1714</v>
      </c>
      <c r="CB85" s="2">
        <v>1714</v>
      </c>
      <c r="CC85" s="2">
        <v>95</v>
      </c>
    </row>
    <row r="86" spans="1:81" s="2" customFormat="1" x14ac:dyDescent="0.35">
      <c r="A86" s="2" t="s">
        <v>757</v>
      </c>
      <c r="B86" s="2">
        <v>1836</v>
      </c>
      <c r="C86" s="2">
        <v>1824</v>
      </c>
      <c r="D86" s="2">
        <v>1810</v>
      </c>
      <c r="E86" s="2">
        <v>1825</v>
      </c>
      <c r="F86" s="2">
        <v>1811</v>
      </c>
      <c r="G86" s="2">
        <v>1811</v>
      </c>
      <c r="H86" s="2">
        <v>1788</v>
      </c>
      <c r="I86" s="2">
        <v>1780</v>
      </c>
      <c r="J86" s="2">
        <v>1780</v>
      </c>
      <c r="K86" s="2">
        <v>1780</v>
      </c>
      <c r="L86" s="2">
        <v>1767</v>
      </c>
      <c r="M86" s="2">
        <v>1753</v>
      </c>
      <c r="N86" s="2">
        <v>1742</v>
      </c>
      <c r="O86" s="2">
        <v>1742</v>
      </c>
      <c r="P86" s="2">
        <v>1742</v>
      </c>
      <c r="Q86" s="2">
        <v>1735</v>
      </c>
      <c r="R86" s="2">
        <v>1735</v>
      </c>
      <c r="S86" s="2">
        <v>1735</v>
      </c>
      <c r="T86" s="2">
        <v>1735</v>
      </c>
      <c r="U86" s="2">
        <v>1720</v>
      </c>
      <c r="V86" s="2">
        <v>1720</v>
      </c>
      <c r="W86" s="2">
        <v>1720</v>
      </c>
      <c r="X86" s="2">
        <v>1720</v>
      </c>
      <c r="Y86" s="2">
        <v>1720</v>
      </c>
      <c r="Z86" s="2">
        <v>1703</v>
      </c>
      <c r="AA86" s="2">
        <v>1703</v>
      </c>
      <c r="AB86" s="2">
        <v>1703</v>
      </c>
      <c r="AC86" s="2">
        <v>1703</v>
      </c>
      <c r="AD86" s="2">
        <v>1703</v>
      </c>
      <c r="AE86" s="2">
        <v>1690</v>
      </c>
      <c r="AF86" s="2">
        <v>1690</v>
      </c>
      <c r="AG86" s="2">
        <v>1690</v>
      </c>
      <c r="AH86" s="2">
        <v>1690</v>
      </c>
      <c r="AI86" s="2">
        <v>1690</v>
      </c>
      <c r="AJ86" s="2">
        <v>1705</v>
      </c>
      <c r="AK86" s="2">
        <v>1705</v>
      </c>
      <c r="AL86" s="2">
        <v>1705</v>
      </c>
      <c r="AM86" s="2">
        <v>1705</v>
      </c>
      <c r="AN86" s="2">
        <v>1705</v>
      </c>
      <c r="AO86" s="2">
        <v>1724</v>
      </c>
      <c r="AP86" s="2">
        <v>1724</v>
      </c>
      <c r="AQ86" s="2">
        <v>1724</v>
      </c>
      <c r="AR86" s="2">
        <v>1724</v>
      </c>
      <c r="AS86" s="2">
        <v>1724</v>
      </c>
      <c r="AT86" s="2">
        <v>1714</v>
      </c>
      <c r="AU86" s="2">
        <v>1714</v>
      </c>
      <c r="AV86" s="2">
        <v>1714</v>
      </c>
      <c r="AW86" s="2">
        <v>1714</v>
      </c>
      <c r="AX86" s="2">
        <v>1714</v>
      </c>
      <c r="AY86" s="2">
        <v>1714</v>
      </c>
      <c r="AZ86" s="2">
        <v>1714</v>
      </c>
      <c r="BA86" s="2">
        <v>1714</v>
      </c>
      <c r="BB86" s="2">
        <v>1714</v>
      </c>
      <c r="BC86" s="2">
        <v>1714</v>
      </c>
      <c r="BD86" s="2">
        <v>1714</v>
      </c>
      <c r="BE86" s="2">
        <v>1714</v>
      </c>
      <c r="BF86" s="2">
        <v>1714</v>
      </c>
      <c r="BG86" s="2">
        <v>1714</v>
      </c>
      <c r="BH86" s="2">
        <v>1714</v>
      </c>
      <c r="BI86" s="2">
        <v>1714</v>
      </c>
      <c r="BJ86" s="2">
        <v>1714</v>
      </c>
      <c r="BK86" s="2">
        <v>1714</v>
      </c>
      <c r="BL86" s="2">
        <v>1714</v>
      </c>
      <c r="BM86" s="2">
        <v>1714</v>
      </c>
      <c r="BN86" s="2">
        <v>1714</v>
      </c>
      <c r="BO86" s="2">
        <v>1714</v>
      </c>
      <c r="BP86" s="2">
        <v>1714</v>
      </c>
      <c r="BQ86" s="2">
        <v>1714</v>
      </c>
      <c r="BR86" s="2">
        <v>1714</v>
      </c>
      <c r="BS86" s="2">
        <v>1714</v>
      </c>
      <c r="BT86" s="2">
        <v>1714</v>
      </c>
      <c r="BU86" s="2">
        <v>1714</v>
      </c>
      <c r="BV86" s="2">
        <v>1714</v>
      </c>
      <c r="BW86" s="2">
        <v>1714</v>
      </c>
      <c r="BX86" s="2">
        <v>1714</v>
      </c>
      <c r="BY86" s="2">
        <v>1714</v>
      </c>
      <c r="BZ86" s="2">
        <v>1714</v>
      </c>
      <c r="CA86" s="2">
        <v>1714</v>
      </c>
      <c r="CB86" s="2">
        <v>1714</v>
      </c>
      <c r="CC86" s="2">
        <v>50</v>
      </c>
    </row>
    <row r="87" spans="1:81" s="2" customFormat="1" x14ac:dyDescent="0.35">
      <c r="A87" s="2" t="s">
        <v>700</v>
      </c>
      <c r="B87" s="2">
        <v>1747</v>
      </c>
      <c r="C87" s="2">
        <v>1735</v>
      </c>
      <c r="D87" s="2">
        <v>1725</v>
      </c>
      <c r="E87" s="2">
        <v>1708</v>
      </c>
      <c r="F87" s="2">
        <v>1695</v>
      </c>
      <c r="G87" s="2">
        <v>1716</v>
      </c>
      <c r="H87" s="2">
        <v>1701</v>
      </c>
      <c r="I87" s="2">
        <v>1719</v>
      </c>
      <c r="J87" s="2">
        <v>1701</v>
      </c>
      <c r="K87" s="2">
        <v>1701</v>
      </c>
      <c r="L87" s="2">
        <v>1694</v>
      </c>
      <c r="M87" s="2">
        <v>1694</v>
      </c>
      <c r="N87" s="2">
        <v>1694</v>
      </c>
      <c r="O87" s="2">
        <v>1694</v>
      </c>
      <c r="P87" s="2">
        <v>1694</v>
      </c>
      <c r="Q87" s="2">
        <v>1681</v>
      </c>
      <c r="R87" s="2">
        <v>1681</v>
      </c>
      <c r="S87" s="2">
        <v>1681</v>
      </c>
      <c r="T87" s="2">
        <v>1681</v>
      </c>
      <c r="U87" s="2">
        <v>1697</v>
      </c>
      <c r="V87" s="2">
        <v>1697</v>
      </c>
      <c r="W87" s="2">
        <v>1697</v>
      </c>
      <c r="X87" s="2">
        <v>1697</v>
      </c>
      <c r="Y87" s="2">
        <v>1697</v>
      </c>
      <c r="Z87" s="2">
        <v>1687</v>
      </c>
      <c r="AA87" s="2">
        <v>1687</v>
      </c>
      <c r="AB87" s="2">
        <v>1687</v>
      </c>
      <c r="AC87" s="2">
        <v>1687</v>
      </c>
      <c r="AD87" s="2">
        <v>1687</v>
      </c>
      <c r="AE87" s="2">
        <v>1678</v>
      </c>
      <c r="AF87" s="2">
        <v>1678</v>
      </c>
      <c r="AG87" s="2">
        <v>1678</v>
      </c>
      <c r="AH87" s="2">
        <v>1678</v>
      </c>
      <c r="AI87" s="2">
        <v>1678</v>
      </c>
      <c r="AJ87" s="2">
        <v>1699</v>
      </c>
      <c r="AK87" s="2">
        <v>1699</v>
      </c>
      <c r="AL87" s="2">
        <v>1699</v>
      </c>
      <c r="AM87" s="2">
        <v>1699</v>
      </c>
      <c r="AN87" s="2">
        <v>1699</v>
      </c>
      <c r="AO87" s="2">
        <v>1722</v>
      </c>
      <c r="AP87" s="2">
        <v>1722</v>
      </c>
      <c r="AQ87" s="2">
        <v>1722</v>
      </c>
      <c r="AR87" s="2">
        <v>1722</v>
      </c>
      <c r="AS87" s="2">
        <v>1722</v>
      </c>
      <c r="AT87" s="2">
        <v>1709</v>
      </c>
      <c r="AU87" s="2">
        <v>1709</v>
      </c>
      <c r="AV87" s="2">
        <v>1709</v>
      </c>
      <c r="AW87" s="2">
        <v>1709</v>
      </c>
      <c r="AX87" s="2">
        <v>1709</v>
      </c>
      <c r="AY87" s="2">
        <v>1709</v>
      </c>
      <c r="AZ87" s="2">
        <v>1709</v>
      </c>
      <c r="BA87" s="2">
        <v>1709</v>
      </c>
      <c r="BB87" s="2">
        <v>1709</v>
      </c>
      <c r="BC87" s="2">
        <v>1709</v>
      </c>
      <c r="BD87" s="2">
        <v>1709</v>
      </c>
      <c r="BE87" s="2">
        <v>1709</v>
      </c>
      <c r="BF87" s="2">
        <v>1709</v>
      </c>
      <c r="BG87" s="2">
        <v>1709</v>
      </c>
      <c r="BH87" s="2">
        <v>1709</v>
      </c>
      <c r="BI87" s="2">
        <v>1709</v>
      </c>
      <c r="BJ87" s="2">
        <v>1709</v>
      </c>
      <c r="BK87" s="2">
        <v>1709</v>
      </c>
      <c r="BL87" s="2">
        <v>1709</v>
      </c>
      <c r="BM87" s="2">
        <v>1709</v>
      </c>
      <c r="BN87" s="2">
        <v>1709</v>
      </c>
      <c r="BO87" s="2">
        <v>1709</v>
      </c>
      <c r="BP87" s="2">
        <v>1709</v>
      </c>
      <c r="BQ87" s="2">
        <v>1709</v>
      </c>
      <c r="BR87" s="2">
        <v>1709</v>
      </c>
      <c r="BS87" s="2">
        <v>1709</v>
      </c>
      <c r="BT87" s="2">
        <v>1709</v>
      </c>
      <c r="BU87" s="2">
        <v>1709</v>
      </c>
      <c r="BV87" s="2">
        <v>1709</v>
      </c>
      <c r="BW87" s="2">
        <v>1709</v>
      </c>
      <c r="BX87" s="2">
        <v>1709</v>
      </c>
      <c r="BY87" s="2">
        <v>1709</v>
      </c>
      <c r="BZ87" s="2">
        <v>1709</v>
      </c>
      <c r="CA87" s="2">
        <v>1709</v>
      </c>
      <c r="CB87" s="2">
        <v>1709</v>
      </c>
      <c r="CC87" s="2">
        <v>27</v>
      </c>
    </row>
    <row r="88" spans="1:81" s="2" customFormat="1" x14ac:dyDescent="0.35">
      <c r="A88" s="2" t="s">
        <v>768</v>
      </c>
      <c r="B88" s="2">
        <v>1785</v>
      </c>
      <c r="C88" s="2">
        <v>1772</v>
      </c>
      <c r="D88" s="2">
        <v>1758</v>
      </c>
      <c r="E88" s="2">
        <v>1745</v>
      </c>
      <c r="F88" s="2">
        <v>1733</v>
      </c>
      <c r="G88" s="2">
        <v>1733</v>
      </c>
      <c r="H88" s="2">
        <v>1733</v>
      </c>
      <c r="I88" s="2">
        <v>1759</v>
      </c>
      <c r="J88" s="2">
        <v>1759</v>
      </c>
      <c r="K88" s="2">
        <v>1759</v>
      </c>
      <c r="L88" s="2">
        <v>1747</v>
      </c>
      <c r="M88" s="2">
        <v>1736</v>
      </c>
      <c r="N88" s="2">
        <v>1725</v>
      </c>
      <c r="O88" s="2">
        <v>1716</v>
      </c>
      <c r="P88" s="2">
        <v>1706</v>
      </c>
      <c r="Q88" s="2">
        <v>1723</v>
      </c>
      <c r="R88" s="2">
        <v>1713</v>
      </c>
      <c r="S88" s="2">
        <v>1702</v>
      </c>
      <c r="T88" s="2">
        <v>1693</v>
      </c>
      <c r="U88" s="2">
        <v>1713</v>
      </c>
      <c r="V88" s="2">
        <v>1713</v>
      </c>
      <c r="W88" s="2">
        <v>1713</v>
      </c>
      <c r="X88" s="2">
        <v>1713</v>
      </c>
      <c r="Y88" s="2">
        <v>1713</v>
      </c>
      <c r="Z88" s="2">
        <v>1702</v>
      </c>
      <c r="AA88" s="2">
        <v>1694</v>
      </c>
      <c r="AB88" s="2">
        <v>1687</v>
      </c>
      <c r="AC88" s="2">
        <v>1687</v>
      </c>
      <c r="AD88" s="2">
        <v>1687</v>
      </c>
      <c r="AE88" s="2">
        <v>1674</v>
      </c>
      <c r="AF88" s="2">
        <v>1674</v>
      </c>
      <c r="AG88" s="2">
        <v>1674</v>
      </c>
      <c r="AH88" s="2">
        <v>1674</v>
      </c>
      <c r="AI88" s="2">
        <v>1674</v>
      </c>
      <c r="AJ88" s="2">
        <v>1688</v>
      </c>
      <c r="AK88" s="2">
        <v>1688</v>
      </c>
      <c r="AL88" s="2">
        <v>1688</v>
      </c>
      <c r="AM88" s="2">
        <v>1688</v>
      </c>
      <c r="AN88" s="2">
        <v>1688</v>
      </c>
      <c r="AO88" s="2">
        <v>1712</v>
      </c>
      <c r="AP88" s="2">
        <v>1712</v>
      </c>
      <c r="AQ88" s="2">
        <v>1712</v>
      </c>
      <c r="AR88" s="2">
        <v>1712</v>
      </c>
      <c r="AS88" s="2">
        <v>1712</v>
      </c>
      <c r="AT88" s="2">
        <v>1707</v>
      </c>
      <c r="AU88" s="2">
        <v>1707</v>
      </c>
      <c r="AV88" s="2">
        <v>1707</v>
      </c>
      <c r="AW88" s="2">
        <v>1707</v>
      </c>
      <c r="AX88" s="2">
        <v>1707</v>
      </c>
      <c r="AY88" s="2">
        <v>1707</v>
      </c>
      <c r="AZ88" s="2">
        <v>1707</v>
      </c>
      <c r="BA88" s="2">
        <v>1707</v>
      </c>
      <c r="BB88" s="2">
        <v>1707</v>
      </c>
      <c r="BC88" s="2">
        <v>1707</v>
      </c>
      <c r="BD88" s="2">
        <v>1707</v>
      </c>
      <c r="BE88" s="2">
        <v>1707</v>
      </c>
      <c r="BF88" s="2">
        <v>1707</v>
      </c>
      <c r="BG88" s="2">
        <v>1707</v>
      </c>
      <c r="BH88" s="2">
        <v>1707</v>
      </c>
      <c r="BI88" s="2">
        <v>1707</v>
      </c>
      <c r="BJ88" s="2">
        <v>1707</v>
      </c>
      <c r="BK88" s="2">
        <v>1707</v>
      </c>
      <c r="BL88" s="2">
        <v>1707</v>
      </c>
      <c r="BM88" s="2">
        <v>1707</v>
      </c>
      <c r="BN88" s="2">
        <v>1707</v>
      </c>
      <c r="BO88" s="2">
        <v>1707</v>
      </c>
      <c r="BP88" s="2">
        <v>1707</v>
      </c>
      <c r="BQ88" s="2">
        <v>1707</v>
      </c>
      <c r="BR88" s="2">
        <v>1707</v>
      </c>
      <c r="BS88" s="2">
        <v>1707</v>
      </c>
      <c r="BT88" s="2">
        <v>1707</v>
      </c>
      <c r="BU88" s="2">
        <v>1707</v>
      </c>
      <c r="BV88" s="2">
        <v>1707</v>
      </c>
      <c r="BW88" s="2">
        <v>1707</v>
      </c>
      <c r="BX88" s="2">
        <v>1707</v>
      </c>
      <c r="BY88" s="2">
        <v>1707</v>
      </c>
      <c r="BZ88" s="2">
        <v>1707</v>
      </c>
      <c r="CA88" s="2">
        <v>1707</v>
      </c>
      <c r="CB88" s="2">
        <v>1707</v>
      </c>
      <c r="CC88" s="2">
        <v>55</v>
      </c>
    </row>
    <row r="89" spans="1:81" s="2" customFormat="1" x14ac:dyDescent="0.35">
      <c r="A89" t="s">
        <v>767</v>
      </c>
      <c r="B89" s="2">
        <v>1904</v>
      </c>
      <c r="C89" s="2">
        <v>1888</v>
      </c>
      <c r="D89" s="2">
        <v>1872</v>
      </c>
      <c r="E89" s="2">
        <v>1853</v>
      </c>
      <c r="F89" s="2">
        <v>1838</v>
      </c>
      <c r="G89" s="2">
        <v>1838</v>
      </c>
      <c r="H89" s="2">
        <v>1838</v>
      </c>
      <c r="I89" s="2">
        <v>1819</v>
      </c>
      <c r="J89" s="2">
        <v>1819</v>
      </c>
      <c r="K89" s="2">
        <v>1819</v>
      </c>
      <c r="L89" s="2">
        <v>1804</v>
      </c>
      <c r="M89" s="2">
        <v>1804</v>
      </c>
      <c r="N89" s="2">
        <v>1804</v>
      </c>
      <c r="O89" s="2">
        <v>1826</v>
      </c>
      <c r="P89" s="2">
        <v>1839</v>
      </c>
      <c r="Q89" s="2">
        <v>1820</v>
      </c>
      <c r="R89" s="2">
        <v>1800</v>
      </c>
      <c r="S89" s="2">
        <v>1785</v>
      </c>
      <c r="T89" s="2">
        <v>1806</v>
      </c>
      <c r="U89" s="2">
        <v>1793</v>
      </c>
      <c r="V89" s="2">
        <v>1793</v>
      </c>
      <c r="W89" s="2">
        <v>1793</v>
      </c>
      <c r="X89" s="2">
        <v>1793</v>
      </c>
      <c r="Y89" s="2">
        <v>1793</v>
      </c>
      <c r="Z89" s="2">
        <v>1782</v>
      </c>
      <c r="AA89" s="2">
        <v>1792</v>
      </c>
      <c r="AB89" s="2">
        <v>1804</v>
      </c>
      <c r="AC89" s="2">
        <v>1790</v>
      </c>
      <c r="AD89" s="2">
        <v>1776</v>
      </c>
      <c r="AE89" s="2">
        <v>1766</v>
      </c>
      <c r="AF89" s="2">
        <v>1777</v>
      </c>
      <c r="AG89" s="2">
        <v>1756</v>
      </c>
      <c r="AH89" s="2">
        <v>1756</v>
      </c>
      <c r="AI89" s="2">
        <v>1756</v>
      </c>
      <c r="AJ89" s="2">
        <v>1740</v>
      </c>
      <c r="AK89" s="2">
        <v>1727</v>
      </c>
      <c r="AL89" s="2">
        <v>1718</v>
      </c>
      <c r="AM89" s="2">
        <v>1718</v>
      </c>
      <c r="AN89" s="2">
        <v>1718</v>
      </c>
      <c r="AO89" s="2">
        <v>1704</v>
      </c>
      <c r="AP89" s="2">
        <v>1700</v>
      </c>
      <c r="AQ89" s="2">
        <v>1696</v>
      </c>
      <c r="AR89" s="2">
        <v>1696</v>
      </c>
      <c r="AS89" s="2">
        <v>1696</v>
      </c>
      <c r="AT89" s="2">
        <v>1706</v>
      </c>
      <c r="AU89" s="2">
        <v>1706</v>
      </c>
      <c r="AV89" s="2">
        <v>1706</v>
      </c>
      <c r="AW89" s="2">
        <v>1706</v>
      </c>
      <c r="AX89" s="2">
        <v>1706</v>
      </c>
      <c r="AY89" s="2">
        <v>1706</v>
      </c>
      <c r="AZ89" s="2">
        <v>1706</v>
      </c>
      <c r="BA89" s="2">
        <v>1706</v>
      </c>
      <c r="BB89" s="2">
        <v>1706</v>
      </c>
      <c r="BC89" s="2">
        <v>1706</v>
      </c>
      <c r="BD89" s="2">
        <v>1706</v>
      </c>
      <c r="BE89" s="2">
        <v>1706</v>
      </c>
      <c r="BF89" s="2">
        <v>1706</v>
      </c>
      <c r="BG89" s="2">
        <v>1706</v>
      </c>
      <c r="BH89" s="2">
        <v>1706</v>
      </c>
      <c r="BI89" s="2">
        <v>1706</v>
      </c>
      <c r="BJ89" s="2">
        <v>1706</v>
      </c>
      <c r="BK89" s="2">
        <v>1706</v>
      </c>
      <c r="BL89" s="2">
        <v>1706</v>
      </c>
      <c r="BM89" s="2">
        <v>1706</v>
      </c>
      <c r="BN89" s="2">
        <v>1706</v>
      </c>
      <c r="BO89" s="2">
        <v>1706</v>
      </c>
      <c r="BP89" s="2">
        <v>1706</v>
      </c>
      <c r="BQ89" s="2">
        <v>1706</v>
      </c>
      <c r="BR89" s="2">
        <v>1706</v>
      </c>
      <c r="BS89" s="2">
        <v>1706</v>
      </c>
      <c r="BT89" s="2">
        <v>1706</v>
      </c>
      <c r="BU89" s="2">
        <v>1706</v>
      </c>
      <c r="BV89" s="2">
        <v>1706</v>
      </c>
      <c r="BW89" s="2">
        <v>1706</v>
      </c>
      <c r="BX89" s="2">
        <v>1706</v>
      </c>
      <c r="BY89" s="2">
        <v>1706</v>
      </c>
      <c r="BZ89" s="2">
        <v>1706</v>
      </c>
      <c r="CA89" s="2">
        <v>1706</v>
      </c>
      <c r="CB89" s="2">
        <v>1706</v>
      </c>
      <c r="CC89" s="2">
        <v>16</v>
      </c>
    </row>
    <row r="90" spans="1:81" s="2" customFormat="1" x14ac:dyDescent="0.35">
      <c r="A90" s="2" t="s">
        <v>779</v>
      </c>
      <c r="B90" s="2">
        <v>1779</v>
      </c>
      <c r="C90" s="2">
        <v>1788</v>
      </c>
      <c r="D90" s="2">
        <v>1774</v>
      </c>
      <c r="E90" s="2">
        <v>1785</v>
      </c>
      <c r="F90" s="2">
        <v>1770</v>
      </c>
      <c r="G90" s="2">
        <v>1791</v>
      </c>
      <c r="H90" s="2">
        <v>1768</v>
      </c>
      <c r="I90" s="2">
        <v>1748</v>
      </c>
      <c r="J90" s="2">
        <v>1733</v>
      </c>
      <c r="K90" s="2">
        <v>1733</v>
      </c>
      <c r="L90" s="2">
        <v>1744</v>
      </c>
      <c r="M90" s="2">
        <v>1744</v>
      </c>
      <c r="N90" s="2">
        <v>1744</v>
      </c>
      <c r="O90" s="2">
        <v>1744</v>
      </c>
      <c r="P90" s="2">
        <v>1744</v>
      </c>
      <c r="Q90" s="2">
        <v>1756</v>
      </c>
      <c r="R90" s="2">
        <v>1756</v>
      </c>
      <c r="S90" s="2">
        <v>1756</v>
      </c>
      <c r="T90" s="2">
        <v>1756</v>
      </c>
      <c r="U90" s="2">
        <v>1741</v>
      </c>
      <c r="V90" s="2">
        <v>1741</v>
      </c>
      <c r="W90" s="2">
        <v>1741</v>
      </c>
      <c r="X90" s="2">
        <v>1741</v>
      </c>
      <c r="Y90" s="2">
        <v>1741</v>
      </c>
      <c r="Z90" s="2">
        <v>1730</v>
      </c>
      <c r="AA90" s="2">
        <v>1730</v>
      </c>
      <c r="AB90" s="2">
        <v>1730</v>
      </c>
      <c r="AC90" s="2">
        <v>1730</v>
      </c>
      <c r="AD90" s="2">
        <v>1730</v>
      </c>
      <c r="AE90" s="2">
        <v>1743</v>
      </c>
      <c r="AF90" s="2">
        <v>1743</v>
      </c>
      <c r="AG90" s="2">
        <v>1743</v>
      </c>
      <c r="AH90" s="2">
        <v>1743</v>
      </c>
      <c r="AI90" s="2">
        <v>1743</v>
      </c>
      <c r="AJ90" s="2">
        <v>1727</v>
      </c>
      <c r="AK90" s="2">
        <v>1727</v>
      </c>
      <c r="AL90" s="2">
        <v>1727</v>
      </c>
      <c r="AM90" s="2">
        <v>1727</v>
      </c>
      <c r="AN90" s="2">
        <v>1727</v>
      </c>
      <c r="AO90" s="2">
        <v>1716</v>
      </c>
      <c r="AP90" s="2">
        <v>1716</v>
      </c>
      <c r="AQ90" s="2">
        <v>1716</v>
      </c>
      <c r="AR90" s="2">
        <v>1716</v>
      </c>
      <c r="AS90" s="2">
        <v>1716</v>
      </c>
      <c r="AT90" s="2">
        <v>1705</v>
      </c>
      <c r="AU90" s="2">
        <v>1705</v>
      </c>
      <c r="AV90" s="2">
        <v>1705</v>
      </c>
      <c r="AW90" s="2">
        <v>1705</v>
      </c>
      <c r="AX90" s="2">
        <v>1705</v>
      </c>
      <c r="AY90" s="2">
        <v>1705</v>
      </c>
      <c r="AZ90" s="2">
        <v>1705</v>
      </c>
      <c r="BA90" s="2">
        <v>1705</v>
      </c>
      <c r="BB90" s="2">
        <v>1705</v>
      </c>
      <c r="BC90" s="2">
        <v>1705</v>
      </c>
      <c r="BD90" s="2">
        <v>1705</v>
      </c>
      <c r="BE90" s="2">
        <v>1705</v>
      </c>
      <c r="BF90" s="2">
        <v>1705</v>
      </c>
      <c r="BG90" s="2">
        <v>1705</v>
      </c>
      <c r="BH90" s="2">
        <v>1705</v>
      </c>
      <c r="BI90" s="2">
        <v>1705</v>
      </c>
      <c r="BJ90" s="2">
        <v>1705</v>
      </c>
      <c r="BK90" s="2">
        <v>1705</v>
      </c>
      <c r="BL90" s="2">
        <v>1705</v>
      </c>
      <c r="BM90" s="2">
        <v>1705</v>
      </c>
      <c r="BN90" s="2">
        <v>1705</v>
      </c>
      <c r="BO90" s="2">
        <v>1705</v>
      </c>
      <c r="BP90" s="2">
        <v>1705</v>
      </c>
      <c r="BQ90" s="2">
        <v>1705</v>
      </c>
      <c r="BR90" s="2">
        <v>1705</v>
      </c>
      <c r="BS90" s="2">
        <v>1705</v>
      </c>
      <c r="BT90" s="2">
        <v>1705</v>
      </c>
      <c r="BU90" s="2">
        <v>1705</v>
      </c>
      <c r="BV90" s="2">
        <v>1705</v>
      </c>
      <c r="BW90" s="2">
        <v>1705</v>
      </c>
      <c r="BX90" s="2">
        <v>1705</v>
      </c>
      <c r="BY90" s="2">
        <v>1705</v>
      </c>
      <c r="BZ90" s="2">
        <v>1705</v>
      </c>
      <c r="CA90" s="2">
        <v>1705</v>
      </c>
      <c r="CB90" s="2">
        <v>1705</v>
      </c>
      <c r="CC90" s="2">
        <v>20</v>
      </c>
    </row>
    <row r="91" spans="1:81" s="2" customFormat="1" x14ac:dyDescent="0.35">
      <c r="A91" s="2" t="s">
        <v>716</v>
      </c>
      <c r="B91" s="2">
        <v>1743</v>
      </c>
      <c r="C91" s="2">
        <v>1730</v>
      </c>
      <c r="D91" s="2">
        <v>1720</v>
      </c>
      <c r="E91" s="2">
        <v>1733</v>
      </c>
      <c r="F91" s="2">
        <v>1716</v>
      </c>
      <c r="G91" s="2">
        <v>1737</v>
      </c>
      <c r="H91" s="2">
        <v>1760</v>
      </c>
      <c r="I91" s="2">
        <v>1748</v>
      </c>
      <c r="J91" s="2">
        <v>1734</v>
      </c>
      <c r="K91" s="2">
        <v>1722</v>
      </c>
      <c r="L91" s="2">
        <v>1712</v>
      </c>
      <c r="M91" s="2">
        <v>1712</v>
      </c>
      <c r="N91" s="2">
        <v>1712</v>
      </c>
      <c r="O91" s="2">
        <v>1712</v>
      </c>
      <c r="P91" s="2">
        <v>1712</v>
      </c>
      <c r="Q91" s="2">
        <v>1702</v>
      </c>
      <c r="R91" s="2">
        <v>1702</v>
      </c>
      <c r="S91" s="2">
        <v>1702</v>
      </c>
      <c r="T91" s="2">
        <v>1702</v>
      </c>
      <c r="U91" s="2">
        <v>1689</v>
      </c>
      <c r="V91" s="2">
        <v>1689</v>
      </c>
      <c r="W91" s="2">
        <v>1689</v>
      </c>
      <c r="X91" s="2">
        <v>1689</v>
      </c>
      <c r="Y91" s="2">
        <v>1689</v>
      </c>
      <c r="Z91" s="2">
        <v>1677</v>
      </c>
      <c r="AA91" s="2">
        <v>1677</v>
      </c>
      <c r="AB91" s="2">
        <v>1677</v>
      </c>
      <c r="AC91" s="2">
        <v>1677</v>
      </c>
      <c r="AD91" s="2">
        <v>1677</v>
      </c>
      <c r="AE91" s="2">
        <v>1665</v>
      </c>
      <c r="AF91" s="2">
        <v>1665</v>
      </c>
      <c r="AG91" s="2">
        <v>1665</v>
      </c>
      <c r="AH91" s="2">
        <v>1665</v>
      </c>
      <c r="AI91" s="2">
        <v>1665</v>
      </c>
      <c r="AJ91" s="2">
        <v>1679</v>
      </c>
      <c r="AK91" s="2">
        <v>1679</v>
      </c>
      <c r="AL91" s="2">
        <v>1679</v>
      </c>
      <c r="AM91" s="2">
        <v>1679</v>
      </c>
      <c r="AN91" s="2">
        <v>1679</v>
      </c>
      <c r="AO91" s="2">
        <v>1691</v>
      </c>
      <c r="AP91" s="2">
        <v>1691</v>
      </c>
      <c r="AQ91" s="2">
        <v>1691</v>
      </c>
      <c r="AR91" s="2">
        <v>1691</v>
      </c>
      <c r="AS91" s="2">
        <v>1691</v>
      </c>
      <c r="AT91" s="2">
        <v>1704</v>
      </c>
      <c r="AU91" s="2">
        <v>1704</v>
      </c>
      <c r="AV91" s="2">
        <v>1704</v>
      </c>
      <c r="AW91" s="2">
        <v>1704</v>
      </c>
      <c r="AX91" s="2">
        <v>1704</v>
      </c>
      <c r="AY91" s="2">
        <v>1704</v>
      </c>
      <c r="AZ91" s="2">
        <v>1704</v>
      </c>
      <c r="BA91" s="2">
        <v>1704</v>
      </c>
      <c r="BB91" s="2">
        <v>1704</v>
      </c>
      <c r="BC91" s="2">
        <v>1704</v>
      </c>
      <c r="BD91" s="2">
        <v>1704</v>
      </c>
      <c r="BE91" s="2">
        <v>1704</v>
      </c>
      <c r="BF91" s="2">
        <v>1704</v>
      </c>
      <c r="BG91" s="2">
        <v>1704</v>
      </c>
      <c r="BH91" s="2">
        <v>1704</v>
      </c>
      <c r="BI91" s="2">
        <v>1704</v>
      </c>
      <c r="BJ91" s="2">
        <v>1704</v>
      </c>
      <c r="BK91" s="2">
        <v>1704</v>
      </c>
      <c r="BL91" s="2">
        <v>1704</v>
      </c>
      <c r="BM91" s="2">
        <v>1704</v>
      </c>
      <c r="BN91" s="2">
        <v>1704</v>
      </c>
      <c r="BO91" s="2">
        <v>1704</v>
      </c>
      <c r="BP91" s="2">
        <v>1704</v>
      </c>
      <c r="BQ91" s="2">
        <v>1704</v>
      </c>
      <c r="BR91" s="2">
        <v>1704</v>
      </c>
      <c r="BS91" s="2">
        <v>1704</v>
      </c>
      <c r="BT91" s="2">
        <v>1704</v>
      </c>
      <c r="BU91" s="2">
        <v>1704</v>
      </c>
      <c r="BV91" s="2">
        <v>1704</v>
      </c>
      <c r="BW91" s="2">
        <v>1704</v>
      </c>
      <c r="BX91" s="2">
        <v>1704</v>
      </c>
      <c r="BY91" s="2">
        <v>1704</v>
      </c>
      <c r="BZ91" s="2">
        <v>1704</v>
      </c>
      <c r="CA91" s="2">
        <v>1704</v>
      </c>
      <c r="CB91" s="2">
        <v>1704</v>
      </c>
      <c r="CC91" s="2">
        <v>26</v>
      </c>
    </row>
    <row r="92" spans="1:81" s="2" customFormat="1" x14ac:dyDescent="0.35">
      <c r="A92" s="2" t="s">
        <v>633</v>
      </c>
      <c r="B92" s="2">
        <v>1798</v>
      </c>
      <c r="C92" s="2">
        <v>1814</v>
      </c>
      <c r="D92" s="2">
        <v>1799</v>
      </c>
      <c r="E92" s="2">
        <v>1811</v>
      </c>
      <c r="F92" s="2">
        <v>1799</v>
      </c>
      <c r="G92" s="2">
        <v>1799</v>
      </c>
      <c r="H92" s="2">
        <v>1783</v>
      </c>
      <c r="I92" s="2">
        <v>1767</v>
      </c>
      <c r="J92" s="2">
        <v>1746</v>
      </c>
      <c r="K92" s="2">
        <v>1746</v>
      </c>
      <c r="L92" s="2">
        <v>1735</v>
      </c>
      <c r="M92" s="2">
        <v>1735</v>
      </c>
      <c r="N92" s="2">
        <v>1735</v>
      </c>
      <c r="O92" s="2">
        <v>1735</v>
      </c>
      <c r="P92" s="2">
        <v>1735</v>
      </c>
      <c r="Q92" s="2">
        <v>1723</v>
      </c>
      <c r="R92" s="2">
        <v>1723</v>
      </c>
      <c r="S92" s="2">
        <v>1723</v>
      </c>
      <c r="T92" s="2">
        <v>1723</v>
      </c>
      <c r="U92" s="2">
        <v>1741</v>
      </c>
      <c r="V92" s="2">
        <v>1741</v>
      </c>
      <c r="W92" s="2">
        <v>1741</v>
      </c>
      <c r="X92" s="2">
        <v>1741</v>
      </c>
      <c r="Y92" s="2">
        <v>1741</v>
      </c>
      <c r="Z92" s="2">
        <v>1729</v>
      </c>
      <c r="AA92" s="2">
        <v>1729</v>
      </c>
      <c r="AB92" s="2">
        <v>1729</v>
      </c>
      <c r="AC92" s="2">
        <v>1729</v>
      </c>
      <c r="AD92" s="2">
        <v>1729</v>
      </c>
      <c r="AE92" s="2">
        <v>1745</v>
      </c>
      <c r="AF92" s="2">
        <v>1745</v>
      </c>
      <c r="AG92" s="2">
        <v>1745</v>
      </c>
      <c r="AH92" s="2">
        <v>1745</v>
      </c>
      <c r="AI92" s="2">
        <v>1745</v>
      </c>
      <c r="AJ92" s="2">
        <v>1730</v>
      </c>
      <c r="AK92" s="2">
        <v>1730</v>
      </c>
      <c r="AL92" s="2">
        <v>1730</v>
      </c>
      <c r="AM92" s="2">
        <v>1730</v>
      </c>
      <c r="AN92" s="2">
        <v>1730</v>
      </c>
      <c r="AO92" s="2">
        <v>1710</v>
      </c>
      <c r="AP92" s="2">
        <v>1710</v>
      </c>
      <c r="AQ92" s="2">
        <v>1710</v>
      </c>
      <c r="AR92" s="2">
        <v>1710</v>
      </c>
      <c r="AS92" s="2">
        <v>1710</v>
      </c>
      <c r="AT92" s="2">
        <v>1701</v>
      </c>
      <c r="AU92" s="2">
        <v>1701</v>
      </c>
      <c r="AV92" s="2">
        <v>1701</v>
      </c>
      <c r="AW92" s="2">
        <v>1701</v>
      </c>
      <c r="AX92" s="2">
        <v>1701</v>
      </c>
      <c r="AY92" s="2">
        <v>1701</v>
      </c>
      <c r="AZ92" s="2">
        <v>1701</v>
      </c>
      <c r="BA92" s="2">
        <v>1701</v>
      </c>
      <c r="BB92" s="2">
        <v>1701</v>
      </c>
      <c r="BC92" s="2">
        <v>1701</v>
      </c>
      <c r="BD92" s="2">
        <v>1701</v>
      </c>
      <c r="BE92" s="2">
        <v>1701</v>
      </c>
      <c r="BF92" s="2">
        <v>1701</v>
      </c>
      <c r="BG92" s="2">
        <v>1701</v>
      </c>
      <c r="BH92" s="2">
        <v>1701</v>
      </c>
      <c r="BI92" s="2">
        <v>1701</v>
      </c>
      <c r="BJ92" s="2">
        <v>1701</v>
      </c>
      <c r="BK92" s="2">
        <v>1701</v>
      </c>
      <c r="BL92" s="2">
        <v>1701</v>
      </c>
      <c r="BM92" s="2">
        <v>1701</v>
      </c>
      <c r="BN92" s="2">
        <v>1701</v>
      </c>
      <c r="BO92" s="2">
        <v>1701</v>
      </c>
      <c r="BP92" s="2">
        <v>1701</v>
      </c>
      <c r="BQ92" s="2">
        <v>1701</v>
      </c>
      <c r="BR92" s="2">
        <v>1701</v>
      </c>
      <c r="BS92" s="2">
        <v>1701</v>
      </c>
      <c r="BT92" s="2">
        <v>1701</v>
      </c>
      <c r="BU92" s="2">
        <v>1701</v>
      </c>
      <c r="BV92" s="2">
        <v>1701</v>
      </c>
      <c r="BW92" s="2">
        <v>1701</v>
      </c>
      <c r="BX92" s="2">
        <v>1701</v>
      </c>
      <c r="BY92" s="2">
        <v>1701</v>
      </c>
      <c r="BZ92" s="2">
        <v>1701</v>
      </c>
      <c r="CA92" s="2">
        <v>1701</v>
      </c>
      <c r="CB92" s="2">
        <v>1701</v>
      </c>
      <c r="CC92" s="2">
        <v>112</v>
      </c>
    </row>
    <row r="93" spans="1:81" s="2" customFormat="1" x14ac:dyDescent="0.35">
      <c r="A93" s="2" t="s">
        <v>760</v>
      </c>
      <c r="B93" s="2">
        <v>1729</v>
      </c>
      <c r="C93" s="2">
        <v>1712</v>
      </c>
      <c r="D93" s="2">
        <v>1699</v>
      </c>
      <c r="E93" s="2">
        <v>1712</v>
      </c>
      <c r="F93" s="2">
        <v>1701</v>
      </c>
      <c r="G93" s="2">
        <v>1681</v>
      </c>
      <c r="H93" s="2">
        <v>1704</v>
      </c>
      <c r="I93" s="2">
        <v>1717</v>
      </c>
      <c r="J93" s="2">
        <v>1717</v>
      </c>
      <c r="K93" s="2">
        <v>1703</v>
      </c>
      <c r="L93" s="2">
        <v>1697</v>
      </c>
      <c r="M93" s="2">
        <v>1697</v>
      </c>
      <c r="N93" s="2">
        <v>1697</v>
      </c>
      <c r="O93" s="2">
        <v>1697</v>
      </c>
      <c r="P93" s="2">
        <v>1697</v>
      </c>
      <c r="Q93" s="2">
        <v>1680</v>
      </c>
      <c r="R93" s="2">
        <v>1680</v>
      </c>
      <c r="S93" s="2">
        <v>1680</v>
      </c>
      <c r="T93" s="2">
        <v>1680</v>
      </c>
      <c r="U93" s="2">
        <v>1695</v>
      </c>
      <c r="V93" s="2">
        <v>1695</v>
      </c>
      <c r="W93" s="2">
        <v>1695</v>
      </c>
      <c r="X93" s="2">
        <v>1695</v>
      </c>
      <c r="Y93" s="2">
        <v>1695</v>
      </c>
      <c r="Z93" s="2">
        <v>1679</v>
      </c>
      <c r="AA93" s="2">
        <v>1679</v>
      </c>
      <c r="AB93" s="2">
        <v>1679</v>
      </c>
      <c r="AC93" s="2">
        <v>1679</v>
      </c>
      <c r="AD93" s="2">
        <v>1679</v>
      </c>
      <c r="AE93" s="2">
        <v>1698</v>
      </c>
      <c r="AF93" s="2">
        <v>1698</v>
      </c>
      <c r="AG93" s="2">
        <v>1698</v>
      </c>
      <c r="AH93" s="2">
        <v>1698</v>
      </c>
      <c r="AI93" s="2">
        <v>1698</v>
      </c>
      <c r="AJ93" s="2">
        <v>1690</v>
      </c>
      <c r="AK93" s="2">
        <v>1690</v>
      </c>
      <c r="AL93" s="2">
        <v>1690</v>
      </c>
      <c r="AM93" s="2">
        <v>1690</v>
      </c>
      <c r="AN93" s="2">
        <v>1690</v>
      </c>
      <c r="AO93" s="2">
        <v>1682</v>
      </c>
      <c r="AP93" s="2">
        <v>1682</v>
      </c>
      <c r="AQ93" s="2">
        <v>1682</v>
      </c>
      <c r="AR93" s="2">
        <v>1682</v>
      </c>
      <c r="AS93" s="2">
        <v>1682</v>
      </c>
      <c r="AT93" s="2">
        <v>1698</v>
      </c>
      <c r="AU93" s="2">
        <v>1698</v>
      </c>
      <c r="AV93" s="2">
        <v>1698</v>
      </c>
      <c r="AW93" s="2">
        <v>1698</v>
      </c>
      <c r="AX93" s="2">
        <v>1698</v>
      </c>
      <c r="AY93" s="2">
        <v>1698</v>
      </c>
      <c r="AZ93" s="2">
        <v>1698</v>
      </c>
      <c r="BA93" s="2">
        <v>1698</v>
      </c>
      <c r="BB93" s="2">
        <v>1698</v>
      </c>
      <c r="BC93" s="2">
        <v>1698</v>
      </c>
      <c r="BD93" s="2">
        <v>1698</v>
      </c>
      <c r="BE93" s="2">
        <v>1698</v>
      </c>
      <c r="BF93" s="2">
        <v>1698</v>
      </c>
      <c r="BG93" s="2">
        <v>1698</v>
      </c>
      <c r="BH93" s="2">
        <v>1698</v>
      </c>
      <c r="BI93" s="2">
        <v>1698</v>
      </c>
      <c r="BJ93" s="2">
        <v>1698</v>
      </c>
      <c r="BK93" s="2">
        <v>1698</v>
      </c>
      <c r="BL93" s="2">
        <v>1698</v>
      </c>
      <c r="BM93" s="2">
        <v>1698</v>
      </c>
      <c r="BN93" s="2">
        <v>1698</v>
      </c>
      <c r="BO93" s="2">
        <v>1698</v>
      </c>
      <c r="BP93" s="2">
        <v>1698</v>
      </c>
      <c r="BQ93" s="2">
        <v>1698</v>
      </c>
      <c r="BR93" s="2">
        <v>1698</v>
      </c>
      <c r="BS93" s="2">
        <v>1698</v>
      </c>
      <c r="BT93" s="2">
        <v>1698</v>
      </c>
      <c r="BU93" s="2">
        <v>1698</v>
      </c>
      <c r="BV93" s="2">
        <v>1698</v>
      </c>
      <c r="BW93" s="2">
        <v>1698</v>
      </c>
      <c r="BX93" s="2">
        <v>1698</v>
      </c>
      <c r="BY93" s="2">
        <v>1698</v>
      </c>
      <c r="BZ93" s="2">
        <v>1698</v>
      </c>
      <c r="CA93" s="2">
        <v>1698</v>
      </c>
      <c r="CB93" s="2">
        <v>1698</v>
      </c>
      <c r="CC93" s="2">
        <v>53</v>
      </c>
    </row>
    <row r="94" spans="1:81" s="2" customFormat="1" x14ac:dyDescent="0.35">
      <c r="A94" s="2" t="s">
        <v>777</v>
      </c>
      <c r="B94" s="2">
        <v>1730</v>
      </c>
      <c r="C94" s="2">
        <v>1716</v>
      </c>
      <c r="D94" s="2">
        <v>1732</v>
      </c>
      <c r="E94" s="2">
        <v>1721</v>
      </c>
      <c r="F94" s="2">
        <v>1708</v>
      </c>
      <c r="G94" s="2">
        <v>1726</v>
      </c>
      <c r="H94" s="2">
        <v>1711</v>
      </c>
      <c r="I94" s="2">
        <v>1700</v>
      </c>
      <c r="J94" s="2">
        <v>1683</v>
      </c>
      <c r="K94" s="2">
        <v>1683</v>
      </c>
      <c r="L94" s="2">
        <v>1700</v>
      </c>
      <c r="M94" s="2">
        <v>1700</v>
      </c>
      <c r="N94" s="2">
        <v>1700</v>
      </c>
      <c r="O94" s="2">
        <v>1700</v>
      </c>
      <c r="P94" s="2">
        <v>1700</v>
      </c>
      <c r="Q94" s="2">
        <v>1686</v>
      </c>
      <c r="R94" s="2">
        <v>1686</v>
      </c>
      <c r="S94" s="2">
        <v>1686</v>
      </c>
      <c r="T94" s="2">
        <v>1686</v>
      </c>
      <c r="U94" s="2">
        <v>1675</v>
      </c>
      <c r="V94" s="2">
        <v>1675</v>
      </c>
      <c r="W94" s="2">
        <v>1675</v>
      </c>
      <c r="X94" s="2">
        <v>1675</v>
      </c>
      <c r="Y94" s="2">
        <v>1675</v>
      </c>
      <c r="Z94" s="2">
        <v>1669</v>
      </c>
      <c r="AA94" s="2">
        <v>1669</v>
      </c>
      <c r="AB94" s="2">
        <v>1669</v>
      </c>
      <c r="AC94" s="2">
        <v>1669</v>
      </c>
      <c r="AD94" s="2">
        <v>1669</v>
      </c>
      <c r="AE94" s="2">
        <v>1689</v>
      </c>
      <c r="AF94" s="2">
        <v>1689</v>
      </c>
      <c r="AG94" s="2">
        <v>1689</v>
      </c>
      <c r="AH94" s="2">
        <v>1689</v>
      </c>
      <c r="AI94" s="2">
        <v>1689</v>
      </c>
      <c r="AJ94" s="2">
        <v>1680</v>
      </c>
      <c r="AK94" s="2">
        <v>1680</v>
      </c>
      <c r="AL94" s="2">
        <v>1680</v>
      </c>
      <c r="AM94" s="2">
        <v>1680</v>
      </c>
      <c r="AN94" s="2">
        <v>1680</v>
      </c>
      <c r="AO94" s="2">
        <v>1698</v>
      </c>
      <c r="AP94" s="2">
        <v>1698</v>
      </c>
      <c r="AQ94" s="2">
        <v>1698</v>
      </c>
      <c r="AR94" s="2">
        <v>1698</v>
      </c>
      <c r="AS94" s="2">
        <v>1698</v>
      </c>
      <c r="AT94" s="2">
        <v>1693</v>
      </c>
      <c r="AU94" s="2">
        <v>1693</v>
      </c>
      <c r="AV94" s="2">
        <v>1693</v>
      </c>
      <c r="AW94" s="2">
        <v>1693</v>
      </c>
      <c r="AX94" s="2">
        <v>1693</v>
      </c>
      <c r="AY94" s="2">
        <v>1693</v>
      </c>
      <c r="AZ94" s="2">
        <v>1693</v>
      </c>
      <c r="BA94" s="2">
        <v>1693</v>
      </c>
      <c r="BB94" s="2">
        <v>1693</v>
      </c>
      <c r="BC94" s="2">
        <v>1693</v>
      </c>
      <c r="BD94" s="2">
        <v>1693</v>
      </c>
      <c r="BE94" s="2">
        <v>1693</v>
      </c>
      <c r="BF94" s="2">
        <v>1693</v>
      </c>
      <c r="BG94" s="2">
        <v>1693</v>
      </c>
      <c r="BH94" s="2">
        <v>1693</v>
      </c>
      <c r="BI94" s="2">
        <v>1693</v>
      </c>
      <c r="BJ94" s="2">
        <v>1693</v>
      </c>
      <c r="BK94" s="2">
        <v>1693</v>
      </c>
      <c r="BL94" s="2">
        <v>1693</v>
      </c>
      <c r="BM94" s="2">
        <v>1693</v>
      </c>
      <c r="BN94" s="2">
        <v>1693</v>
      </c>
      <c r="BO94" s="2">
        <v>1693</v>
      </c>
      <c r="BP94" s="2">
        <v>1693</v>
      </c>
      <c r="BQ94" s="2">
        <v>1693</v>
      </c>
      <c r="BR94" s="2">
        <v>1693</v>
      </c>
      <c r="BS94" s="2">
        <v>1693</v>
      </c>
      <c r="BT94" s="2">
        <v>1693</v>
      </c>
      <c r="BU94" s="2">
        <v>1693</v>
      </c>
      <c r="BV94" s="2">
        <v>1693</v>
      </c>
      <c r="BW94" s="2">
        <v>1693</v>
      </c>
      <c r="BX94" s="2">
        <v>1693</v>
      </c>
      <c r="BY94" s="2">
        <v>1693</v>
      </c>
      <c r="BZ94" s="2">
        <v>1693</v>
      </c>
      <c r="CA94" s="2">
        <v>1693</v>
      </c>
      <c r="CB94" s="2">
        <v>1693</v>
      </c>
      <c r="CC94" s="2">
        <v>43</v>
      </c>
    </row>
    <row r="95" spans="1:81" s="2" customFormat="1" x14ac:dyDescent="0.35">
      <c r="A95" s="2" t="s">
        <v>1155</v>
      </c>
      <c r="B95" s="2">
        <v>1789</v>
      </c>
      <c r="C95" s="2">
        <v>1775</v>
      </c>
      <c r="D95" s="2">
        <v>1763</v>
      </c>
      <c r="E95" s="2">
        <v>1752</v>
      </c>
      <c r="F95" s="2">
        <v>1775</v>
      </c>
      <c r="G95" s="2">
        <v>1775</v>
      </c>
      <c r="H95" s="2">
        <v>1775</v>
      </c>
      <c r="I95" s="2">
        <v>1787</v>
      </c>
      <c r="J95" s="2">
        <v>1769</v>
      </c>
      <c r="K95" s="2">
        <v>1757</v>
      </c>
      <c r="L95" s="2">
        <v>1744</v>
      </c>
      <c r="M95" s="2">
        <v>1744</v>
      </c>
      <c r="N95" s="2">
        <v>1744</v>
      </c>
      <c r="O95" s="2">
        <v>1728</v>
      </c>
      <c r="P95" s="2">
        <v>1749</v>
      </c>
      <c r="Q95" s="2">
        <v>1738</v>
      </c>
      <c r="R95" s="2">
        <v>1738</v>
      </c>
      <c r="S95" s="2">
        <v>1738</v>
      </c>
      <c r="T95" s="2">
        <v>1738</v>
      </c>
      <c r="U95" s="2">
        <v>1731</v>
      </c>
      <c r="V95" s="2">
        <v>1731</v>
      </c>
      <c r="W95" s="2">
        <v>1731</v>
      </c>
      <c r="X95" s="2">
        <v>1753</v>
      </c>
      <c r="Y95" s="2">
        <v>1742</v>
      </c>
      <c r="Z95" s="2">
        <v>1726</v>
      </c>
      <c r="AA95" s="2">
        <v>1726</v>
      </c>
      <c r="AB95" s="2">
        <v>1726</v>
      </c>
      <c r="AC95" s="2">
        <v>1726</v>
      </c>
      <c r="AD95" s="2">
        <v>1726</v>
      </c>
      <c r="AE95" s="2">
        <v>1715</v>
      </c>
      <c r="AF95" s="2">
        <v>1715</v>
      </c>
      <c r="AG95" s="2">
        <v>1715</v>
      </c>
      <c r="AH95" s="2">
        <v>1704</v>
      </c>
      <c r="AI95" s="2">
        <v>1690</v>
      </c>
      <c r="AJ95" s="2">
        <v>1685</v>
      </c>
      <c r="AK95" s="2">
        <v>1685</v>
      </c>
      <c r="AL95" s="2">
        <v>1685</v>
      </c>
      <c r="AM95" s="2">
        <v>1685</v>
      </c>
      <c r="AN95" s="2">
        <v>1685</v>
      </c>
      <c r="AO95" s="2">
        <v>1701</v>
      </c>
      <c r="AP95" s="2">
        <v>1701</v>
      </c>
      <c r="AQ95" s="2">
        <v>1701</v>
      </c>
      <c r="AR95" s="2">
        <v>1701</v>
      </c>
      <c r="AS95" s="2">
        <v>1701</v>
      </c>
      <c r="AT95" s="2">
        <v>1690</v>
      </c>
      <c r="AU95" s="2">
        <v>1690</v>
      </c>
      <c r="AV95" s="2">
        <v>1690</v>
      </c>
      <c r="AW95" s="2">
        <v>1690</v>
      </c>
      <c r="AX95" s="2">
        <v>1690</v>
      </c>
      <c r="AY95" s="2">
        <v>1690</v>
      </c>
      <c r="AZ95" s="2">
        <v>1690</v>
      </c>
      <c r="BA95" s="2">
        <v>1690</v>
      </c>
      <c r="BB95" s="2">
        <v>1690</v>
      </c>
      <c r="BC95" s="2">
        <v>1690</v>
      </c>
      <c r="BD95" s="2">
        <v>1690</v>
      </c>
      <c r="BE95" s="2">
        <v>1690</v>
      </c>
      <c r="BF95" s="2">
        <v>1690</v>
      </c>
      <c r="BG95" s="2">
        <v>1690</v>
      </c>
      <c r="BH95" s="2">
        <v>1690</v>
      </c>
      <c r="BI95" s="2">
        <v>1690</v>
      </c>
      <c r="BJ95" s="2">
        <v>1690</v>
      </c>
      <c r="BK95" s="2">
        <v>1690</v>
      </c>
      <c r="BL95" s="2">
        <v>1690</v>
      </c>
      <c r="BM95" s="2">
        <v>1690</v>
      </c>
      <c r="BN95" s="2">
        <v>1690</v>
      </c>
      <c r="BO95" s="2">
        <v>1690</v>
      </c>
      <c r="BP95" s="2">
        <v>1690</v>
      </c>
      <c r="BQ95" s="2">
        <v>1690</v>
      </c>
      <c r="BR95" s="2">
        <v>1690</v>
      </c>
      <c r="BS95" s="2">
        <v>1690</v>
      </c>
      <c r="BT95" s="2">
        <v>1690</v>
      </c>
      <c r="BU95" s="2">
        <v>1690</v>
      </c>
      <c r="BV95" s="2">
        <v>1690</v>
      </c>
      <c r="BW95" s="2">
        <v>1690</v>
      </c>
      <c r="BX95" s="2">
        <v>1690</v>
      </c>
      <c r="BY95" s="2">
        <v>1690</v>
      </c>
      <c r="BZ95" s="2">
        <v>1690</v>
      </c>
      <c r="CA95" s="2">
        <v>1690</v>
      </c>
      <c r="CB95" s="2">
        <v>1690</v>
      </c>
      <c r="CC95" s="2">
        <v>81</v>
      </c>
    </row>
    <row r="96" spans="1:81" s="2" customFormat="1" x14ac:dyDescent="0.35">
      <c r="A96" s="2" t="s">
        <v>756</v>
      </c>
      <c r="B96" s="2">
        <v>1743</v>
      </c>
      <c r="C96" s="2">
        <v>1752</v>
      </c>
      <c r="D96" s="2">
        <v>1742</v>
      </c>
      <c r="E96" s="2">
        <v>1752</v>
      </c>
      <c r="F96" s="2">
        <v>1739</v>
      </c>
      <c r="G96" s="2">
        <v>1717</v>
      </c>
      <c r="H96" s="2">
        <v>1702</v>
      </c>
      <c r="I96" s="2">
        <v>1694</v>
      </c>
      <c r="J96" s="2">
        <v>1694</v>
      </c>
      <c r="K96" s="2">
        <v>1694</v>
      </c>
      <c r="L96" s="2">
        <v>1707</v>
      </c>
      <c r="M96" s="2">
        <v>1707</v>
      </c>
      <c r="N96" s="2">
        <v>1707</v>
      </c>
      <c r="O96" s="2">
        <v>1707</v>
      </c>
      <c r="P96" s="2">
        <v>1707</v>
      </c>
      <c r="Q96" s="2">
        <v>1698</v>
      </c>
      <c r="R96" s="2">
        <v>1698</v>
      </c>
      <c r="S96" s="2">
        <v>1698</v>
      </c>
      <c r="T96" s="2">
        <v>1698</v>
      </c>
      <c r="U96" s="2">
        <v>1711</v>
      </c>
      <c r="V96" s="2">
        <v>1711</v>
      </c>
      <c r="W96" s="2">
        <v>1711</v>
      </c>
      <c r="X96" s="2">
        <v>1711</v>
      </c>
      <c r="Y96" s="2">
        <v>1711</v>
      </c>
      <c r="Z96" s="2">
        <v>1702</v>
      </c>
      <c r="AA96" s="2">
        <v>1702</v>
      </c>
      <c r="AB96" s="2">
        <v>1702</v>
      </c>
      <c r="AC96" s="2">
        <v>1702</v>
      </c>
      <c r="AD96" s="2">
        <v>1702</v>
      </c>
      <c r="AE96" s="2">
        <v>1692</v>
      </c>
      <c r="AF96" s="2">
        <v>1692</v>
      </c>
      <c r="AG96" s="2">
        <v>1692</v>
      </c>
      <c r="AH96" s="2">
        <v>1692</v>
      </c>
      <c r="AI96" s="2">
        <v>1692</v>
      </c>
      <c r="AJ96" s="2">
        <v>1673</v>
      </c>
      <c r="AK96" s="2">
        <v>1673</v>
      </c>
      <c r="AL96" s="2">
        <v>1673</v>
      </c>
      <c r="AM96" s="2">
        <v>1673</v>
      </c>
      <c r="AN96" s="2">
        <v>1673</v>
      </c>
      <c r="AO96" s="2">
        <v>1671</v>
      </c>
      <c r="AP96" s="2">
        <v>1671</v>
      </c>
      <c r="AQ96" s="2">
        <v>1671</v>
      </c>
      <c r="AR96" s="2">
        <v>1671</v>
      </c>
      <c r="AS96" s="2">
        <v>1671</v>
      </c>
      <c r="AT96" s="2">
        <v>1685</v>
      </c>
      <c r="AU96" s="2">
        <v>1685</v>
      </c>
      <c r="AV96" s="2">
        <v>1685</v>
      </c>
      <c r="AW96" s="2">
        <v>1685</v>
      </c>
      <c r="AX96" s="2">
        <v>1685</v>
      </c>
      <c r="AY96" s="2">
        <v>1685</v>
      </c>
      <c r="AZ96" s="2">
        <v>1685</v>
      </c>
      <c r="BA96" s="2">
        <v>1685</v>
      </c>
      <c r="BB96" s="2">
        <v>1685</v>
      </c>
      <c r="BC96" s="2">
        <v>1685</v>
      </c>
      <c r="BD96" s="2">
        <v>1685</v>
      </c>
      <c r="BE96" s="2">
        <v>1685</v>
      </c>
      <c r="BF96" s="2">
        <v>1685</v>
      </c>
      <c r="BG96" s="2">
        <v>1685</v>
      </c>
      <c r="BH96" s="2">
        <v>1685</v>
      </c>
      <c r="BI96" s="2">
        <v>1685</v>
      </c>
      <c r="BJ96" s="2">
        <v>1685</v>
      </c>
      <c r="BK96" s="2">
        <v>1685</v>
      </c>
      <c r="BL96" s="2">
        <v>1685</v>
      </c>
      <c r="BM96" s="2">
        <v>1685</v>
      </c>
      <c r="BN96" s="2">
        <v>1685</v>
      </c>
      <c r="BO96" s="2">
        <v>1685</v>
      </c>
      <c r="BP96" s="2">
        <v>1685</v>
      </c>
      <c r="BQ96" s="2">
        <v>1685</v>
      </c>
      <c r="BR96" s="2">
        <v>1685</v>
      </c>
      <c r="BS96" s="2">
        <v>1685</v>
      </c>
      <c r="BT96" s="2">
        <v>1685</v>
      </c>
      <c r="BU96" s="2">
        <v>1685</v>
      </c>
      <c r="BV96" s="2">
        <v>1685</v>
      </c>
      <c r="BW96" s="2">
        <v>1685</v>
      </c>
      <c r="BX96" s="2">
        <v>1685</v>
      </c>
      <c r="BY96" s="2">
        <v>1685</v>
      </c>
      <c r="BZ96" s="2">
        <v>1685</v>
      </c>
      <c r="CA96" s="2">
        <v>1685</v>
      </c>
      <c r="CB96" s="2">
        <v>1685</v>
      </c>
      <c r="CC96" s="2">
        <v>74</v>
      </c>
    </row>
    <row r="97" spans="1:81" s="2" customFormat="1" x14ac:dyDescent="0.35">
      <c r="A97" s="2" t="s">
        <v>637</v>
      </c>
      <c r="B97" s="2">
        <v>1803</v>
      </c>
      <c r="C97" s="2">
        <v>1791</v>
      </c>
      <c r="D97" s="2">
        <v>1776</v>
      </c>
      <c r="E97" s="2">
        <v>1763</v>
      </c>
      <c r="F97" s="2">
        <v>1752</v>
      </c>
      <c r="G97" s="2">
        <v>1752</v>
      </c>
      <c r="H97" s="2">
        <v>1752</v>
      </c>
      <c r="I97" s="2">
        <v>1739</v>
      </c>
      <c r="J97" s="2">
        <v>1739</v>
      </c>
      <c r="K97" s="2">
        <v>1753</v>
      </c>
      <c r="L97" s="2">
        <v>1744</v>
      </c>
      <c r="M97" s="2">
        <v>1744</v>
      </c>
      <c r="N97" s="2">
        <v>1744</v>
      </c>
      <c r="O97" s="2">
        <v>1763</v>
      </c>
      <c r="P97" s="2">
        <v>1781</v>
      </c>
      <c r="Q97" s="2">
        <v>1768</v>
      </c>
      <c r="R97" s="2">
        <v>1768</v>
      </c>
      <c r="S97" s="2">
        <v>1768</v>
      </c>
      <c r="T97" s="2">
        <v>1741</v>
      </c>
      <c r="U97" s="2">
        <v>1724</v>
      </c>
      <c r="V97" s="2">
        <v>1744</v>
      </c>
      <c r="W97" s="2">
        <v>1730</v>
      </c>
      <c r="X97" s="2">
        <v>1715</v>
      </c>
      <c r="Y97" s="2">
        <v>1702</v>
      </c>
      <c r="Z97" s="2">
        <v>1689</v>
      </c>
      <c r="AA97" s="2">
        <v>1689</v>
      </c>
      <c r="AB97" s="2">
        <v>1689</v>
      </c>
      <c r="AC97" s="2">
        <v>1689</v>
      </c>
      <c r="AD97" s="2">
        <v>1689</v>
      </c>
      <c r="AE97" s="2">
        <v>1683</v>
      </c>
      <c r="AF97" s="2">
        <v>1683</v>
      </c>
      <c r="AG97" s="2">
        <v>1683</v>
      </c>
      <c r="AH97" s="2">
        <v>1667</v>
      </c>
      <c r="AI97" s="2">
        <v>1652</v>
      </c>
      <c r="AJ97" s="2">
        <v>1644</v>
      </c>
      <c r="AK97" s="2">
        <v>1644</v>
      </c>
      <c r="AL97" s="2">
        <v>1644</v>
      </c>
      <c r="AM97" s="2">
        <v>1644</v>
      </c>
      <c r="AN97" s="2">
        <v>1644</v>
      </c>
      <c r="AO97" s="2">
        <v>1664</v>
      </c>
      <c r="AP97" s="2">
        <v>1664</v>
      </c>
      <c r="AQ97" s="2">
        <v>1664</v>
      </c>
      <c r="AR97" s="2">
        <v>1664</v>
      </c>
      <c r="AS97" s="2">
        <v>1664</v>
      </c>
      <c r="AT97" s="2">
        <v>1683</v>
      </c>
      <c r="AU97" s="2">
        <v>1683</v>
      </c>
      <c r="AV97" s="2">
        <v>1683</v>
      </c>
      <c r="AW97" s="2">
        <v>1683</v>
      </c>
      <c r="AX97" s="2">
        <v>1683</v>
      </c>
      <c r="AY97" s="2">
        <v>1683</v>
      </c>
      <c r="AZ97" s="2">
        <v>1683</v>
      </c>
      <c r="BA97" s="2">
        <v>1683</v>
      </c>
      <c r="BB97" s="2">
        <v>1683</v>
      </c>
      <c r="BC97" s="2">
        <v>1683</v>
      </c>
      <c r="BD97" s="2">
        <v>1683</v>
      </c>
      <c r="BE97" s="2">
        <v>1683</v>
      </c>
      <c r="BF97" s="2">
        <v>1683</v>
      </c>
      <c r="BG97" s="2">
        <v>1683</v>
      </c>
      <c r="BH97" s="2">
        <v>1683</v>
      </c>
      <c r="BI97" s="2">
        <v>1683</v>
      </c>
      <c r="BJ97" s="2">
        <v>1683</v>
      </c>
      <c r="BK97" s="2">
        <v>1683</v>
      </c>
      <c r="BL97" s="2">
        <v>1683</v>
      </c>
      <c r="BM97" s="2">
        <v>1683</v>
      </c>
      <c r="BN97" s="2">
        <v>1683</v>
      </c>
      <c r="BO97" s="2">
        <v>1683</v>
      </c>
      <c r="BP97" s="2">
        <v>1683</v>
      </c>
      <c r="BQ97" s="2">
        <v>1683</v>
      </c>
      <c r="BR97" s="2">
        <v>1683</v>
      </c>
      <c r="BS97" s="2">
        <v>1683</v>
      </c>
      <c r="BT97" s="2">
        <v>1683</v>
      </c>
      <c r="BU97" s="2">
        <v>1683</v>
      </c>
      <c r="BV97" s="2">
        <v>1683</v>
      </c>
      <c r="BW97" s="2">
        <v>1683</v>
      </c>
      <c r="BX97" s="2">
        <v>1683</v>
      </c>
      <c r="BY97" s="2">
        <v>1683</v>
      </c>
      <c r="BZ97" s="2">
        <v>1683</v>
      </c>
      <c r="CA97" s="2">
        <v>1683</v>
      </c>
      <c r="CB97" s="2">
        <v>1683</v>
      </c>
      <c r="CC97" s="2">
        <v>98</v>
      </c>
    </row>
    <row r="98" spans="1:81" s="2" customFormat="1" x14ac:dyDescent="0.35">
      <c r="A98" s="2" t="s">
        <v>709</v>
      </c>
      <c r="B98" s="2">
        <v>1739</v>
      </c>
      <c r="C98" s="2">
        <v>1730</v>
      </c>
      <c r="D98" s="2">
        <v>1714</v>
      </c>
      <c r="E98" s="2">
        <v>1727</v>
      </c>
      <c r="F98" s="2">
        <v>1718</v>
      </c>
      <c r="G98" s="2">
        <v>1718</v>
      </c>
      <c r="H98" s="2">
        <v>1704</v>
      </c>
      <c r="I98" s="2">
        <v>1690</v>
      </c>
      <c r="J98" s="2">
        <v>1677</v>
      </c>
      <c r="K98" s="2">
        <v>1677</v>
      </c>
      <c r="L98" s="2">
        <v>1694</v>
      </c>
      <c r="M98" s="2">
        <v>1694</v>
      </c>
      <c r="N98" s="2">
        <v>1694</v>
      </c>
      <c r="O98" s="2">
        <v>1694</v>
      </c>
      <c r="P98" s="2">
        <v>1694</v>
      </c>
      <c r="Q98" s="2">
        <v>1687</v>
      </c>
      <c r="R98" s="2">
        <v>1687</v>
      </c>
      <c r="S98" s="2">
        <v>1687</v>
      </c>
      <c r="T98" s="2">
        <v>1687</v>
      </c>
      <c r="U98" s="2">
        <v>1682</v>
      </c>
      <c r="V98" s="2">
        <v>1682</v>
      </c>
      <c r="W98" s="2">
        <v>1682</v>
      </c>
      <c r="X98" s="2">
        <v>1682</v>
      </c>
      <c r="Y98" s="2">
        <v>1682</v>
      </c>
      <c r="Z98" s="2">
        <v>1672</v>
      </c>
      <c r="AA98" s="2">
        <v>1672</v>
      </c>
      <c r="AB98" s="2">
        <v>1672</v>
      </c>
      <c r="AC98" s="2">
        <v>1672</v>
      </c>
      <c r="AD98" s="2">
        <v>1672</v>
      </c>
      <c r="AE98" s="2">
        <v>1663</v>
      </c>
      <c r="AF98" s="2">
        <v>1663</v>
      </c>
      <c r="AG98" s="2">
        <v>1663</v>
      </c>
      <c r="AH98" s="2">
        <v>1663</v>
      </c>
      <c r="AI98" s="2">
        <v>1663</v>
      </c>
      <c r="AJ98" s="2">
        <v>1681</v>
      </c>
      <c r="AK98" s="2">
        <v>1681</v>
      </c>
      <c r="AL98" s="2">
        <v>1681</v>
      </c>
      <c r="AM98" s="2">
        <v>1681</v>
      </c>
      <c r="AN98" s="2">
        <v>1681</v>
      </c>
      <c r="AO98" s="2">
        <v>1668</v>
      </c>
      <c r="AP98" s="2">
        <v>1668</v>
      </c>
      <c r="AQ98" s="2">
        <v>1668</v>
      </c>
      <c r="AR98" s="2">
        <v>1668</v>
      </c>
      <c r="AS98" s="2">
        <v>1668</v>
      </c>
      <c r="AT98" s="2">
        <v>1681</v>
      </c>
      <c r="AU98" s="2">
        <v>1681</v>
      </c>
      <c r="AV98" s="2">
        <v>1681</v>
      </c>
      <c r="AW98" s="2">
        <v>1681</v>
      </c>
      <c r="AX98" s="2">
        <v>1681</v>
      </c>
      <c r="AY98" s="2">
        <v>1681</v>
      </c>
      <c r="AZ98" s="2">
        <v>1681</v>
      </c>
      <c r="BA98" s="2">
        <v>1681</v>
      </c>
      <c r="BB98" s="2">
        <v>1681</v>
      </c>
      <c r="BC98" s="2">
        <v>1681</v>
      </c>
      <c r="BD98" s="2">
        <v>1681</v>
      </c>
      <c r="BE98" s="2">
        <v>1681</v>
      </c>
      <c r="BF98" s="2">
        <v>1681</v>
      </c>
      <c r="BG98" s="2">
        <v>1681</v>
      </c>
      <c r="BH98" s="2">
        <v>1681</v>
      </c>
      <c r="BI98" s="2">
        <v>1681</v>
      </c>
      <c r="BJ98" s="2">
        <v>1681</v>
      </c>
      <c r="BK98" s="2">
        <v>1681</v>
      </c>
      <c r="BL98" s="2">
        <v>1681</v>
      </c>
      <c r="BM98" s="2">
        <v>1681</v>
      </c>
      <c r="BN98" s="2">
        <v>1681</v>
      </c>
      <c r="BO98" s="2">
        <v>1681</v>
      </c>
      <c r="BP98" s="2">
        <v>1681</v>
      </c>
      <c r="BQ98" s="2">
        <v>1681</v>
      </c>
      <c r="BR98" s="2">
        <v>1681</v>
      </c>
      <c r="BS98" s="2">
        <v>1681</v>
      </c>
      <c r="BT98" s="2">
        <v>1681</v>
      </c>
      <c r="BU98" s="2">
        <v>1681</v>
      </c>
      <c r="BV98" s="2">
        <v>1681</v>
      </c>
      <c r="BW98" s="2">
        <v>1681</v>
      </c>
      <c r="BX98" s="2">
        <v>1681</v>
      </c>
      <c r="BY98" s="2">
        <v>1681</v>
      </c>
      <c r="BZ98" s="2">
        <v>1681</v>
      </c>
      <c r="CA98" s="2">
        <v>1681</v>
      </c>
      <c r="CB98" s="2">
        <v>1681</v>
      </c>
      <c r="CC98" s="2">
        <v>46</v>
      </c>
    </row>
    <row r="99" spans="1:81" s="2" customFormat="1" x14ac:dyDescent="0.35">
      <c r="A99" s="2" t="s">
        <v>636</v>
      </c>
      <c r="B99" s="2">
        <v>1806</v>
      </c>
      <c r="C99" s="2">
        <v>1791</v>
      </c>
      <c r="D99" s="2">
        <v>1775</v>
      </c>
      <c r="E99" s="2">
        <v>1761</v>
      </c>
      <c r="F99" s="2">
        <v>1778</v>
      </c>
      <c r="G99" s="2">
        <v>1778</v>
      </c>
      <c r="H99" s="2">
        <v>1778</v>
      </c>
      <c r="I99" s="2">
        <v>1767</v>
      </c>
      <c r="J99" s="2">
        <v>1767</v>
      </c>
      <c r="K99" s="2">
        <v>1767</v>
      </c>
      <c r="L99" s="2">
        <v>1756</v>
      </c>
      <c r="M99" s="2">
        <v>1756</v>
      </c>
      <c r="N99" s="2">
        <v>1756</v>
      </c>
      <c r="O99" s="2">
        <v>1740</v>
      </c>
      <c r="P99" s="2">
        <v>1728</v>
      </c>
      <c r="Q99" s="2">
        <v>1717</v>
      </c>
      <c r="R99" s="2">
        <v>1701</v>
      </c>
      <c r="S99" s="2">
        <v>1690</v>
      </c>
      <c r="T99" s="2">
        <v>1717</v>
      </c>
      <c r="U99" s="2">
        <v>1709</v>
      </c>
      <c r="V99" s="2">
        <v>1702</v>
      </c>
      <c r="W99" s="2">
        <v>1697</v>
      </c>
      <c r="X99" s="2">
        <v>1697</v>
      </c>
      <c r="Y99" s="2">
        <v>1697</v>
      </c>
      <c r="Z99" s="2">
        <v>1686</v>
      </c>
      <c r="AA99" s="2">
        <v>1676</v>
      </c>
      <c r="AB99" s="2">
        <v>1670</v>
      </c>
      <c r="AC99" s="2">
        <v>1657</v>
      </c>
      <c r="AD99" s="2">
        <v>1693</v>
      </c>
      <c r="AE99" s="2">
        <v>1705</v>
      </c>
      <c r="AF99" s="2">
        <v>1705</v>
      </c>
      <c r="AG99" s="2">
        <v>1705</v>
      </c>
      <c r="AH99" s="2">
        <v>1705</v>
      </c>
      <c r="AI99" s="2">
        <v>1705</v>
      </c>
      <c r="AJ99" s="2">
        <v>1698</v>
      </c>
      <c r="AK99" s="2">
        <v>1698</v>
      </c>
      <c r="AL99" s="2">
        <v>1698</v>
      </c>
      <c r="AM99" s="2">
        <v>1698</v>
      </c>
      <c r="AN99" s="2">
        <v>1698</v>
      </c>
      <c r="AO99" s="2">
        <v>1689</v>
      </c>
      <c r="AP99" s="2">
        <v>1689</v>
      </c>
      <c r="AQ99" s="2">
        <v>1689</v>
      </c>
      <c r="AR99" s="2">
        <v>1689</v>
      </c>
      <c r="AS99" s="2">
        <v>1689</v>
      </c>
      <c r="AT99" s="2">
        <v>1676</v>
      </c>
      <c r="AU99" s="2">
        <v>1676</v>
      </c>
      <c r="AV99" s="2">
        <v>1676</v>
      </c>
      <c r="AW99" s="2">
        <v>1676</v>
      </c>
      <c r="AX99" s="2">
        <v>1676</v>
      </c>
      <c r="AY99" s="2">
        <v>1676</v>
      </c>
      <c r="AZ99" s="2">
        <v>1676</v>
      </c>
      <c r="BA99" s="2">
        <v>1676</v>
      </c>
      <c r="BB99" s="2">
        <v>1676</v>
      </c>
      <c r="BC99" s="2">
        <v>1676</v>
      </c>
      <c r="BD99" s="2">
        <v>1676</v>
      </c>
      <c r="BE99" s="2">
        <v>1676</v>
      </c>
      <c r="BF99" s="2">
        <v>1676</v>
      </c>
      <c r="BG99" s="2">
        <v>1676</v>
      </c>
      <c r="BH99" s="2">
        <v>1676</v>
      </c>
      <c r="BI99" s="2">
        <v>1676</v>
      </c>
      <c r="BJ99" s="2">
        <v>1676</v>
      </c>
      <c r="BK99" s="2">
        <v>1676</v>
      </c>
      <c r="BL99" s="2">
        <v>1676</v>
      </c>
      <c r="BM99" s="2">
        <v>1676</v>
      </c>
      <c r="BN99" s="2">
        <v>1676</v>
      </c>
      <c r="BO99" s="2">
        <v>1676</v>
      </c>
      <c r="BP99" s="2">
        <v>1676</v>
      </c>
      <c r="BQ99" s="2">
        <v>1676</v>
      </c>
      <c r="BR99" s="2">
        <v>1676</v>
      </c>
      <c r="BS99" s="2">
        <v>1676</v>
      </c>
      <c r="BT99" s="2">
        <v>1676</v>
      </c>
      <c r="BU99" s="2">
        <v>1676</v>
      </c>
      <c r="BV99" s="2">
        <v>1676</v>
      </c>
      <c r="BW99" s="2">
        <v>1676</v>
      </c>
      <c r="BX99" s="2">
        <v>1676</v>
      </c>
      <c r="BY99" s="2">
        <v>1676</v>
      </c>
      <c r="BZ99" s="2">
        <v>1676</v>
      </c>
      <c r="CA99" s="2">
        <v>1676</v>
      </c>
      <c r="CB99" s="2">
        <v>1676</v>
      </c>
      <c r="CC99" s="2">
        <v>101</v>
      </c>
    </row>
    <row r="100" spans="1:81" s="2" customFormat="1" x14ac:dyDescent="0.35">
      <c r="A100" s="2" t="s">
        <v>732</v>
      </c>
      <c r="B100" s="2">
        <v>1788</v>
      </c>
      <c r="C100" s="2">
        <v>1779</v>
      </c>
      <c r="D100" s="2">
        <v>1770</v>
      </c>
      <c r="E100" s="2">
        <v>1757</v>
      </c>
      <c r="F100" s="2">
        <v>1749</v>
      </c>
      <c r="G100" s="2">
        <v>1749</v>
      </c>
      <c r="H100" s="2">
        <v>1769</v>
      </c>
      <c r="I100" s="2">
        <v>1757</v>
      </c>
      <c r="J100" s="2">
        <v>1774</v>
      </c>
      <c r="K100" s="2">
        <v>1759</v>
      </c>
      <c r="L100" s="2">
        <v>1746</v>
      </c>
      <c r="M100" s="2">
        <v>1730</v>
      </c>
      <c r="N100" s="2">
        <v>1719</v>
      </c>
      <c r="O100" s="2">
        <v>1719</v>
      </c>
      <c r="P100" s="2">
        <v>1719</v>
      </c>
      <c r="Q100" s="2">
        <v>1708</v>
      </c>
      <c r="R100" s="2">
        <v>1708</v>
      </c>
      <c r="S100" s="2">
        <v>1708</v>
      </c>
      <c r="T100" s="2">
        <v>1708</v>
      </c>
      <c r="U100" s="2">
        <v>1719</v>
      </c>
      <c r="V100" s="2">
        <v>1719</v>
      </c>
      <c r="W100" s="2">
        <v>1719</v>
      </c>
      <c r="X100" s="2">
        <v>1719</v>
      </c>
      <c r="Y100" s="2">
        <v>1719</v>
      </c>
      <c r="Z100" s="2">
        <v>1708</v>
      </c>
      <c r="AA100" s="2">
        <v>1708</v>
      </c>
      <c r="AB100" s="2">
        <v>1708</v>
      </c>
      <c r="AC100" s="2">
        <v>1708</v>
      </c>
      <c r="AD100" s="2">
        <v>1708</v>
      </c>
      <c r="AE100" s="2">
        <v>1694</v>
      </c>
      <c r="AF100" s="2">
        <v>1694</v>
      </c>
      <c r="AG100" s="2">
        <v>1694</v>
      </c>
      <c r="AH100" s="2">
        <v>1694</v>
      </c>
      <c r="AI100" s="2">
        <v>1694</v>
      </c>
      <c r="AJ100" s="2">
        <v>1675</v>
      </c>
      <c r="AK100" s="2">
        <v>1675</v>
      </c>
      <c r="AL100" s="2">
        <v>1675</v>
      </c>
      <c r="AM100" s="2">
        <v>1675</v>
      </c>
      <c r="AN100" s="2">
        <v>1675</v>
      </c>
      <c r="AO100" s="2">
        <v>1689</v>
      </c>
      <c r="AP100" s="2">
        <v>1689</v>
      </c>
      <c r="AQ100" s="2">
        <v>1689</v>
      </c>
      <c r="AR100" s="2">
        <v>1689</v>
      </c>
      <c r="AS100" s="2">
        <v>1689</v>
      </c>
      <c r="AT100" s="2">
        <v>1676</v>
      </c>
      <c r="AU100" s="2">
        <v>1676</v>
      </c>
      <c r="AV100" s="2">
        <v>1676</v>
      </c>
      <c r="AW100" s="2">
        <v>1676</v>
      </c>
      <c r="AX100" s="2">
        <v>1676</v>
      </c>
      <c r="AY100" s="2">
        <v>1676</v>
      </c>
      <c r="AZ100" s="2">
        <v>1676</v>
      </c>
      <c r="BA100" s="2">
        <v>1676</v>
      </c>
      <c r="BB100" s="2">
        <v>1676</v>
      </c>
      <c r="BC100" s="2">
        <v>1676</v>
      </c>
      <c r="BD100" s="2">
        <v>1676</v>
      </c>
      <c r="BE100" s="2">
        <v>1676</v>
      </c>
      <c r="BF100" s="2">
        <v>1676</v>
      </c>
      <c r="BG100" s="2">
        <v>1676</v>
      </c>
      <c r="BH100" s="2">
        <v>1676</v>
      </c>
      <c r="BI100" s="2">
        <v>1676</v>
      </c>
      <c r="BJ100" s="2">
        <v>1676</v>
      </c>
      <c r="BK100" s="2">
        <v>1676</v>
      </c>
      <c r="BL100" s="2">
        <v>1676</v>
      </c>
      <c r="BM100" s="2">
        <v>1676</v>
      </c>
      <c r="BN100" s="2">
        <v>1676</v>
      </c>
      <c r="BO100" s="2">
        <v>1676</v>
      </c>
      <c r="BP100" s="2">
        <v>1676</v>
      </c>
      <c r="BQ100" s="2">
        <v>1676</v>
      </c>
      <c r="BR100" s="2">
        <v>1676</v>
      </c>
      <c r="BS100" s="2">
        <v>1676</v>
      </c>
      <c r="BT100" s="2">
        <v>1676</v>
      </c>
      <c r="BU100" s="2">
        <v>1676</v>
      </c>
      <c r="BV100" s="2">
        <v>1676</v>
      </c>
      <c r="BW100" s="2">
        <v>1676</v>
      </c>
      <c r="BX100" s="2">
        <v>1676</v>
      </c>
      <c r="BY100" s="2">
        <v>1676</v>
      </c>
      <c r="BZ100" s="2">
        <v>1676</v>
      </c>
      <c r="CA100" s="2">
        <v>1676</v>
      </c>
      <c r="CB100" s="2">
        <v>1676</v>
      </c>
      <c r="CC100" s="2">
        <v>47</v>
      </c>
    </row>
    <row r="101" spans="1:81" s="2" customFormat="1" x14ac:dyDescent="0.35">
      <c r="A101" s="2" t="s">
        <v>722</v>
      </c>
      <c r="B101" s="2">
        <v>1764</v>
      </c>
      <c r="C101" s="2">
        <v>1755</v>
      </c>
      <c r="D101" s="2">
        <v>1769</v>
      </c>
      <c r="E101" s="2">
        <v>1756</v>
      </c>
      <c r="F101" s="2">
        <v>1744</v>
      </c>
      <c r="G101" s="2">
        <v>1728</v>
      </c>
      <c r="H101" s="2">
        <v>1711</v>
      </c>
      <c r="I101" s="2">
        <v>1726</v>
      </c>
      <c r="J101" s="2">
        <v>1726</v>
      </c>
      <c r="K101" s="2">
        <v>1726</v>
      </c>
      <c r="L101" s="2">
        <v>1716</v>
      </c>
      <c r="M101" s="2">
        <v>1716</v>
      </c>
      <c r="N101" s="2">
        <v>1716</v>
      </c>
      <c r="O101" s="2">
        <v>1716</v>
      </c>
      <c r="P101" s="2">
        <v>1716</v>
      </c>
      <c r="Q101" s="2">
        <v>1705</v>
      </c>
      <c r="R101" s="2">
        <v>1705</v>
      </c>
      <c r="S101" s="2">
        <v>1705</v>
      </c>
      <c r="T101" s="2">
        <v>1705</v>
      </c>
      <c r="U101" s="2">
        <v>1698</v>
      </c>
      <c r="V101" s="2">
        <v>1698</v>
      </c>
      <c r="W101" s="2">
        <v>1698</v>
      </c>
      <c r="X101" s="2">
        <v>1698</v>
      </c>
      <c r="Y101" s="2">
        <v>1698</v>
      </c>
      <c r="Z101" s="2">
        <v>1686</v>
      </c>
      <c r="AA101" s="2">
        <v>1686</v>
      </c>
      <c r="AB101" s="2">
        <v>1686</v>
      </c>
      <c r="AC101" s="2">
        <v>1686</v>
      </c>
      <c r="AD101" s="2">
        <v>1686</v>
      </c>
      <c r="AE101" s="2">
        <v>1677</v>
      </c>
      <c r="AF101" s="2">
        <v>1677</v>
      </c>
      <c r="AG101" s="2">
        <v>1677</v>
      </c>
      <c r="AH101" s="2">
        <v>1677</v>
      </c>
      <c r="AI101" s="2">
        <v>1677</v>
      </c>
      <c r="AJ101" s="2">
        <v>1696</v>
      </c>
      <c r="AK101" s="2">
        <v>1696</v>
      </c>
      <c r="AL101" s="2">
        <v>1696</v>
      </c>
      <c r="AM101" s="2">
        <v>1696</v>
      </c>
      <c r="AN101" s="2">
        <v>1696</v>
      </c>
      <c r="AO101" s="2">
        <v>1684</v>
      </c>
      <c r="AP101" s="2">
        <v>1684</v>
      </c>
      <c r="AQ101" s="2">
        <v>1684</v>
      </c>
      <c r="AR101" s="2">
        <v>1684</v>
      </c>
      <c r="AS101" s="2">
        <v>1684</v>
      </c>
      <c r="AT101" s="2">
        <v>1673</v>
      </c>
      <c r="AU101" s="2">
        <v>1673</v>
      </c>
      <c r="AV101" s="2">
        <v>1673</v>
      </c>
      <c r="AW101" s="2">
        <v>1673</v>
      </c>
      <c r="AX101" s="2">
        <v>1673</v>
      </c>
      <c r="AY101" s="2">
        <v>1673</v>
      </c>
      <c r="AZ101" s="2">
        <v>1673</v>
      </c>
      <c r="BA101" s="2">
        <v>1673</v>
      </c>
      <c r="BB101" s="2">
        <v>1673</v>
      </c>
      <c r="BC101" s="2">
        <v>1673</v>
      </c>
      <c r="BD101" s="2">
        <v>1673</v>
      </c>
      <c r="BE101" s="2">
        <v>1673</v>
      </c>
      <c r="BF101" s="2">
        <v>1673</v>
      </c>
      <c r="BG101" s="2">
        <v>1673</v>
      </c>
      <c r="BH101" s="2">
        <v>1673</v>
      </c>
      <c r="BI101" s="2">
        <v>1673</v>
      </c>
      <c r="BJ101" s="2">
        <v>1673</v>
      </c>
      <c r="BK101" s="2">
        <v>1673</v>
      </c>
      <c r="BL101" s="2">
        <v>1673</v>
      </c>
      <c r="BM101" s="2">
        <v>1673</v>
      </c>
      <c r="BN101" s="2">
        <v>1673</v>
      </c>
      <c r="BO101" s="2">
        <v>1673</v>
      </c>
      <c r="BP101" s="2">
        <v>1673</v>
      </c>
      <c r="BQ101" s="2">
        <v>1673</v>
      </c>
      <c r="BR101" s="2">
        <v>1673</v>
      </c>
      <c r="BS101" s="2">
        <v>1673</v>
      </c>
      <c r="BT101" s="2">
        <v>1673</v>
      </c>
      <c r="BU101" s="2">
        <v>1673</v>
      </c>
      <c r="BV101" s="2">
        <v>1673</v>
      </c>
      <c r="BW101" s="2">
        <v>1673</v>
      </c>
      <c r="BX101" s="2">
        <v>1673</v>
      </c>
      <c r="BY101" s="2">
        <v>1673</v>
      </c>
      <c r="BZ101" s="2">
        <v>1673</v>
      </c>
      <c r="CA101" s="2">
        <v>1673</v>
      </c>
      <c r="CB101" s="2">
        <v>1673</v>
      </c>
      <c r="CC101" s="2">
        <v>22</v>
      </c>
    </row>
    <row r="102" spans="1:81" s="2" customFormat="1" x14ac:dyDescent="0.35">
      <c r="A102" s="2" t="s">
        <v>582</v>
      </c>
      <c r="B102" s="2">
        <v>1762</v>
      </c>
      <c r="C102" s="2">
        <v>1752</v>
      </c>
      <c r="D102" s="2">
        <v>1768</v>
      </c>
      <c r="E102" s="2">
        <v>1753</v>
      </c>
      <c r="F102" s="2">
        <v>1741</v>
      </c>
      <c r="G102" s="2">
        <v>1724</v>
      </c>
      <c r="H102" s="2">
        <v>1704</v>
      </c>
      <c r="I102" s="2">
        <v>1694</v>
      </c>
      <c r="J102" s="2">
        <v>1694</v>
      </c>
      <c r="K102" s="2">
        <v>1694</v>
      </c>
      <c r="L102" s="2">
        <v>1682</v>
      </c>
      <c r="M102" s="2">
        <v>1682</v>
      </c>
      <c r="N102" s="2">
        <v>1682</v>
      </c>
      <c r="O102" s="2">
        <v>1682</v>
      </c>
      <c r="P102" s="2">
        <v>1682</v>
      </c>
      <c r="Q102" s="2">
        <v>1696</v>
      </c>
      <c r="R102" s="2">
        <v>1696</v>
      </c>
      <c r="S102" s="2">
        <v>1696</v>
      </c>
      <c r="T102" s="2">
        <v>1696</v>
      </c>
      <c r="U102" s="2">
        <v>1685</v>
      </c>
      <c r="V102" s="2">
        <v>1685</v>
      </c>
      <c r="W102" s="2">
        <v>1685</v>
      </c>
      <c r="X102" s="2">
        <v>1685</v>
      </c>
      <c r="Y102" s="2">
        <v>1685</v>
      </c>
      <c r="Z102" s="2">
        <v>1675</v>
      </c>
      <c r="AA102" s="2">
        <v>1675</v>
      </c>
      <c r="AB102" s="2">
        <v>1675</v>
      </c>
      <c r="AC102" s="2">
        <v>1675</v>
      </c>
      <c r="AD102" s="2">
        <v>1675</v>
      </c>
      <c r="AE102" s="2">
        <v>1692</v>
      </c>
      <c r="AF102" s="2">
        <v>1692</v>
      </c>
      <c r="AG102" s="2">
        <v>1692</v>
      </c>
      <c r="AH102" s="2">
        <v>1692</v>
      </c>
      <c r="AI102" s="2">
        <v>1692</v>
      </c>
      <c r="AJ102" s="2">
        <v>1681</v>
      </c>
      <c r="AK102" s="2">
        <v>1681</v>
      </c>
      <c r="AL102" s="2">
        <v>1681</v>
      </c>
      <c r="AM102" s="2">
        <v>1681</v>
      </c>
      <c r="AN102" s="2">
        <v>1681</v>
      </c>
      <c r="AO102" s="2">
        <v>1674</v>
      </c>
      <c r="AP102" s="2">
        <v>1674</v>
      </c>
      <c r="AQ102" s="2">
        <v>1674</v>
      </c>
      <c r="AR102" s="2">
        <v>1674</v>
      </c>
      <c r="AS102" s="2">
        <v>1674</v>
      </c>
      <c r="AT102" s="2">
        <v>1671</v>
      </c>
      <c r="AU102" s="2">
        <v>1671</v>
      </c>
      <c r="AV102" s="2">
        <v>1671</v>
      </c>
      <c r="AW102" s="2">
        <v>1671</v>
      </c>
      <c r="AX102" s="2">
        <v>1671</v>
      </c>
      <c r="AY102" s="2">
        <v>1671</v>
      </c>
      <c r="AZ102" s="2">
        <v>1671</v>
      </c>
      <c r="BA102" s="2">
        <v>1671</v>
      </c>
      <c r="BB102" s="2">
        <v>1671</v>
      </c>
      <c r="BC102" s="2">
        <v>1671</v>
      </c>
      <c r="BD102" s="2">
        <v>1671</v>
      </c>
      <c r="BE102" s="2">
        <v>1671</v>
      </c>
      <c r="BF102" s="2">
        <v>1671</v>
      </c>
      <c r="BG102" s="2">
        <v>1671</v>
      </c>
      <c r="BH102" s="2">
        <v>1671</v>
      </c>
      <c r="BI102" s="2">
        <v>1671</v>
      </c>
      <c r="BJ102" s="2">
        <v>1671</v>
      </c>
      <c r="BK102" s="2">
        <v>1671</v>
      </c>
      <c r="BL102" s="2">
        <v>1671</v>
      </c>
      <c r="BM102" s="2">
        <v>1671</v>
      </c>
      <c r="BN102" s="2">
        <v>1671</v>
      </c>
      <c r="BO102" s="2">
        <v>1671</v>
      </c>
      <c r="BP102" s="2">
        <v>1671</v>
      </c>
      <c r="BQ102" s="2">
        <v>1671</v>
      </c>
      <c r="BR102" s="2">
        <v>1671</v>
      </c>
      <c r="BS102" s="2">
        <v>1671</v>
      </c>
      <c r="BT102" s="2">
        <v>1671</v>
      </c>
      <c r="BU102" s="2">
        <v>1671</v>
      </c>
      <c r="BV102" s="2">
        <v>1671</v>
      </c>
      <c r="BW102" s="2">
        <v>1671</v>
      </c>
      <c r="BX102" s="2">
        <v>1671</v>
      </c>
      <c r="BY102" s="2">
        <v>1671</v>
      </c>
      <c r="BZ102" s="2">
        <v>1671</v>
      </c>
      <c r="CA102" s="2">
        <v>1671</v>
      </c>
      <c r="CB102" s="2">
        <v>1671</v>
      </c>
      <c r="CC102" s="2">
        <v>41</v>
      </c>
    </row>
    <row r="103" spans="1:81" s="2" customFormat="1" x14ac:dyDescent="0.35">
      <c r="A103" s="2" t="s">
        <v>1164</v>
      </c>
      <c r="B103" s="2">
        <v>1848</v>
      </c>
      <c r="C103" s="2">
        <v>1830</v>
      </c>
      <c r="D103" s="2">
        <v>1843</v>
      </c>
      <c r="E103" s="2">
        <v>1851</v>
      </c>
      <c r="F103" s="2">
        <v>1832</v>
      </c>
      <c r="G103" s="2">
        <v>1832</v>
      </c>
      <c r="H103" s="2">
        <v>1832</v>
      </c>
      <c r="I103" s="2">
        <v>1816</v>
      </c>
      <c r="J103" s="2">
        <v>1816</v>
      </c>
      <c r="K103" s="2">
        <v>1799</v>
      </c>
      <c r="L103" s="2">
        <v>1785</v>
      </c>
      <c r="M103" s="2">
        <v>1785</v>
      </c>
      <c r="N103" s="2">
        <v>1785</v>
      </c>
      <c r="O103" s="2">
        <v>1779</v>
      </c>
      <c r="P103" s="2">
        <v>1773</v>
      </c>
      <c r="Q103" s="2">
        <v>1762</v>
      </c>
      <c r="R103" s="2">
        <v>1740</v>
      </c>
      <c r="S103" s="2">
        <v>1728</v>
      </c>
      <c r="T103" s="2">
        <v>1728</v>
      </c>
      <c r="U103" s="2">
        <v>1715</v>
      </c>
      <c r="V103" s="2">
        <v>1705</v>
      </c>
      <c r="W103" s="2">
        <v>1696</v>
      </c>
      <c r="X103" s="2">
        <v>1696</v>
      </c>
      <c r="Y103" s="2">
        <v>1696</v>
      </c>
      <c r="Z103" s="2">
        <v>1691</v>
      </c>
      <c r="AA103" s="2">
        <v>1683</v>
      </c>
      <c r="AB103" s="2">
        <v>1676</v>
      </c>
      <c r="AC103" s="2">
        <v>1676</v>
      </c>
      <c r="AD103" s="2">
        <v>1676</v>
      </c>
      <c r="AE103" s="2">
        <v>1667</v>
      </c>
      <c r="AF103" s="2">
        <v>1667</v>
      </c>
      <c r="AG103" s="2">
        <v>1667</v>
      </c>
      <c r="AH103" s="2">
        <v>1667</v>
      </c>
      <c r="AI103" s="2">
        <v>1667</v>
      </c>
      <c r="AJ103" s="2">
        <v>1662</v>
      </c>
      <c r="AK103" s="2">
        <v>1662</v>
      </c>
      <c r="AL103" s="2">
        <v>1662</v>
      </c>
      <c r="AM103" s="2">
        <v>1662</v>
      </c>
      <c r="AN103" s="2">
        <v>1662</v>
      </c>
      <c r="AO103" s="2">
        <v>1682</v>
      </c>
      <c r="AP103" s="2">
        <v>1682</v>
      </c>
      <c r="AQ103" s="2">
        <v>1682</v>
      </c>
      <c r="AR103" s="2">
        <v>1682</v>
      </c>
      <c r="AS103" s="2">
        <v>1682</v>
      </c>
      <c r="AT103" s="2">
        <v>1669</v>
      </c>
      <c r="AU103" s="2">
        <v>1669</v>
      </c>
      <c r="AV103" s="2">
        <v>1669</v>
      </c>
      <c r="AW103" s="2">
        <v>1669</v>
      </c>
      <c r="AX103" s="2">
        <v>1669</v>
      </c>
      <c r="AY103" s="2">
        <v>1669</v>
      </c>
      <c r="AZ103" s="2">
        <v>1669</v>
      </c>
      <c r="BA103" s="2">
        <v>1669</v>
      </c>
      <c r="BB103" s="2">
        <v>1669</v>
      </c>
      <c r="BC103" s="2">
        <v>1669</v>
      </c>
      <c r="BD103" s="2">
        <v>1669</v>
      </c>
      <c r="BE103" s="2">
        <v>1669</v>
      </c>
      <c r="BF103" s="2">
        <v>1669</v>
      </c>
      <c r="BG103" s="2">
        <v>1669</v>
      </c>
      <c r="BH103" s="2">
        <v>1669</v>
      </c>
      <c r="BI103" s="2">
        <v>1669</v>
      </c>
      <c r="BJ103" s="2">
        <v>1669</v>
      </c>
      <c r="BK103" s="2">
        <v>1669</v>
      </c>
      <c r="BL103" s="2">
        <v>1669</v>
      </c>
      <c r="BM103" s="2">
        <v>1669</v>
      </c>
      <c r="BN103" s="2">
        <v>1669</v>
      </c>
      <c r="BO103" s="2">
        <v>1669</v>
      </c>
      <c r="BP103" s="2">
        <v>1669</v>
      </c>
      <c r="BQ103" s="2">
        <v>1669</v>
      </c>
      <c r="BR103" s="2">
        <v>1669</v>
      </c>
      <c r="BS103" s="2">
        <v>1669</v>
      </c>
      <c r="BT103" s="2">
        <v>1669</v>
      </c>
      <c r="BU103" s="2">
        <v>1669</v>
      </c>
      <c r="BV103" s="2">
        <v>1669</v>
      </c>
      <c r="BW103" s="2">
        <v>1669</v>
      </c>
      <c r="BX103" s="2">
        <v>1669</v>
      </c>
      <c r="BY103" s="2">
        <v>1669</v>
      </c>
      <c r="BZ103" s="2">
        <v>1669</v>
      </c>
      <c r="CA103" s="2">
        <v>1669</v>
      </c>
      <c r="CB103" s="2">
        <v>1669</v>
      </c>
      <c r="CC103" s="2">
        <v>91</v>
      </c>
    </row>
    <row r="104" spans="1:81" s="2" customFormat="1" x14ac:dyDescent="0.35">
      <c r="A104" s="2" t="s">
        <v>720</v>
      </c>
      <c r="B104" s="2">
        <v>1851</v>
      </c>
      <c r="C104" s="2">
        <v>1839</v>
      </c>
      <c r="D104" s="2">
        <v>1824</v>
      </c>
      <c r="E104" s="2">
        <v>1811</v>
      </c>
      <c r="F104" s="2">
        <v>1799</v>
      </c>
      <c r="G104" s="2">
        <v>1799</v>
      </c>
      <c r="H104" s="2">
        <v>1799</v>
      </c>
      <c r="I104" s="2">
        <v>1788</v>
      </c>
      <c r="J104" s="2">
        <v>1788</v>
      </c>
      <c r="K104" s="2">
        <v>1788</v>
      </c>
      <c r="L104" s="2">
        <v>1771</v>
      </c>
      <c r="M104" s="2">
        <v>1771</v>
      </c>
      <c r="N104" s="2">
        <v>1771</v>
      </c>
      <c r="O104" s="2">
        <v>1755</v>
      </c>
      <c r="P104" s="2">
        <v>1738</v>
      </c>
      <c r="Q104" s="2">
        <v>1723</v>
      </c>
      <c r="R104" s="2">
        <v>1705</v>
      </c>
      <c r="S104" s="2">
        <v>1723</v>
      </c>
      <c r="T104" s="2">
        <v>1705</v>
      </c>
      <c r="U104" s="2">
        <v>1692</v>
      </c>
      <c r="V104" s="2">
        <v>1692</v>
      </c>
      <c r="W104" s="2">
        <v>1692</v>
      </c>
      <c r="X104" s="2">
        <v>1692</v>
      </c>
      <c r="Y104" s="2">
        <v>1692</v>
      </c>
      <c r="Z104" s="2">
        <v>1684</v>
      </c>
      <c r="AA104" s="2">
        <v>1676</v>
      </c>
      <c r="AB104" s="2">
        <v>1666</v>
      </c>
      <c r="AC104" s="2">
        <v>1666</v>
      </c>
      <c r="AD104" s="2">
        <v>1666</v>
      </c>
      <c r="AE104" s="2">
        <v>1660</v>
      </c>
      <c r="AF104" s="2">
        <v>1649</v>
      </c>
      <c r="AG104" s="2">
        <v>1670</v>
      </c>
      <c r="AH104" s="2">
        <v>1670</v>
      </c>
      <c r="AI104" s="2">
        <v>1670</v>
      </c>
      <c r="AJ104" s="2">
        <v>1665</v>
      </c>
      <c r="AK104" s="2">
        <v>1665</v>
      </c>
      <c r="AL104" s="2">
        <v>1665</v>
      </c>
      <c r="AM104" s="2">
        <v>1665</v>
      </c>
      <c r="AN104" s="2">
        <v>1665</v>
      </c>
      <c r="AO104" s="2">
        <v>1653</v>
      </c>
      <c r="AP104" s="2">
        <v>1653</v>
      </c>
      <c r="AQ104" s="2">
        <v>1653</v>
      </c>
      <c r="AR104" s="2">
        <v>1653</v>
      </c>
      <c r="AS104" s="2">
        <v>1653</v>
      </c>
      <c r="AT104" s="2">
        <v>1668</v>
      </c>
      <c r="AU104" s="2">
        <v>1668</v>
      </c>
      <c r="AV104" s="2">
        <v>1668</v>
      </c>
      <c r="AW104" s="2">
        <v>1668</v>
      </c>
      <c r="AX104" s="2">
        <v>1668</v>
      </c>
      <c r="AY104" s="2">
        <v>1668</v>
      </c>
      <c r="AZ104" s="2">
        <v>1668</v>
      </c>
      <c r="BA104" s="2">
        <v>1668</v>
      </c>
      <c r="BB104" s="2">
        <v>1668</v>
      </c>
      <c r="BC104" s="2">
        <v>1668</v>
      </c>
      <c r="BD104" s="2">
        <v>1668</v>
      </c>
      <c r="BE104" s="2">
        <v>1668</v>
      </c>
      <c r="BF104" s="2">
        <v>1668</v>
      </c>
      <c r="BG104" s="2">
        <v>1668</v>
      </c>
      <c r="BH104" s="2">
        <v>1668</v>
      </c>
      <c r="BI104" s="2">
        <v>1668</v>
      </c>
      <c r="BJ104" s="2">
        <v>1668</v>
      </c>
      <c r="BK104" s="2">
        <v>1668</v>
      </c>
      <c r="BL104" s="2">
        <v>1668</v>
      </c>
      <c r="BM104" s="2">
        <v>1668</v>
      </c>
      <c r="BN104" s="2">
        <v>1668</v>
      </c>
      <c r="BO104" s="2">
        <v>1668</v>
      </c>
      <c r="BP104" s="2">
        <v>1668</v>
      </c>
      <c r="BQ104" s="2">
        <v>1668</v>
      </c>
      <c r="BR104" s="2">
        <v>1668</v>
      </c>
      <c r="BS104" s="2">
        <v>1668</v>
      </c>
      <c r="BT104" s="2">
        <v>1668</v>
      </c>
      <c r="BU104" s="2">
        <v>1668</v>
      </c>
      <c r="BV104" s="2">
        <v>1668</v>
      </c>
      <c r="BW104" s="2">
        <v>1668</v>
      </c>
      <c r="BX104" s="2">
        <v>1668</v>
      </c>
      <c r="BY104" s="2">
        <v>1668</v>
      </c>
      <c r="BZ104" s="2">
        <v>1668</v>
      </c>
      <c r="CA104" s="2">
        <v>1668</v>
      </c>
      <c r="CB104" s="2">
        <v>1668</v>
      </c>
      <c r="CC104" s="2">
        <v>79</v>
      </c>
    </row>
    <row r="105" spans="1:81" s="2" customFormat="1" x14ac:dyDescent="0.35">
      <c r="A105" s="2" t="s">
        <v>1158</v>
      </c>
      <c r="B105" s="2">
        <v>1852</v>
      </c>
      <c r="C105" s="2">
        <v>1837</v>
      </c>
      <c r="D105" s="2">
        <v>1818</v>
      </c>
      <c r="E105" s="2">
        <v>1803</v>
      </c>
      <c r="F105" s="2">
        <v>1813</v>
      </c>
      <c r="G105" s="2">
        <v>1813</v>
      </c>
      <c r="H105" s="2">
        <v>1813</v>
      </c>
      <c r="I105" s="2">
        <v>1823</v>
      </c>
      <c r="J105" s="2">
        <v>1804</v>
      </c>
      <c r="K105" s="2">
        <v>1783</v>
      </c>
      <c r="L105" s="2">
        <v>1770</v>
      </c>
      <c r="M105" s="2">
        <v>1770</v>
      </c>
      <c r="N105" s="2">
        <v>1770</v>
      </c>
      <c r="O105" s="2">
        <v>1792</v>
      </c>
      <c r="P105" s="2">
        <v>1778</v>
      </c>
      <c r="Q105" s="2">
        <v>1769</v>
      </c>
      <c r="R105" s="2">
        <v>1769</v>
      </c>
      <c r="S105" s="2">
        <v>1769</v>
      </c>
      <c r="T105" s="2">
        <v>1769</v>
      </c>
      <c r="U105" s="2">
        <v>1753</v>
      </c>
      <c r="V105" s="2">
        <v>1753</v>
      </c>
      <c r="W105" s="2">
        <v>1753</v>
      </c>
      <c r="X105" s="2">
        <v>1743</v>
      </c>
      <c r="Y105" s="2">
        <v>1732</v>
      </c>
      <c r="Z105" s="2">
        <v>1719</v>
      </c>
      <c r="AA105" s="2">
        <v>1719</v>
      </c>
      <c r="AB105" s="2">
        <v>1719</v>
      </c>
      <c r="AC105" s="2">
        <v>1719</v>
      </c>
      <c r="AD105" s="2">
        <v>1719</v>
      </c>
      <c r="AE105" s="2">
        <v>1735</v>
      </c>
      <c r="AF105" s="2">
        <v>1735</v>
      </c>
      <c r="AG105" s="2">
        <v>1735</v>
      </c>
      <c r="AH105" s="2">
        <v>1721</v>
      </c>
      <c r="AI105" s="2">
        <v>1706</v>
      </c>
      <c r="AJ105" s="2">
        <v>1698</v>
      </c>
      <c r="AK105" s="2">
        <v>1698</v>
      </c>
      <c r="AL105" s="2">
        <v>1698</v>
      </c>
      <c r="AM105" s="2">
        <v>1698</v>
      </c>
      <c r="AN105" s="2">
        <v>1698</v>
      </c>
      <c r="AO105" s="2">
        <v>1678</v>
      </c>
      <c r="AP105" s="2">
        <v>1678</v>
      </c>
      <c r="AQ105" s="2">
        <v>1678</v>
      </c>
      <c r="AR105" s="2">
        <v>1678</v>
      </c>
      <c r="AS105" s="2">
        <v>1678</v>
      </c>
      <c r="AT105" s="2">
        <v>1667</v>
      </c>
      <c r="AU105" s="2">
        <v>1667</v>
      </c>
      <c r="AV105" s="2">
        <v>1667</v>
      </c>
      <c r="AW105" s="2">
        <v>1667</v>
      </c>
      <c r="AX105" s="2">
        <v>1667</v>
      </c>
      <c r="AY105" s="2">
        <v>1667</v>
      </c>
      <c r="AZ105" s="2">
        <v>1667</v>
      </c>
      <c r="BA105" s="2">
        <v>1667</v>
      </c>
      <c r="BB105" s="2">
        <v>1667</v>
      </c>
      <c r="BC105" s="2">
        <v>1667</v>
      </c>
      <c r="BD105" s="2">
        <v>1667</v>
      </c>
      <c r="BE105" s="2">
        <v>1667</v>
      </c>
      <c r="BF105" s="2">
        <v>1667</v>
      </c>
      <c r="BG105" s="2">
        <v>1667</v>
      </c>
      <c r="BH105" s="2">
        <v>1667</v>
      </c>
      <c r="BI105" s="2">
        <v>1667</v>
      </c>
      <c r="BJ105" s="2">
        <v>1667</v>
      </c>
      <c r="BK105" s="2">
        <v>1667</v>
      </c>
      <c r="BL105" s="2">
        <v>1667</v>
      </c>
      <c r="BM105" s="2">
        <v>1667</v>
      </c>
      <c r="BN105" s="2">
        <v>1667</v>
      </c>
      <c r="BO105" s="2">
        <v>1667</v>
      </c>
      <c r="BP105" s="2">
        <v>1667</v>
      </c>
      <c r="BQ105" s="2">
        <v>1667</v>
      </c>
      <c r="BR105" s="2">
        <v>1667</v>
      </c>
      <c r="BS105" s="2">
        <v>1667</v>
      </c>
      <c r="BT105" s="2">
        <v>1667</v>
      </c>
      <c r="BU105" s="2">
        <v>1667</v>
      </c>
      <c r="BV105" s="2">
        <v>1667</v>
      </c>
      <c r="BW105" s="2">
        <v>1667</v>
      </c>
      <c r="BX105" s="2">
        <v>1667</v>
      </c>
      <c r="BY105" s="2">
        <v>1667</v>
      </c>
      <c r="BZ105" s="2">
        <v>1667</v>
      </c>
      <c r="CA105" s="2">
        <v>1667</v>
      </c>
      <c r="CB105" s="2">
        <v>1667</v>
      </c>
      <c r="CC105" s="2">
        <v>85</v>
      </c>
    </row>
    <row r="106" spans="1:81" s="2" customFormat="1" x14ac:dyDescent="0.35">
      <c r="A106" s="2" t="s">
        <v>639</v>
      </c>
      <c r="B106" s="2">
        <v>1794</v>
      </c>
      <c r="C106" s="2">
        <v>1779</v>
      </c>
      <c r="D106" s="2">
        <v>1769</v>
      </c>
      <c r="E106" s="2">
        <v>1756</v>
      </c>
      <c r="F106" s="2">
        <v>1739</v>
      </c>
      <c r="G106" s="2">
        <v>1718</v>
      </c>
      <c r="H106" s="2">
        <v>1737</v>
      </c>
      <c r="I106" s="2">
        <v>1727</v>
      </c>
      <c r="J106" s="2">
        <v>1727</v>
      </c>
      <c r="K106" s="2">
        <v>1713</v>
      </c>
      <c r="L106" s="2">
        <v>1701</v>
      </c>
      <c r="M106" s="2">
        <v>1701</v>
      </c>
      <c r="N106" s="2">
        <v>1701</v>
      </c>
      <c r="O106" s="2">
        <v>1701</v>
      </c>
      <c r="P106" s="2">
        <v>1701</v>
      </c>
      <c r="Q106" s="2">
        <v>1690</v>
      </c>
      <c r="R106" s="2">
        <v>1690</v>
      </c>
      <c r="S106" s="2">
        <v>1690</v>
      </c>
      <c r="T106" s="2">
        <v>1690</v>
      </c>
      <c r="U106" s="2">
        <v>1680</v>
      </c>
      <c r="V106" s="2">
        <v>1680</v>
      </c>
      <c r="W106" s="2">
        <v>1680</v>
      </c>
      <c r="X106" s="2">
        <v>1680</v>
      </c>
      <c r="Y106" s="2">
        <v>1680</v>
      </c>
      <c r="Z106" s="2">
        <v>1675</v>
      </c>
      <c r="AA106" s="2">
        <v>1675</v>
      </c>
      <c r="AB106" s="2">
        <v>1675</v>
      </c>
      <c r="AC106" s="2">
        <v>1675</v>
      </c>
      <c r="AD106" s="2">
        <v>1675</v>
      </c>
      <c r="AE106" s="2">
        <v>1663</v>
      </c>
      <c r="AF106" s="2">
        <v>1663</v>
      </c>
      <c r="AG106" s="2">
        <v>1663</v>
      </c>
      <c r="AH106" s="2">
        <v>1663</v>
      </c>
      <c r="AI106" s="2">
        <v>1663</v>
      </c>
      <c r="AJ106" s="2">
        <v>1678</v>
      </c>
      <c r="AK106" s="2">
        <v>1678</v>
      </c>
      <c r="AL106" s="2">
        <v>1678</v>
      </c>
      <c r="AM106" s="2">
        <v>1678</v>
      </c>
      <c r="AN106" s="2">
        <v>1678</v>
      </c>
      <c r="AO106" s="2">
        <v>1668</v>
      </c>
      <c r="AP106" s="2">
        <v>1668</v>
      </c>
      <c r="AQ106" s="2">
        <v>1668</v>
      </c>
      <c r="AR106" s="2">
        <v>1668</v>
      </c>
      <c r="AS106" s="2">
        <v>1668</v>
      </c>
      <c r="AT106" s="2">
        <v>1655</v>
      </c>
      <c r="AU106" s="2">
        <v>1655</v>
      </c>
      <c r="AV106" s="2">
        <v>1655</v>
      </c>
      <c r="AW106" s="2">
        <v>1655</v>
      </c>
      <c r="AX106" s="2">
        <v>1655</v>
      </c>
      <c r="AY106" s="2">
        <v>1655</v>
      </c>
      <c r="AZ106" s="2">
        <v>1655</v>
      </c>
      <c r="BA106" s="2">
        <v>1655</v>
      </c>
      <c r="BB106" s="2">
        <v>1655</v>
      </c>
      <c r="BC106" s="2">
        <v>1655</v>
      </c>
      <c r="BD106" s="2">
        <v>1655</v>
      </c>
      <c r="BE106" s="2">
        <v>1655</v>
      </c>
      <c r="BF106" s="2">
        <v>1655</v>
      </c>
      <c r="BG106" s="2">
        <v>1655</v>
      </c>
      <c r="BH106" s="2">
        <v>1655</v>
      </c>
      <c r="BI106" s="2">
        <v>1655</v>
      </c>
      <c r="BJ106" s="2">
        <v>1655</v>
      </c>
      <c r="BK106" s="2">
        <v>1655</v>
      </c>
      <c r="BL106" s="2">
        <v>1655</v>
      </c>
      <c r="BM106" s="2">
        <v>1655</v>
      </c>
      <c r="BN106" s="2">
        <v>1655</v>
      </c>
      <c r="BO106" s="2">
        <v>1655</v>
      </c>
      <c r="BP106" s="2">
        <v>1655</v>
      </c>
      <c r="BQ106" s="2">
        <v>1655</v>
      </c>
      <c r="BR106" s="2">
        <v>1655</v>
      </c>
      <c r="BS106" s="2">
        <v>1655</v>
      </c>
      <c r="BT106" s="2">
        <v>1655</v>
      </c>
      <c r="BU106" s="2">
        <v>1655</v>
      </c>
      <c r="BV106" s="2">
        <v>1655</v>
      </c>
      <c r="BW106" s="2">
        <v>1655</v>
      </c>
      <c r="BX106" s="2">
        <v>1655</v>
      </c>
      <c r="BY106" s="2">
        <v>1655</v>
      </c>
      <c r="BZ106" s="2">
        <v>1655</v>
      </c>
      <c r="CA106" s="2">
        <v>1655</v>
      </c>
      <c r="CB106" s="2">
        <v>1655</v>
      </c>
      <c r="CC106" s="2">
        <v>111</v>
      </c>
    </row>
    <row r="107" spans="1:81" s="2" customFormat="1" x14ac:dyDescent="0.35">
      <c r="A107" s="2" t="s">
        <v>726</v>
      </c>
      <c r="B107" s="2">
        <v>1649</v>
      </c>
      <c r="C107" s="2">
        <v>1640</v>
      </c>
      <c r="D107" s="2">
        <v>1668</v>
      </c>
      <c r="E107" s="2">
        <v>1686</v>
      </c>
      <c r="F107" s="2">
        <v>1678</v>
      </c>
      <c r="G107" s="2">
        <v>1666</v>
      </c>
      <c r="H107" s="2">
        <v>1686</v>
      </c>
      <c r="I107" s="2">
        <v>1677</v>
      </c>
      <c r="J107" s="2">
        <v>1677</v>
      </c>
      <c r="K107" s="2">
        <v>1699</v>
      </c>
      <c r="L107" s="2">
        <v>1693</v>
      </c>
      <c r="M107" s="2">
        <v>1693</v>
      </c>
      <c r="N107" s="2">
        <v>1693</v>
      </c>
      <c r="O107" s="2">
        <v>1693</v>
      </c>
      <c r="P107" s="2">
        <v>1693</v>
      </c>
      <c r="Q107" s="2">
        <v>1682</v>
      </c>
      <c r="R107" s="2">
        <v>1682</v>
      </c>
      <c r="S107" s="2">
        <v>1682</v>
      </c>
      <c r="T107" s="2">
        <v>1717</v>
      </c>
      <c r="U107" s="2">
        <v>1710</v>
      </c>
      <c r="V107" s="2">
        <v>1710</v>
      </c>
      <c r="W107" s="2">
        <v>1710</v>
      </c>
      <c r="X107" s="2">
        <v>1710</v>
      </c>
      <c r="Y107" s="2">
        <v>1710</v>
      </c>
      <c r="Z107" s="2">
        <v>1697</v>
      </c>
      <c r="AA107" s="2">
        <v>1697</v>
      </c>
      <c r="AB107" s="2">
        <v>1697</v>
      </c>
      <c r="AC107" s="2">
        <v>1691</v>
      </c>
      <c r="AD107" s="2">
        <v>1684</v>
      </c>
      <c r="AE107" s="2">
        <v>1677</v>
      </c>
      <c r="AF107" s="2">
        <v>1677</v>
      </c>
      <c r="AG107" s="2">
        <v>1677</v>
      </c>
      <c r="AH107" s="2">
        <v>1677</v>
      </c>
      <c r="AI107" s="2">
        <v>1677</v>
      </c>
      <c r="AJ107" s="2">
        <v>1671</v>
      </c>
      <c r="AK107" s="2">
        <v>1671</v>
      </c>
      <c r="AL107" s="2">
        <v>1671</v>
      </c>
      <c r="AM107" s="2">
        <v>1671</v>
      </c>
      <c r="AN107" s="2">
        <v>1671</v>
      </c>
      <c r="AO107" s="2">
        <v>1661</v>
      </c>
      <c r="AP107" s="2">
        <v>1661</v>
      </c>
      <c r="AQ107" s="2">
        <v>1661</v>
      </c>
      <c r="AR107" s="2">
        <v>1661</v>
      </c>
      <c r="AS107" s="2">
        <v>1661</v>
      </c>
      <c r="AT107" s="2">
        <v>1653</v>
      </c>
      <c r="AU107" s="2">
        <v>1653</v>
      </c>
      <c r="AV107" s="2">
        <v>1653</v>
      </c>
      <c r="AW107" s="2">
        <v>1653</v>
      </c>
      <c r="AX107" s="2">
        <v>1653</v>
      </c>
      <c r="AY107" s="2">
        <v>1653</v>
      </c>
      <c r="AZ107" s="2">
        <v>1653</v>
      </c>
      <c r="BA107" s="2">
        <v>1653</v>
      </c>
      <c r="BB107" s="2">
        <v>1653</v>
      </c>
      <c r="BC107" s="2">
        <v>1653</v>
      </c>
      <c r="BD107" s="2">
        <v>1653</v>
      </c>
      <c r="BE107" s="2">
        <v>1653</v>
      </c>
      <c r="BF107" s="2">
        <v>1653</v>
      </c>
      <c r="BG107" s="2">
        <v>1653</v>
      </c>
      <c r="BH107" s="2">
        <v>1653</v>
      </c>
      <c r="BI107" s="2">
        <v>1653</v>
      </c>
      <c r="BJ107" s="2">
        <v>1653</v>
      </c>
      <c r="BK107" s="2">
        <v>1653</v>
      </c>
      <c r="BL107" s="2">
        <v>1653</v>
      </c>
      <c r="BM107" s="2">
        <v>1653</v>
      </c>
      <c r="BN107" s="2">
        <v>1653</v>
      </c>
      <c r="BO107" s="2">
        <v>1653</v>
      </c>
      <c r="BP107" s="2">
        <v>1653</v>
      </c>
      <c r="BQ107" s="2">
        <v>1653</v>
      </c>
      <c r="BR107" s="2">
        <v>1653</v>
      </c>
      <c r="BS107" s="2">
        <v>1653</v>
      </c>
      <c r="BT107" s="2">
        <v>1653</v>
      </c>
      <c r="BU107" s="2">
        <v>1653</v>
      </c>
      <c r="BV107" s="2">
        <v>1653</v>
      </c>
      <c r="BW107" s="2">
        <v>1653</v>
      </c>
      <c r="BX107" s="2">
        <v>1653</v>
      </c>
      <c r="BY107" s="2">
        <v>1653</v>
      </c>
      <c r="BZ107" s="2">
        <v>1653</v>
      </c>
      <c r="CA107" s="2">
        <v>1653</v>
      </c>
      <c r="CB107" s="2">
        <v>1653</v>
      </c>
      <c r="CC107" s="2">
        <v>75</v>
      </c>
    </row>
    <row r="108" spans="1:81" s="2" customFormat="1" x14ac:dyDescent="0.35">
      <c r="A108" t="s">
        <v>734</v>
      </c>
      <c r="B108" s="2">
        <v>1853</v>
      </c>
      <c r="C108" s="2">
        <v>1839</v>
      </c>
      <c r="D108" s="2">
        <v>1826</v>
      </c>
      <c r="E108" s="2">
        <v>1816</v>
      </c>
      <c r="F108" s="2">
        <v>1804</v>
      </c>
      <c r="G108" s="2">
        <v>1804</v>
      </c>
      <c r="H108" s="2">
        <v>1804</v>
      </c>
      <c r="I108" s="2">
        <v>1786</v>
      </c>
      <c r="J108" s="2">
        <v>1786</v>
      </c>
      <c r="K108" s="2">
        <v>1786</v>
      </c>
      <c r="L108" s="2">
        <v>1773</v>
      </c>
      <c r="M108" s="2">
        <v>1773</v>
      </c>
      <c r="N108" s="2">
        <v>1773</v>
      </c>
      <c r="O108" s="2">
        <v>1763</v>
      </c>
      <c r="P108" s="2">
        <v>1752</v>
      </c>
      <c r="Q108" s="2">
        <v>1734</v>
      </c>
      <c r="R108" s="2">
        <v>1725</v>
      </c>
      <c r="S108" s="2">
        <v>1717</v>
      </c>
      <c r="T108" s="2">
        <v>1702</v>
      </c>
      <c r="U108" s="2">
        <v>1716</v>
      </c>
      <c r="V108" s="2">
        <v>1706</v>
      </c>
      <c r="W108" s="2">
        <v>1699</v>
      </c>
      <c r="X108" s="2">
        <v>1699</v>
      </c>
      <c r="Y108" s="2">
        <v>1699</v>
      </c>
      <c r="Z108" s="2">
        <v>1711</v>
      </c>
      <c r="AA108" s="2">
        <v>1698</v>
      </c>
      <c r="AB108" s="2">
        <v>1685</v>
      </c>
      <c r="AC108" s="2">
        <v>1685</v>
      </c>
      <c r="AD108" s="2">
        <v>1685</v>
      </c>
      <c r="AE108" s="2">
        <v>1675</v>
      </c>
      <c r="AF108" s="2">
        <v>1675</v>
      </c>
      <c r="AG108" s="2">
        <v>1675</v>
      </c>
      <c r="AH108" s="2">
        <v>1675</v>
      </c>
      <c r="AI108" s="2">
        <v>1675</v>
      </c>
      <c r="AJ108" s="2">
        <v>1667</v>
      </c>
      <c r="AK108" s="2">
        <v>1667</v>
      </c>
      <c r="AL108" s="2">
        <v>1667</v>
      </c>
      <c r="AM108" s="2">
        <v>1667</v>
      </c>
      <c r="AN108" s="2">
        <v>1667</v>
      </c>
      <c r="AO108" s="2">
        <v>1655</v>
      </c>
      <c r="AP108" s="2">
        <v>1655</v>
      </c>
      <c r="AQ108" s="2">
        <v>1655</v>
      </c>
      <c r="AR108" s="2">
        <v>1655</v>
      </c>
      <c r="AS108" s="2">
        <v>1655</v>
      </c>
      <c r="AT108" s="2">
        <v>1651</v>
      </c>
      <c r="AU108" s="2">
        <v>1651</v>
      </c>
      <c r="AV108" s="2">
        <v>1651</v>
      </c>
      <c r="AW108" s="2">
        <v>1651</v>
      </c>
      <c r="AX108" s="2">
        <v>1651</v>
      </c>
      <c r="AY108" s="2">
        <v>1651</v>
      </c>
      <c r="AZ108" s="2">
        <v>1651</v>
      </c>
      <c r="BA108" s="2">
        <v>1651</v>
      </c>
      <c r="BB108" s="2">
        <v>1651</v>
      </c>
      <c r="BC108" s="2">
        <v>1651</v>
      </c>
      <c r="BD108" s="2">
        <v>1651</v>
      </c>
      <c r="BE108" s="2">
        <v>1651</v>
      </c>
      <c r="BF108" s="2">
        <v>1651</v>
      </c>
      <c r="BG108" s="2">
        <v>1651</v>
      </c>
      <c r="BH108" s="2">
        <v>1651</v>
      </c>
      <c r="BI108" s="2">
        <v>1651</v>
      </c>
      <c r="BJ108" s="2">
        <v>1651</v>
      </c>
      <c r="BK108" s="2">
        <v>1651</v>
      </c>
      <c r="BL108" s="2">
        <v>1651</v>
      </c>
      <c r="BM108" s="2">
        <v>1651</v>
      </c>
      <c r="BN108" s="2">
        <v>1651</v>
      </c>
      <c r="BO108" s="2">
        <v>1651</v>
      </c>
      <c r="BP108" s="2">
        <v>1651</v>
      </c>
      <c r="BQ108" s="2">
        <v>1651</v>
      </c>
      <c r="BR108" s="2">
        <v>1651</v>
      </c>
      <c r="BS108" s="2">
        <v>1651</v>
      </c>
      <c r="BT108" s="2">
        <v>1651</v>
      </c>
      <c r="BU108" s="2">
        <v>1651</v>
      </c>
      <c r="BV108" s="2">
        <v>1651</v>
      </c>
      <c r="BW108" s="2">
        <v>1651</v>
      </c>
      <c r="BX108" s="2">
        <v>1651</v>
      </c>
      <c r="BY108" s="2">
        <v>1651</v>
      </c>
      <c r="BZ108" s="2">
        <v>1651</v>
      </c>
      <c r="CA108" s="2">
        <v>1651</v>
      </c>
      <c r="CB108" s="2">
        <v>1651</v>
      </c>
      <c r="CC108" s="2">
        <v>24</v>
      </c>
    </row>
    <row r="109" spans="1:81" s="2" customFormat="1" x14ac:dyDescent="0.35">
      <c r="A109" s="2" t="s">
        <v>706</v>
      </c>
      <c r="B109" s="2">
        <v>1711</v>
      </c>
      <c r="C109" s="2">
        <v>1702</v>
      </c>
      <c r="D109" s="2">
        <v>1692</v>
      </c>
      <c r="E109" s="2">
        <v>1684</v>
      </c>
      <c r="F109" s="2">
        <v>1678</v>
      </c>
      <c r="G109" s="2">
        <v>1666</v>
      </c>
      <c r="H109" s="2">
        <v>1651</v>
      </c>
      <c r="I109" s="2">
        <v>1642</v>
      </c>
      <c r="J109" s="2">
        <v>1642</v>
      </c>
      <c r="K109" s="2">
        <v>1642</v>
      </c>
      <c r="L109" s="2">
        <v>1633</v>
      </c>
      <c r="M109" s="2">
        <v>1633</v>
      </c>
      <c r="N109" s="2">
        <v>1633</v>
      </c>
      <c r="O109" s="2">
        <v>1633</v>
      </c>
      <c r="P109" s="2">
        <v>1633</v>
      </c>
      <c r="Q109" s="2">
        <v>1627</v>
      </c>
      <c r="R109" s="2">
        <v>1627</v>
      </c>
      <c r="S109" s="2">
        <v>1627</v>
      </c>
      <c r="T109" s="2">
        <v>1627</v>
      </c>
      <c r="U109" s="2">
        <v>1612</v>
      </c>
      <c r="V109" s="2">
        <v>1612</v>
      </c>
      <c r="W109" s="2">
        <v>1612</v>
      </c>
      <c r="X109" s="2">
        <v>1612</v>
      </c>
      <c r="Y109" s="2">
        <v>1612</v>
      </c>
      <c r="Z109" s="2">
        <v>1629</v>
      </c>
      <c r="AA109" s="2">
        <v>1629</v>
      </c>
      <c r="AB109" s="2">
        <v>1629</v>
      </c>
      <c r="AC109" s="2">
        <v>1629</v>
      </c>
      <c r="AD109" s="2">
        <v>1629</v>
      </c>
      <c r="AE109" s="2">
        <v>1620</v>
      </c>
      <c r="AF109" s="2">
        <v>1620</v>
      </c>
      <c r="AG109" s="2">
        <v>1620</v>
      </c>
      <c r="AH109" s="2">
        <v>1620</v>
      </c>
      <c r="AI109" s="2">
        <v>1620</v>
      </c>
      <c r="AJ109" s="2">
        <v>1639</v>
      </c>
      <c r="AK109" s="2">
        <v>1639</v>
      </c>
      <c r="AL109" s="2">
        <v>1639</v>
      </c>
      <c r="AM109" s="2">
        <v>1639</v>
      </c>
      <c r="AN109" s="2">
        <v>1639</v>
      </c>
      <c r="AO109" s="2">
        <v>1656</v>
      </c>
      <c r="AP109" s="2">
        <v>1656</v>
      </c>
      <c r="AQ109" s="2">
        <v>1656</v>
      </c>
      <c r="AR109" s="2">
        <v>1656</v>
      </c>
      <c r="AS109" s="2">
        <v>1656</v>
      </c>
      <c r="AT109" s="2">
        <v>1644</v>
      </c>
      <c r="AU109" s="2">
        <v>1644</v>
      </c>
      <c r="AV109" s="2">
        <v>1644</v>
      </c>
      <c r="AW109" s="2">
        <v>1644</v>
      </c>
      <c r="AX109" s="2">
        <v>1644</v>
      </c>
      <c r="AY109" s="2">
        <v>1644</v>
      </c>
      <c r="AZ109" s="2">
        <v>1644</v>
      </c>
      <c r="BA109" s="2">
        <v>1644</v>
      </c>
      <c r="BB109" s="2">
        <v>1644</v>
      </c>
      <c r="BC109" s="2">
        <v>1644</v>
      </c>
      <c r="BD109" s="2">
        <v>1644</v>
      </c>
      <c r="BE109" s="2">
        <v>1644</v>
      </c>
      <c r="BF109" s="2">
        <v>1644</v>
      </c>
      <c r="BG109" s="2">
        <v>1644</v>
      </c>
      <c r="BH109" s="2">
        <v>1644</v>
      </c>
      <c r="BI109" s="2">
        <v>1644</v>
      </c>
      <c r="BJ109" s="2">
        <v>1644</v>
      </c>
      <c r="BK109" s="2">
        <v>1644</v>
      </c>
      <c r="BL109" s="2">
        <v>1644</v>
      </c>
      <c r="BM109" s="2">
        <v>1644</v>
      </c>
      <c r="BN109" s="2">
        <v>1644</v>
      </c>
      <c r="BO109" s="2">
        <v>1644</v>
      </c>
      <c r="BP109" s="2">
        <v>1644</v>
      </c>
      <c r="BQ109" s="2">
        <v>1644</v>
      </c>
      <c r="BR109" s="2">
        <v>1644</v>
      </c>
      <c r="BS109" s="2">
        <v>1644</v>
      </c>
      <c r="BT109" s="2">
        <v>1644</v>
      </c>
      <c r="BU109" s="2">
        <v>1644</v>
      </c>
      <c r="BV109" s="2">
        <v>1644</v>
      </c>
      <c r="BW109" s="2">
        <v>1644</v>
      </c>
      <c r="BX109" s="2">
        <v>1644</v>
      </c>
      <c r="BY109" s="2">
        <v>1644</v>
      </c>
      <c r="BZ109" s="2">
        <v>1644</v>
      </c>
      <c r="CA109" s="2">
        <v>1644</v>
      </c>
      <c r="CB109" s="2">
        <v>1644</v>
      </c>
      <c r="CC109" s="2">
        <v>2</v>
      </c>
    </row>
    <row r="110" spans="1:81" s="2" customFormat="1" x14ac:dyDescent="0.35">
      <c r="A110" s="2" t="s">
        <v>1156</v>
      </c>
      <c r="B110" s="2">
        <v>1717</v>
      </c>
      <c r="C110" s="2">
        <v>1709</v>
      </c>
      <c r="D110" s="2">
        <v>1697</v>
      </c>
      <c r="E110" s="2">
        <v>1687</v>
      </c>
      <c r="F110" s="2">
        <v>1706</v>
      </c>
      <c r="G110" s="2">
        <v>1688</v>
      </c>
      <c r="H110" s="2">
        <v>1707</v>
      </c>
      <c r="I110" s="2">
        <v>1695</v>
      </c>
      <c r="J110" s="2">
        <v>1695</v>
      </c>
      <c r="K110" s="2">
        <v>1679</v>
      </c>
      <c r="L110" s="2">
        <v>1692</v>
      </c>
      <c r="M110" s="2">
        <v>1692</v>
      </c>
      <c r="N110" s="2">
        <v>1692</v>
      </c>
      <c r="O110" s="2">
        <v>1692</v>
      </c>
      <c r="P110" s="2">
        <v>1692</v>
      </c>
      <c r="Q110" s="2">
        <v>1680</v>
      </c>
      <c r="R110" s="2">
        <v>1680</v>
      </c>
      <c r="S110" s="2">
        <v>1680</v>
      </c>
      <c r="T110" s="2">
        <v>1680</v>
      </c>
      <c r="U110" s="2">
        <v>1696</v>
      </c>
      <c r="V110" s="2">
        <v>1696</v>
      </c>
      <c r="W110" s="2">
        <v>1696</v>
      </c>
      <c r="X110" s="2">
        <v>1696</v>
      </c>
      <c r="Y110" s="2">
        <v>1696</v>
      </c>
      <c r="Z110" s="2">
        <v>1675</v>
      </c>
      <c r="AA110" s="2">
        <v>1675</v>
      </c>
      <c r="AB110" s="2">
        <v>1675</v>
      </c>
      <c r="AC110" s="2">
        <v>1675</v>
      </c>
      <c r="AD110" s="2">
        <v>1675</v>
      </c>
      <c r="AE110" s="2">
        <v>1664</v>
      </c>
      <c r="AF110" s="2">
        <v>1664</v>
      </c>
      <c r="AG110" s="2">
        <v>1664</v>
      </c>
      <c r="AH110" s="2">
        <v>1664</v>
      </c>
      <c r="AI110" s="2">
        <v>1664</v>
      </c>
      <c r="AJ110" s="2">
        <v>1652</v>
      </c>
      <c r="AK110" s="2">
        <v>1652</v>
      </c>
      <c r="AL110" s="2">
        <v>1652</v>
      </c>
      <c r="AM110" s="2">
        <v>1652</v>
      </c>
      <c r="AN110" s="2">
        <v>1652</v>
      </c>
      <c r="AO110" s="2">
        <v>1642</v>
      </c>
      <c r="AP110" s="2">
        <v>1642</v>
      </c>
      <c r="AQ110" s="2">
        <v>1642</v>
      </c>
      <c r="AR110" s="2">
        <v>1642</v>
      </c>
      <c r="AS110" s="2">
        <v>1642</v>
      </c>
      <c r="AT110" s="2">
        <v>1633</v>
      </c>
      <c r="AU110" s="2">
        <v>1633</v>
      </c>
      <c r="AV110" s="2">
        <v>1633</v>
      </c>
      <c r="AW110" s="2">
        <v>1633</v>
      </c>
      <c r="AX110" s="2">
        <v>1633</v>
      </c>
      <c r="AY110" s="2">
        <v>1633</v>
      </c>
      <c r="AZ110" s="2">
        <v>1633</v>
      </c>
      <c r="BA110" s="2">
        <v>1633</v>
      </c>
      <c r="BB110" s="2">
        <v>1633</v>
      </c>
      <c r="BC110" s="2">
        <v>1633</v>
      </c>
      <c r="BD110" s="2">
        <v>1633</v>
      </c>
      <c r="BE110" s="2">
        <v>1633</v>
      </c>
      <c r="BF110" s="2">
        <v>1633</v>
      </c>
      <c r="BG110" s="2">
        <v>1633</v>
      </c>
      <c r="BH110" s="2">
        <v>1633</v>
      </c>
      <c r="BI110" s="2">
        <v>1633</v>
      </c>
      <c r="BJ110" s="2">
        <v>1633</v>
      </c>
      <c r="BK110" s="2">
        <v>1633</v>
      </c>
      <c r="BL110" s="2">
        <v>1633</v>
      </c>
      <c r="BM110" s="2">
        <v>1633</v>
      </c>
      <c r="BN110" s="2">
        <v>1633</v>
      </c>
      <c r="BO110" s="2">
        <v>1633</v>
      </c>
      <c r="BP110" s="2">
        <v>1633</v>
      </c>
      <c r="BQ110" s="2">
        <v>1633</v>
      </c>
      <c r="BR110" s="2">
        <v>1633</v>
      </c>
      <c r="BS110" s="2">
        <v>1633</v>
      </c>
      <c r="BT110" s="2">
        <v>1633</v>
      </c>
      <c r="BU110" s="2">
        <v>1633</v>
      </c>
      <c r="BV110" s="2">
        <v>1633</v>
      </c>
      <c r="BW110" s="2">
        <v>1633</v>
      </c>
      <c r="BX110" s="2">
        <v>1633</v>
      </c>
      <c r="BY110" s="2">
        <v>1633</v>
      </c>
      <c r="BZ110" s="2">
        <v>1633</v>
      </c>
      <c r="CA110" s="2">
        <v>1633</v>
      </c>
      <c r="CB110" s="2">
        <v>1633</v>
      </c>
      <c r="CC110" s="2">
        <v>84</v>
      </c>
    </row>
    <row r="111" spans="1:81" s="2" customFormat="1" x14ac:dyDescent="0.35">
      <c r="A111" t="s">
        <v>737</v>
      </c>
      <c r="B111" s="2">
        <v>1745</v>
      </c>
      <c r="C111" s="2">
        <v>1733</v>
      </c>
      <c r="D111" s="2">
        <v>1719</v>
      </c>
      <c r="E111" s="2">
        <v>1706</v>
      </c>
      <c r="F111" s="2">
        <v>1694</v>
      </c>
      <c r="G111" s="2">
        <v>1714</v>
      </c>
      <c r="H111" s="2">
        <v>1695</v>
      </c>
      <c r="I111" s="2">
        <v>1686</v>
      </c>
      <c r="J111" s="2">
        <v>1672</v>
      </c>
      <c r="K111" s="2">
        <v>1672</v>
      </c>
      <c r="L111" s="2">
        <v>1661</v>
      </c>
      <c r="M111" s="2">
        <v>1661</v>
      </c>
      <c r="N111" s="2">
        <v>1661</v>
      </c>
      <c r="O111" s="2">
        <v>1661</v>
      </c>
      <c r="P111" s="2">
        <v>1661</v>
      </c>
      <c r="Q111" s="2">
        <v>1653</v>
      </c>
      <c r="R111" s="2">
        <v>1653</v>
      </c>
      <c r="S111" s="2">
        <v>1653</v>
      </c>
      <c r="T111" s="2">
        <v>1653</v>
      </c>
      <c r="U111" s="2">
        <v>1634</v>
      </c>
      <c r="V111" s="2">
        <v>1634</v>
      </c>
      <c r="W111" s="2">
        <v>1634</v>
      </c>
      <c r="X111" s="2">
        <v>1634</v>
      </c>
      <c r="Y111" s="2">
        <v>1634</v>
      </c>
      <c r="Z111" s="2">
        <v>1655</v>
      </c>
      <c r="AA111" s="2">
        <v>1655</v>
      </c>
      <c r="AB111" s="2">
        <v>1655</v>
      </c>
      <c r="AC111" s="2">
        <v>1655</v>
      </c>
      <c r="AD111" s="2">
        <v>1655</v>
      </c>
      <c r="AE111" s="2">
        <v>1638</v>
      </c>
      <c r="AF111" s="2">
        <v>1638</v>
      </c>
      <c r="AG111" s="2">
        <v>1638</v>
      </c>
      <c r="AH111" s="2">
        <v>1638</v>
      </c>
      <c r="AI111" s="2">
        <v>1638</v>
      </c>
      <c r="AJ111" s="2">
        <v>1653</v>
      </c>
      <c r="AK111" s="2">
        <v>1653</v>
      </c>
      <c r="AL111" s="2">
        <v>1653</v>
      </c>
      <c r="AM111" s="2">
        <v>1653</v>
      </c>
      <c r="AN111" s="2">
        <v>1653</v>
      </c>
      <c r="AO111" s="2">
        <v>1647</v>
      </c>
      <c r="AP111" s="2">
        <v>1647</v>
      </c>
      <c r="AQ111" s="2">
        <v>1647</v>
      </c>
      <c r="AR111" s="2">
        <v>1647</v>
      </c>
      <c r="AS111" s="2">
        <v>1647</v>
      </c>
      <c r="AT111" s="2">
        <v>1629</v>
      </c>
      <c r="AU111" s="2">
        <v>1629</v>
      </c>
      <c r="AV111" s="2">
        <v>1629</v>
      </c>
      <c r="AW111" s="2">
        <v>1629</v>
      </c>
      <c r="AX111" s="2">
        <v>1629</v>
      </c>
      <c r="AY111" s="2">
        <v>1629</v>
      </c>
      <c r="AZ111" s="2">
        <v>1629</v>
      </c>
      <c r="BA111" s="2">
        <v>1629</v>
      </c>
      <c r="BB111" s="2">
        <v>1629</v>
      </c>
      <c r="BC111" s="2">
        <v>1629</v>
      </c>
      <c r="BD111" s="2">
        <v>1629</v>
      </c>
      <c r="BE111" s="2">
        <v>1629</v>
      </c>
      <c r="BF111" s="2">
        <v>1629</v>
      </c>
      <c r="BG111" s="2">
        <v>1629</v>
      </c>
      <c r="BH111" s="2">
        <v>1629</v>
      </c>
      <c r="BI111" s="2">
        <v>1629</v>
      </c>
      <c r="BJ111" s="2">
        <v>1629</v>
      </c>
      <c r="BK111" s="2">
        <v>1629</v>
      </c>
      <c r="BL111" s="2">
        <v>1629</v>
      </c>
      <c r="BM111" s="2">
        <v>1629</v>
      </c>
      <c r="BN111" s="2">
        <v>1629</v>
      </c>
      <c r="BO111" s="2">
        <v>1629</v>
      </c>
      <c r="BP111" s="2">
        <v>1629</v>
      </c>
      <c r="BQ111" s="2">
        <v>1629</v>
      </c>
      <c r="BR111" s="2">
        <v>1629</v>
      </c>
      <c r="BS111" s="2">
        <v>1629</v>
      </c>
      <c r="BT111" s="2">
        <v>1629</v>
      </c>
      <c r="BU111" s="2">
        <v>1629</v>
      </c>
      <c r="BV111" s="2">
        <v>1629</v>
      </c>
      <c r="BW111" s="2">
        <v>1629</v>
      </c>
      <c r="BX111" s="2">
        <v>1629</v>
      </c>
      <c r="BY111" s="2">
        <v>1629</v>
      </c>
      <c r="BZ111" s="2">
        <v>1629</v>
      </c>
      <c r="CA111" s="2">
        <v>1629</v>
      </c>
      <c r="CB111" s="2">
        <v>1629</v>
      </c>
      <c r="CC111" s="2">
        <v>33</v>
      </c>
    </row>
    <row r="112" spans="1:81" s="2" customFormat="1" x14ac:dyDescent="0.35">
      <c r="A112" t="s">
        <v>723</v>
      </c>
      <c r="B112" s="2">
        <v>1676</v>
      </c>
      <c r="C112" s="2">
        <v>1667</v>
      </c>
      <c r="D112" s="2">
        <v>1684</v>
      </c>
      <c r="E112" s="2">
        <v>1673</v>
      </c>
      <c r="F112" s="2">
        <v>1689</v>
      </c>
      <c r="G112" s="2">
        <v>1689</v>
      </c>
      <c r="H112" s="2">
        <v>1676</v>
      </c>
      <c r="I112" s="2">
        <v>1669</v>
      </c>
      <c r="J112" s="2">
        <v>1658</v>
      </c>
      <c r="K112" s="2">
        <v>1658</v>
      </c>
      <c r="L112" s="2">
        <v>1652</v>
      </c>
      <c r="M112" s="2">
        <v>1652</v>
      </c>
      <c r="N112" s="2">
        <v>1652</v>
      </c>
      <c r="O112" s="2">
        <v>1652</v>
      </c>
      <c r="P112" s="2">
        <v>1652</v>
      </c>
      <c r="Q112" s="2">
        <v>1670</v>
      </c>
      <c r="R112" s="2">
        <v>1670</v>
      </c>
      <c r="S112" s="2">
        <v>1670</v>
      </c>
      <c r="T112" s="2">
        <v>1670</v>
      </c>
      <c r="U112" s="2">
        <v>1663</v>
      </c>
      <c r="V112" s="2">
        <v>1663</v>
      </c>
      <c r="W112" s="2">
        <v>1663</v>
      </c>
      <c r="X112" s="2">
        <v>1663</v>
      </c>
      <c r="Y112" s="2">
        <v>1663</v>
      </c>
      <c r="Z112" s="2">
        <v>1652</v>
      </c>
      <c r="AA112" s="2">
        <v>1652</v>
      </c>
      <c r="AB112" s="2">
        <v>1652</v>
      </c>
      <c r="AC112" s="2">
        <v>1652</v>
      </c>
      <c r="AD112" s="2">
        <v>1652</v>
      </c>
      <c r="AE112" s="2">
        <v>1646</v>
      </c>
      <c r="AF112" s="2">
        <v>1646</v>
      </c>
      <c r="AG112" s="2">
        <v>1646</v>
      </c>
      <c r="AH112" s="2">
        <v>1646</v>
      </c>
      <c r="AI112" s="2">
        <v>1646</v>
      </c>
      <c r="AJ112" s="2">
        <v>1637</v>
      </c>
      <c r="AK112" s="2">
        <v>1637</v>
      </c>
      <c r="AL112" s="2">
        <v>1637</v>
      </c>
      <c r="AM112" s="2">
        <v>1637</v>
      </c>
      <c r="AN112" s="2">
        <v>1637</v>
      </c>
      <c r="AO112" s="2">
        <v>1631</v>
      </c>
      <c r="AP112" s="2">
        <v>1631</v>
      </c>
      <c r="AQ112" s="2">
        <v>1631</v>
      </c>
      <c r="AR112" s="2">
        <v>1631</v>
      </c>
      <c r="AS112" s="2">
        <v>1631</v>
      </c>
      <c r="AT112" s="2">
        <v>1621</v>
      </c>
      <c r="AU112" s="2">
        <v>1621</v>
      </c>
      <c r="AV112" s="2">
        <v>1621</v>
      </c>
      <c r="AW112" s="2">
        <v>1621</v>
      </c>
      <c r="AX112" s="2">
        <v>1621</v>
      </c>
      <c r="AY112" s="2">
        <v>1621</v>
      </c>
      <c r="AZ112" s="2">
        <v>1621</v>
      </c>
      <c r="BA112" s="2">
        <v>1621</v>
      </c>
      <c r="BB112" s="2">
        <v>1621</v>
      </c>
      <c r="BC112" s="2">
        <v>1621</v>
      </c>
      <c r="BD112" s="2">
        <v>1621</v>
      </c>
      <c r="BE112" s="2">
        <v>1621</v>
      </c>
      <c r="BF112" s="2">
        <v>1621</v>
      </c>
      <c r="BG112" s="2">
        <v>1621</v>
      </c>
      <c r="BH112" s="2">
        <v>1621</v>
      </c>
      <c r="BI112" s="2">
        <v>1621</v>
      </c>
      <c r="BJ112" s="2">
        <v>1621</v>
      </c>
      <c r="BK112" s="2">
        <v>1621</v>
      </c>
      <c r="BL112" s="2">
        <v>1621</v>
      </c>
      <c r="BM112" s="2">
        <v>1621</v>
      </c>
      <c r="BN112" s="2">
        <v>1621</v>
      </c>
      <c r="BO112" s="2">
        <v>1621</v>
      </c>
      <c r="BP112" s="2">
        <v>1621</v>
      </c>
      <c r="BQ112" s="2">
        <v>1621</v>
      </c>
      <c r="BR112" s="2">
        <v>1621</v>
      </c>
      <c r="BS112" s="2">
        <v>1621</v>
      </c>
      <c r="BT112" s="2">
        <v>1621</v>
      </c>
      <c r="BU112" s="2">
        <v>1621</v>
      </c>
      <c r="BV112" s="2">
        <v>1621</v>
      </c>
      <c r="BW112" s="2">
        <v>1621</v>
      </c>
      <c r="BX112" s="2">
        <v>1621</v>
      </c>
      <c r="BY112" s="2">
        <v>1621</v>
      </c>
      <c r="BZ112" s="2">
        <v>1621</v>
      </c>
      <c r="CA112" s="2">
        <v>1621</v>
      </c>
      <c r="CB112" s="2">
        <v>1621</v>
      </c>
      <c r="CC112" s="2">
        <v>15</v>
      </c>
    </row>
    <row r="113" spans="1:81" s="2" customFormat="1" x14ac:dyDescent="0.35">
      <c r="A113" s="2" t="s">
        <v>638</v>
      </c>
      <c r="B113" s="2">
        <v>1807</v>
      </c>
      <c r="C113" s="2">
        <v>1791</v>
      </c>
      <c r="D113" s="2">
        <v>1779</v>
      </c>
      <c r="E113" s="2">
        <v>1760</v>
      </c>
      <c r="F113" s="2">
        <v>1771</v>
      </c>
      <c r="G113" s="2">
        <v>1771</v>
      </c>
      <c r="H113" s="2">
        <v>1771</v>
      </c>
      <c r="I113" s="2">
        <v>1757</v>
      </c>
      <c r="J113" s="2">
        <v>1757</v>
      </c>
      <c r="K113" s="2">
        <v>1757</v>
      </c>
      <c r="L113" s="2">
        <v>1741</v>
      </c>
      <c r="M113" s="2">
        <v>1741</v>
      </c>
      <c r="N113" s="2">
        <v>1741</v>
      </c>
      <c r="O113" s="2">
        <v>1724</v>
      </c>
      <c r="P113" s="2">
        <v>1749</v>
      </c>
      <c r="Q113" s="2">
        <v>1734</v>
      </c>
      <c r="R113" s="2">
        <v>1717</v>
      </c>
      <c r="S113" s="2">
        <v>1705</v>
      </c>
      <c r="T113" s="2">
        <v>1688</v>
      </c>
      <c r="U113" s="2">
        <v>1679</v>
      </c>
      <c r="V113" s="2">
        <v>1661</v>
      </c>
      <c r="W113" s="2">
        <v>1650</v>
      </c>
      <c r="X113" s="2">
        <v>1650</v>
      </c>
      <c r="Y113" s="2">
        <v>1650</v>
      </c>
      <c r="Z113" s="2">
        <v>1641</v>
      </c>
      <c r="AA113" s="2">
        <v>1631</v>
      </c>
      <c r="AB113" s="2">
        <v>1619</v>
      </c>
      <c r="AC113" s="2">
        <v>1619</v>
      </c>
      <c r="AD113" s="2">
        <v>1619</v>
      </c>
      <c r="AE113" s="2">
        <v>1607</v>
      </c>
      <c r="AF113" s="2">
        <v>1607</v>
      </c>
      <c r="AG113" s="2">
        <v>1607</v>
      </c>
      <c r="AH113" s="2">
        <v>1607</v>
      </c>
      <c r="AI113" s="2">
        <v>1607</v>
      </c>
      <c r="AJ113" s="2">
        <v>1602</v>
      </c>
      <c r="AK113" s="2">
        <v>1602</v>
      </c>
      <c r="AL113" s="2">
        <v>1602</v>
      </c>
      <c r="AM113" s="2">
        <v>1602</v>
      </c>
      <c r="AN113" s="2">
        <v>1602</v>
      </c>
      <c r="AO113" s="2">
        <v>1595</v>
      </c>
      <c r="AP113" s="2">
        <v>1595</v>
      </c>
      <c r="AQ113" s="2">
        <v>1595</v>
      </c>
      <c r="AR113" s="2">
        <v>1595</v>
      </c>
      <c r="AS113" s="2">
        <v>1595</v>
      </c>
      <c r="AT113" s="2">
        <v>1608</v>
      </c>
      <c r="AU113" s="2">
        <v>1608</v>
      </c>
      <c r="AV113" s="2">
        <v>1608</v>
      </c>
      <c r="AW113" s="2">
        <v>1608</v>
      </c>
      <c r="AX113" s="2">
        <v>1608</v>
      </c>
      <c r="AY113" s="2">
        <v>1608</v>
      </c>
      <c r="AZ113" s="2">
        <v>1608</v>
      </c>
      <c r="BA113" s="2">
        <v>1608</v>
      </c>
      <c r="BB113" s="2">
        <v>1608</v>
      </c>
      <c r="BC113" s="2">
        <v>1608</v>
      </c>
      <c r="BD113" s="2">
        <v>1608</v>
      </c>
      <c r="BE113" s="2">
        <v>1608</v>
      </c>
      <c r="BF113" s="2">
        <v>1608</v>
      </c>
      <c r="BG113" s="2">
        <v>1608</v>
      </c>
      <c r="BH113" s="2">
        <v>1608</v>
      </c>
      <c r="BI113" s="2">
        <v>1608</v>
      </c>
      <c r="BJ113" s="2">
        <v>1608</v>
      </c>
      <c r="BK113" s="2">
        <v>1608</v>
      </c>
      <c r="BL113" s="2">
        <v>1608</v>
      </c>
      <c r="BM113" s="2">
        <v>1608</v>
      </c>
      <c r="BN113" s="2">
        <v>1608</v>
      </c>
      <c r="BO113" s="2">
        <v>1608</v>
      </c>
      <c r="BP113" s="2">
        <v>1608</v>
      </c>
      <c r="BQ113" s="2">
        <v>1608</v>
      </c>
      <c r="BR113" s="2">
        <v>1608</v>
      </c>
      <c r="BS113" s="2">
        <v>1608</v>
      </c>
      <c r="BT113" s="2">
        <v>1608</v>
      </c>
      <c r="BU113" s="2">
        <v>1608</v>
      </c>
      <c r="BV113" s="2">
        <v>1608</v>
      </c>
      <c r="BW113" s="2">
        <v>1608</v>
      </c>
      <c r="BX113" s="2">
        <v>1608</v>
      </c>
      <c r="BY113" s="2">
        <v>1608</v>
      </c>
      <c r="BZ113" s="2">
        <v>1608</v>
      </c>
      <c r="CA113" s="2">
        <v>1608</v>
      </c>
      <c r="CB113" s="2">
        <v>1608</v>
      </c>
      <c r="CC113" s="2">
        <v>110</v>
      </c>
    </row>
    <row r="114" spans="1:81" s="2" customFormat="1" x14ac:dyDescent="0.35"/>
    <row r="115" spans="1:81" s="2" customFormat="1" x14ac:dyDescent="0.35">
      <c r="A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</row>
    <row r="116" spans="1:81" s="2" customFormat="1" x14ac:dyDescent="0.35"/>
    <row r="117" spans="1:81" s="2" customFormat="1" x14ac:dyDescent="0.35"/>
    <row r="118" spans="1:81" s="2" customFormat="1" x14ac:dyDescent="0.35"/>
    <row r="119" spans="1:81" s="2" customFormat="1" x14ac:dyDescent="0.35"/>
    <row r="120" spans="1:81" s="2" customFormat="1" x14ac:dyDescent="0.35"/>
    <row r="121" spans="1:81" s="2" customFormat="1" x14ac:dyDescent="0.35"/>
    <row r="122" spans="1:81" s="2" customFormat="1" x14ac:dyDescent="0.35">
      <c r="A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1" s="2" customFormat="1" x14ac:dyDescent="0.35"/>
    <row r="124" spans="1:81" s="2" customFormat="1" x14ac:dyDescent="0.35"/>
    <row r="125" spans="1:81" s="2" customFormat="1" x14ac:dyDescent="0.35"/>
    <row r="126" spans="1:81" s="2" customFormat="1" x14ac:dyDescent="0.35"/>
    <row r="127" spans="1:81" s="2" customFormat="1" x14ac:dyDescent="0.35"/>
    <row r="128" spans="1:81" s="2" customFormat="1" x14ac:dyDescent="0.35"/>
    <row r="129" s="2" customFormat="1" x14ac:dyDescent="0.35"/>
  </sheetData>
  <sortState xmlns:xlrd2="http://schemas.microsoft.com/office/spreadsheetml/2017/richdata2" ref="A2:CJ129">
    <sortCondition descending="1" ref="CB2:CB129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C1:T173"/>
  <sheetViews>
    <sheetView zoomScaleNormal="100" workbookViewId="0">
      <selection activeCell="J2" sqref="J2"/>
    </sheetView>
  </sheetViews>
  <sheetFormatPr defaultRowHeight="14.5" x14ac:dyDescent="0.35"/>
  <cols>
    <col min="3" max="3" width="14.90625" bestFit="1" customWidth="1"/>
    <col min="4" max="5" width="3" bestFit="1" customWidth="1"/>
    <col min="6" max="6" width="15.1796875" bestFit="1" customWidth="1"/>
    <col min="8" max="8" width="3" bestFit="1" customWidth="1"/>
    <col min="9" max="9" width="6" bestFit="1" customWidth="1"/>
  </cols>
  <sheetData>
    <row r="1" spans="3:20" x14ac:dyDescent="0.35">
      <c r="I1" s="35">
        <v>48</v>
      </c>
      <c r="J1" s="34">
        <v>78</v>
      </c>
      <c r="K1" t="s">
        <v>1097</v>
      </c>
      <c r="L1" t="s">
        <v>1097</v>
      </c>
      <c r="N1" t="s">
        <v>3455</v>
      </c>
    </row>
    <row r="2" spans="3:20" x14ac:dyDescent="0.35">
      <c r="C2" t="s">
        <v>466</v>
      </c>
      <c r="D2">
        <v>17</v>
      </c>
      <c r="E2">
        <v>15</v>
      </c>
      <c r="F2" t="s">
        <v>468</v>
      </c>
      <c r="H2">
        <f t="shared" ref="H2:H41" si="0">D2-E2</f>
        <v>2</v>
      </c>
      <c r="I2">
        <f>$I$1+H2-4</f>
        <v>46</v>
      </c>
      <c r="K2">
        <f>VLOOKUP(C2, 'Season 3'!$A$2:$CH$113, $J$1+1, FALSE)</f>
        <v>2158</v>
      </c>
      <c r="L2">
        <f>VLOOKUP(F2, 'Season 3'!$A$2:$CH$113, $J$1+1, FALSE)</f>
        <v>2135</v>
      </c>
      <c r="N2" s="47">
        <f>1/(10^(-(K2-L2)/400)+1)</f>
        <v>0.53305139388444112</v>
      </c>
      <c r="O2" s="47">
        <f>1-N2</f>
        <v>0.46694860611555888</v>
      </c>
      <c r="Q2">
        <f>ROUNDUP(I2*(1-N2),0)</f>
        <v>22</v>
      </c>
      <c r="S2">
        <f>K2+Q2</f>
        <v>2180</v>
      </c>
      <c r="T2" s="48">
        <f>L2-Q2</f>
        <v>2113</v>
      </c>
    </row>
    <row r="3" spans="3:20" x14ac:dyDescent="0.35">
      <c r="H3">
        <f t="shared" si="0"/>
        <v>0</v>
      </c>
      <c r="I3">
        <f t="shared" ref="I3:I57" si="1">$I$1+H3-4</f>
        <v>44</v>
      </c>
      <c r="K3" t="e">
        <f>VLOOKUP(C3, 'Season 3'!$A$2:$CH$113, $J$1+1, FALSE)</f>
        <v>#N/A</v>
      </c>
      <c r="L3" t="e">
        <f>VLOOKUP(F3, 'Season 3'!$A$2:$CH$113, $J$1+1, FALSE)</f>
        <v>#N/A</v>
      </c>
      <c r="N3" s="47" t="e">
        <f t="shared" ref="N3:N41" si="2">1/(10^(-(K3-L3)/400)+1)</f>
        <v>#N/A</v>
      </c>
      <c r="O3" s="47" t="e">
        <f t="shared" ref="O3:O49" si="3">1-N3</f>
        <v>#N/A</v>
      </c>
      <c r="Q3" t="e">
        <f t="shared" ref="Q3:Q41" si="4">ROUNDUP(I3*(1-N3),0)</f>
        <v>#N/A</v>
      </c>
      <c r="S3" t="e">
        <f t="shared" ref="S3:S41" si="5">K3+Q3</f>
        <v>#N/A</v>
      </c>
      <c r="T3" s="48" t="e">
        <f t="shared" ref="T3:T41" si="6">L3-Q3</f>
        <v>#N/A</v>
      </c>
    </row>
    <row r="4" spans="3:20" x14ac:dyDescent="0.35">
      <c r="H4">
        <f t="shared" si="0"/>
        <v>0</v>
      </c>
      <c r="I4">
        <f t="shared" si="1"/>
        <v>44</v>
      </c>
      <c r="K4" t="e">
        <f>VLOOKUP(C4, 'Season 3'!$A$2:$CH$113, $J$1+1, FALSE)</f>
        <v>#N/A</v>
      </c>
      <c r="L4" t="e">
        <f>VLOOKUP(F4, 'Season 3'!$A$2:$CH$113, $J$1+1, FALSE)</f>
        <v>#N/A</v>
      </c>
      <c r="N4" s="47" t="e">
        <f t="shared" si="2"/>
        <v>#N/A</v>
      </c>
      <c r="O4" s="47" t="e">
        <f t="shared" si="3"/>
        <v>#N/A</v>
      </c>
      <c r="Q4" t="e">
        <f t="shared" si="4"/>
        <v>#N/A</v>
      </c>
      <c r="S4" t="e">
        <f t="shared" si="5"/>
        <v>#N/A</v>
      </c>
      <c r="T4" s="48" t="e">
        <f t="shared" si="6"/>
        <v>#N/A</v>
      </c>
    </row>
    <row r="5" spans="3:20" x14ac:dyDescent="0.35">
      <c r="H5">
        <f t="shared" si="0"/>
        <v>0</v>
      </c>
      <c r="I5">
        <f t="shared" si="1"/>
        <v>44</v>
      </c>
      <c r="K5" t="e">
        <f>VLOOKUP(C5, 'Season 3'!$A$2:$CH$113, $J$1+1, FALSE)</f>
        <v>#N/A</v>
      </c>
      <c r="L5" t="e">
        <f>VLOOKUP(F5, 'Season 3'!$A$2:$CH$113, $J$1+1, FALSE)</f>
        <v>#N/A</v>
      </c>
      <c r="N5" s="47" t="e">
        <f t="shared" si="2"/>
        <v>#N/A</v>
      </c>
      <c r="O5" s="47" t="e">
        <f t="shared" si="3"/>
        <v>#N/A</v>
      </c>
      <c r="Q5" t="e">
        <f t="shared" si="4"/>
        <v>#N/A</v>
      </c>
      <c r="S5" t="e">
        <f t="shared" si="5"/>
        <v>#N/A</v>
      </c>
      <c r="T5" s="48" t="e">
        <f t="shared" si="6"/>
        <v>#N/A</v>
      </c>
    </row>
    <row r="6" spans="3:20" x14ac:dyDescent="0.35">
      <c r="H6">
        <f t="shared" si="0"/>
        <v>0</v>
      </c>
      <c r="I6">
        <f t="shared" si="1"/>
        <v>44</v>
      </c>
      <c r="K6" t="e">
        <f>VLOOKUP(C6, 'Season 3'!$A$2:$CH$113, $J$1+1, FALSE)</f>
        <v>#N/A</v>
      </c>
      <c r="L6" t="e">
        <f>VLOOKUP(F6, 'Season 3'!$A$2:$CH$113, $J$1+1, FALSE)</f>
        <v>#N/A</v>
      </c>
      <c r="N6" s="47" t="e">
        <f t="shared" si="2"/>
        <v>#N/A</v>
      </c>
      <c r="O6" s="47" t="e">
        <f t="shared" si="3"/>
        <v>#N/A</v>
      </c>
      <c r="Q6" t="e">
        <f t="shared" si="4"/>
        <v>#N/A</v>
      </c>
      <c r="S6" t="e">
        <f t="shared" si="5"/>
        <v>#N/A</v>
      </c>
      <c r="T6" s="48" t="e">
        <f t="shared" si="6"/>
        <v>#N/A</v>
      </c>
    </row>
    <row r="7" spans="3:20" x14ac:dyDescent="0.35">
      <c r="H7">
        <f t="shared" si="0"/>
        <v>0</v>
      </c>
      <c r="I7">
        <f t="shared" si="1"/>
        <v>44</v>
      </c>
      <c r="K7" t="e">
        <f>VLOOKUP(C7, 'Season 3'!$A$2:$CH$113, $J$1+1, FALSE)</f>
        <v>#N/A</v>
      </c>
      <c r="L7" t="e">
        <f>VLOOKUP(F7, 'Season 3'!$A$2:$CH$113, $J$1+1, FALSE)</f>
        <v>#N/A</v>
      </c>
      <c r="N7" s="47" t="e">
        <f t="shared" si="2"/>
        <v>#N/A</v>
      </c>
      <c r="O7" s="47" t="e">
        <f t="shared" si="3"/>
        <v>#N/A</v>
      </c>
      <c r="Q7" t="e">
        <f t="shared" si="4"/>
        <v>#N/A</v>
      </c>
      <c r="S7" t="e">
        <f t="shared" si="5"/>
        <v>#N/A</v>
      </c>
      <c r="T7" s="48" t="e">
        <f t="shared" si="6"/>
        <v>#N/A</v>
      </c>
    </row>
    <row r="8" spans="3:20" x14ac:dyDescent="0.35">
      <c r="H8">
        <f t="shared" si="0"/>
        <v>0</v>
      </c>
      <c r="I8">
        <f t="shared" si="1"/>
        <v>44</v>
      </c>
      <c r="K8" t="e">
        <f>VLOOKUP(C8, 'Season 3'!$A$2:$CH$113, $J$1+1, FALSE)</f>
        <v>#N/A</v>
      </c>
      <c r="L8" t="e">
        <f>VLOOKUP(F8, 'Season 3'!$A$2:$CH$113, $J$1+1, FALSE)</f>
        <v>#N/A</v>
      </c>
      <c r="N8" s="47" t="e">
        <f t="shared" si="2"/>
        <v>#N/A</v>
      </c>
      <c r="O8" s="47" t="e">
        <f t="shared" si="3"/>
        <v>#N/A</v>
      </c>
      <c r="Q8" t="e">
        <f t="shared" si="4"/>
        <v>#N/A</v>
      </c>
      <c r="S8" t="e">
        <f t="shared" si="5"/>
        <v>#N/A</v>
      </c>
      <c r="T8" s="48" t="e">
        <f t="shared" si="6"/>
        <v>#N/A</v>
      </c>
    </row>
    <row r="9" spans="3:20" x14ac:dyDescent="0.35">
      <c r="H9">
        <f t="shared" si="0"/>
        <v>0</v>
      </c>
      <c r="I9">
        <f t="shared" si="1"/>
        <v>44</v>
      </c>
      <c r="K9" t="e">
        <f>VLOOKUP(C9, 'Season 3'!$A$2:$CH$113, $J$1+1, FALSE)</f>
        <v>#N/A</v>
      </c>
      <c r="L9" t="e">
        <f>VLOOKUP(F9, 'Season 3'!$A$2:$CH$113, $J$1+1, FALSE)</f>
        <v>#N/A</v>
      </c>
      <c r="N9" s="47" t="e">
        <f t="shared" si="2"/>
        <v>#N/A</v>
      </c>
      <c r="O9" s="47" t="e">
        <f t="shared" si="3"/>
        <v>#N/A</v>
      </c>
      <c r="Q9" t="e">
        <f t="shared" si="4"/>
        <v>#N/A</v>
      </c>
      <c r="S9" t="e">
        <f t="shared" si="5"/>
        <v>#N/A</v>
      </c>
      <c r="T9" s="48" t="e">
        <f t="shared" si="6"/>
        <v>#N/A</v>
      </c>
    </row>
    <row r="10" spans="3:20" x14ac:dyDescent="0.35">
      <c r="H10">
        <f t="shared" si="0"/>
        <v>0</v>
      </c>
      <c r="I10">
        <f t="shared" si="1"/>
        <v>44</v>
      </c>
      <c r="K10" t="e">
        <f>VLOOKUP(C10, 'Season 3'!$A$2:$CH$113, $J$1+1, FALSE)</f>
        <v>#N/A</v>
      </c>
      <c r="L10" t="e">
        <f>VLOOKUP(F10, 'Season 3'!$A$2:$CH$113, $J$1+1, FALSE)</f>
        <v>#N/A</v>
      </c>
      <c r="N10" s="47" t="e">
        <f t="shared" si="2"/>
        <v>#N/A</v>
      </c>
      <c r="O10" s="47" t="e">
        <f t="shared" si="3"/>
        <v>#N/A</v>
      </c>
      <c r="Q10" t="e">
        <f t="shared" si="4"/>
        <v>#N/A</v>
      </c>
      <c r="S10" t="e">
        <f t="shared" si="5"/>
        <v>#N/A</v>
      </c>
      <c r="T10" s="48" t="e">
        <f t="shared" si="6"/>
        <v>#N/A</v>
      </c>
    </row>
    <row r="11" spans="3:20" x14ac:dyDescent="0.35">
      <c r="H11">
        <f t="shared" si="0"/>
        <v>0</v>
      </c>
      <c r="I11">
        <f t="shared" si="1"/>
        <v>44</v>
      </c>
      <c r="K11" t="e">
        <f>VLOOKUP(C11, 'Season 3'!$A$2:$CH$113, $J$1+1, FALSE)</f>
        <v>#N/A</v>
      </c>
      <c r="L11" t="e">
        <f>VLOOKUP(F11, 'Season 3'!$A$2:$CH$113, $J$1+1, FALSE)</f>
        <v>#N/A</v>
      </c>
      <c r="N11" s="47" t="e">
        <f t="shared" si="2"/>
        <v>#N/A</v>
      </c>
      <c r="O11" s="47" t="e">
        <f t="shared" si="3"/>
        <v>#N/A</v>
      </c>
      <c r="Q11" t="e">
        <f t="shared" si="4"/>
        <v>#N/A</v>
      </c>
      <c r="S11" t="e">
        <f t="shared" si="5"/>
        <v>#N/A</v>
      </c>
      <c r="T11" s="48" t="e">
        <f t="shared" si="6"/>
        <v>#N/A</v>
      </c>
    </row>
    <row r="12" spans="3:20" x14ac:dyDescent="0.35">
      <c r="H12">
        <f t="shared" si="0"/>
        <v>0</v>
      </c>
      <c r="I12">
        <f t="shared" si="1"/>
        <v>44</v>
      </c>
      <c r="K12" t="e">
        <f>VLOOKUP(C12, 'Season 3'!$A$2:$CH$113, $J$1+1, FALSE)</f>
        <v>#N/A</v>
      </c>
      <c r="L12" t="e">
        <f>VLOOKUP(F12, 'Season 3'!$A$2:$CH$113, $J$1+1, FALSE)</f>
        <v>#N/A</v>
      </c>
      <c r="N12" s="47" t="e">
        <f t="shared" si="2"/>
        <v>#N/A</v>
      </c>
      <c r="O12" s="47" t="e">
        <f t="shared" si="3"/>
        <v>#N/A</v>
      </c>
      <c r="Q12" t="e">
        <f t="shared" si="4"/>
        <v>#N/A</v>
      </c>
      <c r="S12" t="e">
        <f t="shared" si="5"/>
        <v>#N/A</v>
      </c>
      <c r="T12" s="48" t="e">
        <f t="shared" si="6"/>
        <v>#N/A</v>
      </c>
    </row>
    <row r="13" spans="3:20" x14ac:dyDescent="0.35">
      <c r="H13">
        <f t="shared" si="0"/>
        <v>0</v>
      </c>
      <c r="I13">
        <f t="shared" si="1"/>
        <v>44</v>
      </c>
      <c r="K13" t="e">
        <f>VLOOKUP(C13, 'Season 3'!$A$2:$CH$113, $J$1+1, FALSE)</f>
        <v>#N/A</v>
      </c>
      <c r="L13" t="e">
        <f>VLOOKUP(F13, 'Season 3'!$A$2:$CH$113, $J$1+1, FALSE)</f>
        <v>#N/A</v>
      </c>
      <c r="N13" s="47" t="e">
        <f t="shared" si="2"/>
        <v>#N/A</v>
      </c>
      <c r="O13" s="47" t="e">
        <f t="shared" si="3"/>
        <v>#N/A</v>
      </c>
      <c r="Q13" t="e">
        <f t="shared" si="4"/>
        <v>#N/A</v>
      </c>
      <c r="S13" t="e">
        <f t="shared" si="5"/>
        <v>#N/A</v>
      </c>
      <c r="T13" s="48" t="e">
        <f t="shared" si="6"/>
        <v>#N/A</v>
      </c>
    </row>
    <row r="14" spans="3:20" x14ac:dyDescent="0.35">
      <c r="H14">
        <f t="shared" si="0"/>
        <v>0</v>
      </c>
      <c r="I14">
        <f t="shared" si="1"/>
        <v>44</v>
      </c>
      <c r="K14" t="e">
        <f>VLOOKUP(C14, 'Season 3'!$A$2:$CH$113, $J$1+1, FALSE)</f>
        <v>#N/A</v>
      </c>
      <c r="L14" t="e">
        <f>VLOOKUP(F14, 'Season 3'!$A$2:$CH$113, $J$1+1, FALSE)</f>
        <v>#N/A</v>
      </c>
      <c r="N14" s="47" t="e">
        <f t="shared" si="2"/>
        <v>#N/A</v>
      </c>
      <c r="O14" s="47" t="e">
        <f t="shared" si="3"/>
        <v>#N/A</v>
      </c>
      <c r="Q14" t="e">
        <f t="shared" si="4"/>
        <v>#N/A</v>
      </c>
      <c r="S14" t="e">
        <f t="shared" si="5"/>
        <v>#N/A</v>
      </c>
      <c r="T14" s="48" t="e">
        <f t="shared" si="6"/>
        <v>#N/A</v>
      </c>
    </row>
    <row r="15" spans="3:20" x14ac:dyDescent="0.35">
      <c r="H15">
        <f t="shared" si="0"/>
        <v>0</v>
      </c>
      <c r="I15">
        <f t="shared" si="1"/>
        <v>44</v>
      </c>
      <c r="K15" t="e">
        <f>VLOOKUP(C15, 'Season 3'!$A$2:$CH$113, $J$1+1, FALSE)</f>
        <v>#N/A</v>
      </c>
      <c r="L15" t="e">
        <f>VLOOKUP(F15, 'Season 3'!$A$2:$CH$113, $J$1+1, FALSE)</f>
        <v>#N/A</v>
      </c>
      <c r="N15" s="47" t="e">
        <f t="shared" si="2"/>
        <v>#N/A</v>
      </c>
      <c r="O15" s="47" t="e">
        <f t="shared" si="3"/>
        <v>#N/A</v>
      </c>
      <c r="Q15" t="e">
        <f t="shared" si="4"/>
        <v>#N/A</v>
      </c>
      <c r="S15" t="e">
        <f t="shared" si="5"/>
        <v>#N/A</v>
      </c>
      <c r="T15" s="48" t="e">
        <f t="shared" si="6"/>
        <v>#N/A</v>
      </c>
    </row>
    <row r="16" spans="3:20" x14ac:dyDescent="0.35">
      <c r="H16">
        <f t="shared" si="0"/>
        <v>0</v>
      </c>
      <c r="I16">
        <f t="shared" si="1"/>
        <v>44</v>
      </c>
      <c r="K16" t="e">
        <f>VLOOKUP(C16, 'Season 3'!$A$2:$CH$113, $J$1+1, FALSE)</f>
        <v>#N/A</v>
      </c>
      <c r="L16" t="e">
        <f>VLOOKUP(F16, 'Season 3'!$A$2:$CH$113, $J$1+1, FALSE)</f>
        <v>#N/A</v>
      </c>
      <c r="N16" s="47" t="e">
        <f t="shared" si="2"/>
        <v>#N/A</v>
      </c>
      <c r="O16" s="47" t="e">
        <f t="shared" si="3"/>
        <v>#N/A</v>
      </c>
      <c r="Q16" t="e">
        <f t="shared" si="4"/>
        <v>#N/A</v>
      </c>
      <c r="S16" t="e">
        <f t="shared" si="5"/>
        <v>#N/A</v>
      </c>
      <c r="T16" s="48" t="e">
        <f t="shared" si="6"/>
        <v>#N/A</v>
      </c>
    </row>
    <row r="17" spans="8:20" x14ac:dyDescent="0.35">
      <c r="H17">
        <f t="shared" si="0"/>
        <v>0</v>
      </c>
      <c r="I17">
        <f t="shared" si="1"/>
        <v>44</v>
      </c>
      <c r="K17" t="e">
        <f>VLOOKUP(C17, 'Season 3'!$A$2:$CH$113, $J$1+1, FALSE)</f>
        <v>#N/A</v>
      </c>
      <c r="L17" t="e">
        <f>VLOOKUP(F17, 'Season 3'!$A$2:$CH$113, $J$1+1, FALSE)</f>
        <v>#N/A</v>
      </c>
      <c r="N17" s="47" t="e">
        <f t="shared" si="2"/>
        <v>#N/A</v>
      </c>
      <c r="O17" s="47" t="e">
        <f t="shared" si="3"/>
        <v>#N/A</v>
      </c>
      <c r="Q17" t="e">
        <f t="shared" si="4"/>
        <v>#N/A</v>
      </c>
      <c r="S17" t="e">
        <f t="shared" si="5"/>
        <v>#N/A</v>
      </c>
      <c r="T17" s="48" t="e">
        <f t="shared" si="6"/>
        <v>#N/A</v>
      </c>
    </row>
    <row r="18" spans="8:20" x14ac:dyDescent="0.35">
      <c r="H18">
        <f t="shared" si="0"/>
        <v>0</v>
      </c>
      <c r="I18">
        <f t="shared" si="1"/>
        <v>44</v>
      </c>
      <c r="K18" t="e">
        <f>VLOOKUP(C18, 'Season 3'!$A$2:$CH$113, $J$1+1, FALSE)</f>
        <v>#N/A</v>
      </c>
      <c r="L18" t="e">
        <f>VLOOKUP(F18, 'Season 3'!$A$2:$CH$113, $J$1+1, FALSE)</f>
        <v>#N/A</v>
      </c>
      <c r="N18" s="47" t="e">
        <f t="shared" si="2"/>
        <v>#N/A</v>
      </c>
      <c r="O18" s="47" t="e">
        <f t="shared" si="3"/>
        <v>#N/A</v>
      </c>
      <c r="Q18" t="e">
        <f t="shared" si="4"/>
        <v>#N/A</v>
      </c>
      <c r="S18" t="e">
        <f t="shared" si="5"/>
        <v>#N/A</v>
      </c>
      <c r="T18" s="48" t="e">
        <f t="shared" si="6"/>
        <v>#N/A</v>
      </c>
    </row>
    <row r="19" spans="8:20" x14ac:dyDescent="0.35">
      <c r="H19">
        <f t="shared" si="0"/>
        <v>0</v>
      </c>
      <c r="I19">
        <f t="shared" si="1"/>
        <v>44</v>
      </c>
      <c r="K19" t="e">
        <f>VLOOKUP(C19, 'Season 3'!$A$2:$CH$113, $J$1+1, FALSE)</f>
        <v>#N/A</v>
      </c>
      <c r="L19" t="e">
        <f>VLOOKUP(F19, 'Season 3'!$A$2:$CH$113, $J$1+1, FALSE)</f>
        <v>#N/A</v>
      </c>
      <c r="N19" s="47" t="e">
        <f t="shared" si="2"/>
        <v>#N/A</v>
      </c>
      <c r="O19" s="47" t="e">
        <f t="shared" si="3"/>
        <v>#N/A</v>
      </c>
      <c r="Q19" t="e">
        <f t="shared" si="4"/>
        <v>#N/A</v>
      </c>
      <c r="S19" t="e">
        <f t="shared" si="5"/>
        <v>#N/A</v>
      </c>
      <c r="T19" s="48" t="e">
        <f t="shared" si="6"/>
        <v>#N/A</v>
      </c>
    </row>
    <row r="20" spans="8:20" x14ac:dyDescent="0.35">
      <c r="H20">
        <f t="shared" si="0"/>
        <v>0</v>
      </c>
      <c r="I20">
        <f t="shared" si="1"/>
        <v>44</v>
      </c>
      <c r="K20" t="e">
        <f>VLOOKUP(C20, 'Season 3'!$A$2:$CH$113, $J$1+1, FALSE)</f>
        <v>#N/A</v>
      </c>
      <c r="L20" t="e">
        <f>VLOOKUP(F20, 'Season 3'!$A$2:$CH$113, $J$1+1, FALSE)</f>
        <v>#N/A</v>
      </c>
      <c r="N20" s="47" t="e">
        <f t="shared" si="2"/>
        <v>#N/A</v>
      </c>
      <c r="O20" s="47" t="e">
        <f t="shared" si="3"/>
        <v>#N/A</v>
      </c>
      <c r="Q20" t="e">
        <f t="shared" si="4"/>
        <v>#N/A</v>
      </c>
      <c r="S20" t="e">
        <f t="shared" si="5"/>
        <v>#N/A</v>
      </c>
      <c r="T20" s="48" t="e">
        <f t="shared" si="6"/>
        <v>#N/A</v>
      </c>
    </row>
    <row r="21" spans="8:20" x14ac:dyDescent="0.35">
      <c r="H21">
        <f t="shared" si="0"/>
        <v>0</v>
      </c>
      <c r="I21">
        <f t="shared" si="1"/>
        <v>44</v>
      </c>
      <c r="K21" t="e">
        <f>VLOOKUP(C21, 'Season 3'!$A$2:$CH$113, $J$1+1, FALSE)</f>
        <v>#N/A</v>
      </c>
      <c r="L21" t="e">
        <f>VLOOKUP(F21, 'Season 3'!$A$2:$CH$113, $J$1+1, FALSE)</f>
        <v>#N/A</v>
      </c>
      <c r="N21" s="47" t="e">
        <f t="shared" si="2"/>
        <v>#N/A</v>
      </c>
      <c r="O21" s="47" t="e">
        <f t="shared" si="3"/>
        <v>#N/A</v>
      </c>
      <c r="Q21" t="e">
        <f t="shared" si="4"/>
        <v>#N/A</v>
      </c>
      <c r="S21" t="e">
        <f t="shared" si="5"/>
        <v>#N/A</v>
      </c>
      <c r="T21" s="48" t="e">
        <f t="shared" si="6"/>
        <v>#N/A</v>
      </c>
    </row>
    <row r="22" spans="8:20" x14ac:dyDescent="0.35">
      <c r="H22">
        <f t="shared" si="0"/>
        <v>0</v>
      </c>
      <c r="I22">
        <f t="shared" si="1"/>
        <v>44</v>
      </c>
      <c r="K22" t="e">
        <f>VLOOKUP(C22, 'Season 3'!$A$2:$CH$113, $J$1+1, FALSE)</f>
        <v>#N/A</v>
      </c>
      <c r="L22" t="e">
        <f>VLOOKUP(F22, 'Season 3'!$A$2:$CH$113, $J$1+1, FALSE)</f>
        <v>#N/A</v>
      </c>
      <c r="N22" s="47" t="e">
        <f t="shared" si="2"/>
        <v>#N/A</v>
      </c>
      <c r="O22" s="47" t="e">
        <f t="shared" si="3"/>
        <v>#N/A</v>
      </c>
      <c r="Q22" t="e">
        <f t="shared" si="4"/>
        <v>#N/A</v>
      </c>
      <c r="S22" t="e">
        <f t="shared" si="5"/>
        <v>#N/A</v>
      </c>
      <c r="T22" s="48" t="e">
        <f t="shared" si="6"/>
        <v>#N/A</v>
      </c>
    </row>
    <row r="23" spans="8:20" x14ac:dyDescent="0.35">
      <c r="H23">
        <f t="shared" si="0"/>
        <v>0</v>
      </c>
      <c r="I23">
        <f t="shared" si="1"/>
        <v>44</v>
      </c>
      <c r="K23" t="e">
        <f>VLOOKUP(C23, 'Season 3'!$A$2:$CH$113, $J$1+1, FALSE)</f>
        <v>#N/A</v>
      </c>
      <c r="L23" t="e">
        <f>VLOOKUP(F23, 'Season 3'!$A$2:$CH$113, $J$1+1, FALSE)</f>
        <v>#N/A</v>
      </c>
      <c r="N23" s="47" t="e">
        <f t="shared" si="2"/>
        <v>#N/A</v>
      </c>
      <c r="O23" s="47" t="e">
        <f t="shared" si="3"/>
        <v>#N/A</v>
      </c>
      <c r="Q23" t="e">
        <f t="shared" si="4"/>
        <v>#N/A</v>
      </c>
      <c r="S23" t="e">
        <f t="shared" si="5"/>
        <v>#N/A</v>
      </c>
      <c r="T23" s="48" t="e">
        <f t="shared" si="6"/>
        <v>#N/A</v>
      </c>
    </row>
    <row r="24" spans="8:20" x14ac:dyDescent="0.35">
      <c r="H24">
        <f t="shared" si="0"/>
        <v>0</v>
      </c>
      <c r="I24">
        <f t="shared" si="1"/>
        <v>44</v>
      </c>
      <c r="K24" t="e">
        <f>VLOOKUP(C24, 'Season 3'!$A$2:$CH$113, $J$1+1, FALSE)</f>
        <v>#N/A</v>
      </c>
      <c r="L24" t="e">
        <f>VLOOKUP(F24, 'Season 3'!$A$2:$CH$113, $J$1+1, FALSE)</f>
        <v>#N/A</v>
      </c>
      <c r="N24" s="47" t="e">
        <f t="shared" si="2"/>
        <v>#N/A</v>
      </c>
      <c r="O24" s="47" t="e">
        <f t="shared" si="3"/>
        <v>#N/A</v>
      </c>
      <c r="Q24" t="e">
        <f t="shared" si="4"/>
        <v>#N/A</v>
      </c>
      <c r="S24" t="e">
        <f t="shared" si="5"/>
        <v>#N/A</v>
      </c>
      <c r="T24" s="48" t="e">
        <f t="shared" si="6"/>
        <v>#N/A</v>
      </c>
    </row>
    <row r="25" spans="8:20" x14ac:dyDescent="0.35">
      <c r="H25">
        <f t="shared" si="0"/>
        <v>0</v>
      </c>
      <c r="I25">
        <f t="shared" si="1"/>
        <v>44</v>
      </c>
      <c r="K25" t="e">
        <f>VLOOKUP(C25, 'Season 3'!$A$2:$CH$113, $J$1+1, FALSE)</f>
        <v>#N/A</v>
      </c>
      <c r="L25" t="e">
        <f>VLOOKUP(F25, 'Season 3'!$A$2:$CH$113, $J$1+1, FALSE)</f>
        <v>#N/A</v>
      </c>
      <c r="N25" s="47" t="e">
        <f t="shared" si="2"/>
        <v>#N/A</v>
      </c>
      <c r="O25" s="47" t="e">
        <f t="shared" si="3"/>
        <v>#N/A</v>
      </c>
      <c r="Q25" t="e">
        <f t="shared" si="4"/>
        <v>#N/A</v>
      </c>
      <c r="S25" t="e">
        <f t="shared" si="5"/>
        <v>#N/A</v>
      </c>
      <c r="T25" s="48" t="e">
        <f t="shared" si="6"/>
        <v>#N/A</v>
      </c>
    </row>
    <row r="26" spans="8:20" x14ac:dyDescent="0.35">
      <c r="H26">
        <f t="shared" si="0"/>
        <v>0</v>
      </c>
      <c r="I26">
        <f t="shared" si="1"/>
        <v>44</v>
      </c>
      <c r="K26" t="e">
        <f>VLOOKUP(C26, 'Season 3'!$A$2:$CH$113, $J$1+1, FALSE)</f>
        <v>#N/A</v>
      </c>
      <c r="L26" t="e">
        <f>VLOOKUP(F26, 'Season 3'!$A$2:$CH$113, $J$1+1, FALSE)</f>
        <v>#N/A</v>
      </c>
      <c r="N26" s="47" t="e">
        <f t="shared" si="2"/>
        <v>#N/A</v>
      </c>
      <c r="O26" s="47" t="e">
        <f t="shared" si="3"/>
        <v>#N/A</v>
      </c>
      <c r="Q26" t="e">
        <f t="shared" si="4"/>
        <v>#N/A</v>
      </c>
      <c r="S26" t="e">
        <f t="shared" si="5"/>
        <v>#N/A</v>
      </c>
      <c r="T26" s="48" t="e">
        <f t="shared" si="6"/>
        <v>#N/A</v>
      </c>
    </row>
    <row r="27" spans="8:20" x14ac:dyDescent="0.35">
      <c r="H27">
        <f t="shared" si="0"/>
        <v>0</v>
      </c>
      <c r="I27">
        <f t="shared" si="1"/>
        <v>44</v>
      </c>
      <c r="K27" t="e">
        <f>VLOOKUP(C27, 'Season 3'!$A$2:$CH$113, $J$1+1, FALSE)</f>
        <v>#N/A</v>
      </c>
      <c r="L27" t="e">
        <f>VLOOKUP(F27, 'Season 3'!$A$2:$CH$113, $J$1+1, FALSE)</f>
        <v>#N/A</v>
      </c>
      <c r="N27" s="47" t="e">
        <f t="shared" si="2"/>
        <v>#N/A</v>
      </c>
      <c r="O27" s="47" t="e">
        <f t="shared" si="3"/>
        <v>#N/A</v>
      </c>
      <c r="Q27" t="e">
        <f t="shared" si="4"/>
        <v>#N/A</v>
      </c>
      <c r="S27" t="e">
        <f t="shared" si="5"/>
        <v>#N/A</v>
      </c>
      <c r="T27" s="48" t="e">
        <f t="shared" si="6"/>
        <v>#N/A</v>
      </c>
    </row>
    <row r="28" spans="8:20" x14ac:dyDescent="0.35">
      <c r="H28">
        <f t="shared" si="0"/>
        <v>0</v>
      </c>
      <c r="I28">
        <f t="shared" si="1"/>
        <v>44</v>
      </c>
      <c r="K28" t="e">
        <f>VLOOKUP(C28, 'Season 3'!$A$2:$CH$113, $J$1+1, FALSE)</f>
        <v>#N/A</v>
      </c>
      <c r="L28" t="e">
        <f>VLOOKUP(F28, 'Season 3'!$A$2:$CH$113, $J$1+1, FALSE)</f>
        <v>#N/A</v>
      </c>
      <c r="N28" s="47" t="e">
        <f t="shared" si="2"/>
        <v>#N/A</v>
      </c>
      <c r="O28" s="47" t="e">
        <f t="shared" si="3"/>
        <v>#N/A</v>
      </c>
      <c r="Q28" t="e">
        <f t="shared" si="4"/>
        <v>#N/A</v>
      </c>
      <c r="S28" t="e">
        <f t="shared" si="5"/>
        <v>#N/A</v>
      </c>
      <c r="T28" s="48" t="e">
        <f t="shared" si="6"/>
        <v>#N/A</v>
      </c>
    </row>
    <row r="29" spans="8:20" x14ac:dyDescent="0.35">
      <c r="H29">
        <f t="shared" si="0"/>
        <v>0</v>
      </c>
      <c r="I29">
        <f t="shared" si="1"/>
        <v>44</v>
      </c>
      <c r="K29" t="e">
        <f>VLOOKUP(C29, 'Season 3'!$A$2:$CH$113, $J$1+1, FALSE)</f>
        <v>#N/A</v>
      </c>
      <c r="L29" t="e">
        <f>VLOOKUP(F29, 'Season 3'!$A$2:$CH$113, $J$1+1, FALSE)</f>
        <v>#N/A</v>
      </c>
      <c r="N29" s="47" t="e">
        <f t="shared" si="2"/>
        <v>#N/A</v>
      </c>
      <c r="O29" s="47" t="e">
        <f t="shared" si="3"/>
        <v>#N/A</v>
      </c>
      <c r="Q29" t="e">
        <f t="shared" si="4"/>
        <v>#N/A</v>
      </c>
      <c r="S29" t="e">
        <f t="shared" si="5"/>
        <v>#N/A</v>
      </c>
      <c r="T29" s="48" t="e">
        <f t="shared" si="6"/>
        <v>#N/A</v>
      </c>
    </row>
    <row r="30" spans="8:20" x14ac:dyDescent="0.35">
      <c r="H30">
        <f t="shared" si="0"/>
        <v>0</v>
      </c>
      <c r="I30">
        <f t="shared" si="1"/>
        <v>44</v>
      </c>
      <c r="K30" t="e">
        <f>VLOOKUP(C30, 'Season 3'!$A$2:$CH$113, $J$1+1, FALSE)</f>
        <v>#N/A</v>
      </c>
      <c r="L30" t="e">
        <f>VLOOKUP(F30, 'Season 3'!$A$2:$CH$113, $J$1+1, FALSE)</f>
        <v>#N/A</v>
      </c>
      <c r="N30" s="47" t="e">
        <f t="shared" si="2"/>
        <v>#N/A</v>
      </c>
      <c r="O30" s="47" t="e">
        <f t="shared" si="3"/>
        <v>#N/A</v>
      </c>
      <c r="Q30" t="e">
        <f t="shared" si="4"/>
        <v>#N/A</v>
      </c>
      <c r="S30" t="e">
        <f t="shared" si="5"/>
        <v>#N/A</v>
      </c>
      <c r="T30" s="48" t="e">
        <f t="shared" si="6"/>
        <v>#N/A</v>
      </c>
    </row>
    <row r="31" spans="8:20" x14ac:dyDescent="0.35">
      <c r="H31">
        <f t="shared" si="0"/>
        <v>0</v>
      </c>
      <c r="I31">
        <f t="shared" si="1"/>
        <v>44</v>
      </c>
      <c r="K31" t="e">
        <f>VLOOKUP(C31, 'Season 3'!$A$2:$CH$113, $J$1+1, FALSE)</f>
        <v>#N/A</v>
      </c>
      <c r="L31" t="e">
        <f>VLOOKUP(F31, 'Season 3'!$A$2:$CH$113, $J$1+1, FALSE)</f>
        <v>#N/A</v>
      </c>
      <c r="N31" s="47" t="e">
        <f t="shared" si="2"/>
        <v>#N/A</v>
      </c>
      <c r="O31" s="47" t="e">
        <f t="shared" si="3"/>
        <v>#N/A</v>
      </c>
      <c r="Q31" t="e">
        <f t="shared" si="4"/>
        <v>#N/A</v>
      </c>
      <c r="S31" t="e">
        <f t="shared" si="5"/>
        <v>#N/A</v>
      </c>
      <c r="T31" s="48" t="e">
        <f t="shared" si="6"/>
        <v>#N/A</v>
      </c>
    </row>
    <row r="32" spans="8:20" x14ac:dyDescent="0.35">
      <c r="H32">
        <f t="shared" si="0"/>
        <v>0</v>
      </c>
      <c r="I32">
        <f t="shared" si="1"/>
        <v>44</v>
      </c>
      <c r="K32" t="e">
        <f>VLOOKUP(C32, 'Season 3'!$A$2:$CH$113, $J$1+1, FALSE)</f>
        <v>#N/A</v>
      </c>
      <c r="L32" t="e">
        <f>VLOOKUP(F32, 'Season 3'!$A$2:$CH$113, $J$1+1, FALSE)</f>
        <v>#N/A</v>
      </c>
      <c r="N32" s="47" t="e">
        <f t="shared" si="2"/>
        <v>#N/A</v>
      </c>
      <c r="O32" s="47" t="e">
        <f t="shared" si="3"/>
        <v>#N/A</v>
      </c>
      <c r="Q32" t="e">
        <f t="shared" si="4"/>
        <v>#N/A</v>
      </c>
      <c r="S32" t="e">
        <f t="shared" si="5"/>
        <v>#N/A</v>
      </c>
      <c r="T32" s="48" t="e">
        <f t="shared" si="6"/>
        <v>#N/A</v>
      </c>
    </row>
    <row r="33" spans="8:20" x14ac:dyDescent="0.35">
      <c r="H33">
        <f t="shared" si="0"/>
        <v>0</v>
      </c>
      <c r="I33">
        <f t="shared" si="1"/>
        <v>44</v>
      </c>
      <c r="K33" t="e">
        <f>VLOOKUP(C33, 'Season 3'!$A$2:$CH$113, $J$1+1, FALSE)</f>
        <v>#N/A</v>
      </c>
      <c r="L33" t="e">
        <f>VLOOKUP(F33, 'Season 3'!$A$2:$CH$113, $J$1+1, FALSE)</f>
        <v>#N/A</v>
      </c>
      <c r="N33" s="47" t="e">
        <f t="shared" si="2"/>
        <v>#N/A</v>
      </c>
      <c r="O33" s="47" t="e">
        <f t="shared" si="3"/>
        <v>#N/A</v>
      </c>
      <c r="Q33" t="e">
        <f t="shared" si="4"/>
        <v>#N/A</v>
      </c>
      <c r="S33" t="e">
        <f t="shared" si="5"/>
        <v>#N/A</v>
      </c>
      <c r="T33" s="48" t="e">
        <f t="shared" si="6"/>
        <v>#N/A</v>
      </c>
    </row>
    <row r="34" spans="8:20" x14ac:dyDescent="0.35">
      <c r="H34">
        <f t="shared" si="0"/>
        <v>0</v>
      </c>
      <c r="I34">
        <f t="shared" si="1"/>
        <v>44</v>
      </c>
      <c r="K34" t="e">
        <f>VLOOKUP(C34, 'Season 3'!$A$2:$CH$113, $J$1+1, FALSE)</f>
        <v>#N/A</v>
      </c>
      <c r="L34" t="e">
        <f>VLOOKUP(F34, 'Season 3'!$A$2:$CH$113, $J$1+1, FALSE)</f>
        <v>#N/A</v>
      </c>
      <c r="N34" s="47" t="e">
        <f t="shared" si="2"/>
        <v>#N/A</v>
      </c>
      <c r="O34" s="47" t="e">
        <f t="shared" si="3"/>
        <v>#N/A</v>
      </c>
      <c r="Q34" t="e">
        <f t="shared" si="4"/>
        <v>#N/A</v>
      </c>
      <c r="S34" t="e">
        <f t="shared" si="5"/>
        <v>#N/A</v>
      </c>
      <c r="T34" s="48" t="e">
        <f t="shared" si="6"/>
        <v>#N/A</v>
      </c>
    </row>
    <row r="35" spans="8:20" x14ac:dyDescent="0.35">
      <c r="H35">
        <f t="shared" si="0"/>
        <v>0</v>
      </c>
      <c r="I35">
        <f t="shared" si="1"/>
        <v>44</v>
      </c>
      <c r="K35" t="e">
        <f>VLOOKUP(C35, 'Season 3'!$A$2:$CH$113, $J$1+1, FALSE)</f>
        <v>#N/A</v>
      </c>
      <c r="L35" t="e">
        <f>VLOOKUP(F35, 'Season 3'!$A$2:$CH$113, $J$1+1, FALSE)</f>
        <v>#N/A</v>
      </c>
      <c r="N35" s="47" t="e">
        <f t="shared" si="2"/>
        <v>#N/A</v>
      </c>
      <c r="O35" s="47" t="e">
        <f t="shared" si="3"/>
        <v>#N/A</v>
      </c>
      <c r="Q35" t="e">
        <f t="shared" si="4"/>
        <v>#N/A</v>
      </c>
      <c r="S35" t="e">
        <f t="shared" si="5"/>
        <v>#N/A</v>
      </c>
      <c r="T35" s="48" t="e">
        <f t="shared" si="6"/>
        <v>#N/A</v>
      </c>
    </row>
    <row r="36" spans="8:20" x14ac:dyDescent="0.35">
      <c r="H36">
        <f t="shared" si="0"/>
        <v>0</v>
      </c>
      <c r="I36">
        <f t="shared" si="1"/>
        <v>44</v>
      </c>
      <c r="K36" t="e">
        <f>VLOOKUP(C36, 'Season 3'!$A$2:$CH$113, $J$1+1, FALSE)</f>
        <v>#N/A</v>
      </c>
      <c r="L36" t="e">
        <f>VLOOKUP(F36, 'Season 3'!$A$2:$CH$113, $J$1+1, FALSE)</f>
        <v>#N/A</v>
      </c>
      <c r="N36" s="47" t="e">
        <f t="shared" si="2"/>
        <v>#N/A</v>
      </c>
      <c r="O36" s="47" t="e">
        <f t="shared" si="3"/>
        <v>#N/A</v>
      </c>
      <c r="Q36" t="e">
        <f t="shared" si="4"/>
        <v>#N/A</v>
      </c>
      <c r="S36" t="e">
        <f t="shared" si="5"/>
        <v>#N/A</v>
      </c>
      <c r="T36" s="48" t="e">
        <f t="shared" si="6"/>
        <v>#N/A</v>
      </c>
    </row>
    <row r="37" spans="8:20" x14ac:dyDescent="0.35">
      <c r="H37">
        <f t="shared" si="0"/>
        <v>0</v>
      </c>
      <c r="I37">
        <f t="shared" si="1"/>
        <v>44</v>
      </c>
      <c r="K37" t="e">
        <f>VLOOKUP(C37, 'Season 3'!$A$2:$CH$113, $J$1+1, FALSE)</f>
        <v>#N/A</v>
      </c>
      <c r="L37" t="e">
        <f>VLOOKUP(F37, 'Season 3'!$A$2:$CH$113, $J$1+1, FALSE)</f>
        <v>#N/A</v>
      </c>
      <c r="N37" s="47" t="e">
        <f t="shared" si="2"/>
        <v>#N/A</v>
      </c>
      <c r="O37" s="47" t="e">
        <f t="shared" si="3"/>
        <v>#N/A</v>
      </c>
      <c r="Q37" t="e">
        <f t="shared" si="4"/>
        <v>#N/A</v>
      </c>
      <c r="S37" t="e">
        <f t="shared" si="5"/>
        <v>#N/A</v>
      </c>
      <c r="T37" s="48" t="e">
        <f t="shared" si="6"/>
        <v>#N/A</v>
      </c>
    </row>
    <row r="38" spans="8:20" x14ac:dyDescent="0.35">
      <c r="H38">
        <f t="shared" si="0"/>
        <v>0</v>
      </c>
      <c r="I38">
        <f t="shared" si="1"/>
        <v>44</v>
      </c>
      <c r="K38" t="e">
        <f>VLOOKUP(C38, 'Season 3'!$A$2:$CH$113, $J$1+1, FALSE)</f>
        <v>#N/A</v>
      </c>
      <c r="L38" t="e">
        <f>VLOOKUP(F38, 'Season 3'!$A$2:$CH$113, $J$1+1, FALSE)</f>
        <v>#N/A</v>
      </c>
      <c r="N38" s="47" t="e">
        <f t="shared" si="2"/>
        <v>#N/A</v>
      </c>
      <c r="O38" s="47" t="e">
        <f t="shared" si="3"/>
        <v>#N/A</v>
      </c>
      <c r="Q38" t="e">
        <f t="shared" si="4"/>
        <v>#N/A</v>
      </c>
      <c r="S38" t="e">
        <f t="shared" si="5"/>
        <v>#N/A</v>
      </c>
      <c r="T38" s="48" t="e">
        <f t="shared" si="6"/>
        <v>#N/A</v>
      </c>
    </row>
    <row r="39" spans="8:20" x14ac:dyDescent="0.35">
      <c r="H39">
        <f t="shared" si="0"/>
        <v>0</v>
      </c>
      <c r="I39">
        <f t="shared" si="1"/>
        <v>44</v>
      </c>
      <c r="K39" t="e">
        <f>VLOOKUP(C39, 'Season 3'!$A$2:$CH$113, $J$1+1, FALSE)</f>
        <v>#N/A</v>
      </c>
      <c r="L39" t="e">
        <f>VLOOKUP(F39, 'Season 3'!$A$2:$CH$113, $J$1+1, FALSE)</f>
        <v>#N/A</v>
      </c>
      <c r="N39" s="47" t="e">
        <f t="shared" si="2"/>
        <v>#N/A</v>
      </c>
      <c r="O39" s="47" t="e">
        <f t="shared" si="3"/>
        <v>#N/A</v>
      </c>
      <c r="Q39" t="e">
        <f t="shared" si="4"/>
        <v>#N/A</v>
      </c>
      <c r="S39" t="e">
        <f t="shared" si="5"/>
        <v>#N/A</v>
      </c>
      <c r="T39" s="48" t="e">
        <f t="shared" si="6"/>
        <v>#N/A</v>
      </c>
    </row>
    <row r="40" spans="8:20" x14ac:dyDescent="0.35">
      <c r="H40">
        <f t="shared" si="0"/>
        <v>0</v>
      </c>
      <c r="I40">
        <f t="shared" si="1"/>
        <v>44</v>
      </c>
      <c r="K40" t="e">
        <f>VLOOKUP(C40, 'Season 3'!$A$2:$CH$113, $J$1+1, FALSE)</f>
        <v>#N/A</v>
      </c>
      <c r="L40" t="e">
        <f>VLOOKUP(F40, 'Season 3'!$A$2:$CH$113, $J$1+1, FALSE)</f>
        <v>#N/A</v>
      </c>
      <c r="N40" s="47" t="e">
        <f t="shared" si="2"/>
        <v>#N/A</v>
      </c>
      <c r="O40" s="47" t="e">
        <f t="shared" si="3"/>
        <v>#N/A</v>
      </c>
      <c r="Q40" t="e">
        <f t="shared" si="4"/>
        <v>#N/A</v>
      </c>
      <c r="S40" t="e">
        <f t="shared" si="5"/>
        <v>#N/A</v>
      </c>
      <c r="T40" s="48" t="e">
        <f t="shared" si="6"/>
        <v>#N/A</v>
      </c>
    </row>
    <row r="41" spans="8:20" x14ac:dyDescent="0.35">
      <c r="H41">
        <f t="shared" si="0"/>
        <v>0</v>
      </c>
      <c r="I41">
        <f t="shared" si="1"/>
        <v>44</v>
      </c>
      <c r="K41" t="e">
        <f>VLOOKUP(C41, 'Season 3'!$A$2:$CH$113, $J$1+1, FALSE)</f>
        <v>#N/A</v>
      </c>
      <c r="L41" t="e">
        <f>VLOOKUP(F41, 'Season 3'!$A$2:$CH$113, $J$1+1, FALSE)</f>
        <v>#N/A</v>
      </c>
      <c r="N41" s="47" t="e">
        <f t="shared" si="2"/>
        <v>#N/A</v>
      </c>
      <c r="O41" s="47" t="e">
        <f t="shared" si="3"/>
        <v>#N/A</v>
      </c>
      <c r="Q41" t="e">
        <f t="shared" si="4"/>
        <v>#N/A</v>
      </c>
      <c r="S41" t="e">
        <f t="shared" si="5"/>
        <v>#N/A</v>
      </c>
      <c r="T41" s="48" t="e">
        <f t="shared" si="6"/>
        <v>#N/A</v>
      </c>
    </row>
    <row r="42" spans="8:20" x14ac:dyDescent="0.35">
      <c r="H42">
        <f t="shared" ref="H42:H49" si="7">D42-E42</f>
        <v>0</v>
      </c>
      <c r="I42">
        <f t="shared" si="1"/>
        <v>44</v>
      </c>
      <c r="K42" t="e">
        <f>VLOOKUP(C42, 'Season 3'!$A$2:$CH$113, $J$1+1, FALSE)</f>
        <v>#N/A</v>
      </c>
      <c r="L42" t="e">
        <f>VLOOKUP(F42, 'Season 3'!$A$2:$CH$113, $J$1+1, FALSE)</f>
        <v>#N/A</v>
      </c>
      <c r="N42" s="47" t="e">
        <f t="shared" ref="N42:N49" si="8">1/(10^(-(K42-L42)/400)+1)</f>
        <v>#N/A</v>
      </c>
      <c r="O42" s="47" t="e">
        <f t="shared" si="3"/>
        <v>#N/A</v>
      </c>
      <c r="Q42" t="e">
        <f t="shared" ref="Q42:Q49" si="9">ROUNDUP(I42*(1-N42),0)</f>
        <v>#N/A</v>
      </c>
      <c r="S42" t="e">
        <f t="shared" ref="S42:S49" si="10">K42+Q42</f>
        <v>#N/A</v>
      </c>
      <c r="T42" s="48" t="e">
        <f t="shared" ref="T42:T49" si="11">L42-Q42</f>
        <v>#N/A</v>
      </c>
    </row>
    <row r="43" spans="8:20" x14ac:dyDescent="0.35">
      <c r="H43">
        <f t="shared" si="7"/>
        <v>0</v>
      </c>
      <c r="I43">
        <f t="shared" si="1"/>
        <v>44</v>
      </c>
      <c r="K43" t="e">
        <f>VLOOKUP(C43, 'Season 3'!$A$2:$CH$113, $J$1+1, FALSE)</f>
        <v>#N/A</v>
      </c>
      <c r="L43" t="e">
        <f>VLOOKUP(F43, 'Season 3'!$A$2:$CH$113, $J$1+1, FALSE)</f>
        <v>#N/A</v>
      </c>
      <c r="N43" s="47" t="e">
        <f t="shared" si="8"/>
        <v>#N/A</v>
      </c>
      <c r="O43" s="47" t="e">
        <f t="shared" si="3"/>
        <v>#N/A</v>
      </c>
      <c r="Q43" t="e">
        <f t="shared" si="9"/>
        <v>#N/A</v>
      </c>
      <c r="S43" t="e">
        <f t="shared" si="10"/>
        <v>#N/A</v>
      </c>
      <c r="T43" s="48" t="e">
        <f t="shared" si="11"/>
        <v>#N/A</v>
      </c>
    </row>
    <row r="44" spans="8:20" x14ac:dyDescent="0.35">
      <c r="H44">
        <f t="shared" si="7"/>
        <v>0</v>
      </c>
      <c r="I44">
        <f t="shared" si="1"/>
        <v>44</v>
      </c>
      <c r="K44" t="e">
        <f>VLOOKUP(C44, 'Season 3'!$A$2:$CH$113, $J$1+1, FALSE)</f>
        <v>#N/A</v>
      </c>
      <c r="L44" t="e">
        <f>VLOOKUP(F44, 'Season 3'!$A$2:$CH$113, $J$1+1, FALSE)</f>
        <v>#N/A</v>
      </c>
      <c r="N44" s="47" t="e">
        <f t="shared" si="8"/>
        <v>#N/A</v>
      </c>
      <c r="O44" s="47" t="e">
        <f t="shared" si="3"/>
        <v>#N/A</v>
      </c>
      <c r="Q44" t="e">
        <f t="shared" si="9"/>
        <v>#N/A</v>
      </c>
      <c r="S44" t="e">
        <f t="shared" si="10"/>
        <v>#N/A</v>
      </c>
      <c r="T44" s="48" t="e">
        <f t="shared" si="11"/>
        <v>#N/A</v>
      </c>
    </row>
    <row r="45" spans="8:20" x14ac:dyDescent="0.35">
      <c r="H45">
        <f t="shared" si="7"/>
        <v>0</v>
      </c>
      <c r="I45">
        <f t="shared" si="1"/>
        <v>44</v>
      </c>
      <c r="K45" t="e">
        <f>VLOOKUP(C45, 'Season 3'!$A$2:$CH$113, $J$1+1, FALSE)</f>
        <v>#N/A</v>
      </c>
      <c r="L45" t="e">
        <f>VLOOKUP(F45, 'Season 3'!$A$2:$CH$113, $J$1+1, FALSE)</f>
        <v>#N/A</v>
      </c>
      <c r="N45" s="47" t="e">
        <f t="shared" si="8"/>
        <v>#N/A</v>
      </c>
      <c r="O45" s="47" t="e">
        <f t="shared" si="3"/>
        <v>#N/A</v>
      </c>
      <c r="Q45" t="e">
        <f t="shared" si="9"/>
        <v>#N/A</v>
      </c>
      <c r="S45" t="e">
        <f t="shared" si="10"/>
        <v>#N/A</v>
      </c>
      <c r="T45" s="48" t="e">
        <f t="shared" si="11"/>
        <v>#N/A</v>
      </c>
    </row>
    <row r="46" spans="8:20" x14ac:dyDescent="0.35">
      <c r="H46">
        <f t="shared" si="7"/>
        <v>0</v>
      </c>
      <c r="I46">
        <f t="shared" si="1"/>
        <v>44</v>
      </c>
      <c r="K46" t="e">
        <f>VLOOKUP(C46, 'Season 3'!$A$2:$CH$113, $J$1+1, FALSE)</f>
        <v>#N/A</v>
      </c>
      <c r="L46" t="e">
        <f>VLOOKUP(F46, 'Season 3'!$A$2:$CH$113, $J$1+1, FALSE)</f>
        <v>#N/A</v>
      </c>
      <c r="N46" s="47" t="e">
        <f t="shared" si="8"/>
        <v>#N/A</v>
      </c>
      <c r="O46" s="47" t="e">
        <f t="shared" si="3"/>
        <v>#N/A</v>
      </c>
      <c r="Q46" t="e">
        <f t="shared" si="9"/>
        <v>#N/A</v>
      </c>
      <c r="S46" t="e">
        <f t="shared" si="10"/>
        <v>#N/A</v>
      </c>
      <c r="T46" s="48" t="e">
        <f t="shared" si="11"/>
        <v>#N/A</v>
      </c>
    </row>
    <row r="47" spans="8:20" x14ac:dyDescent="0.35">
      <c r="H47">
        <f t="shared" si="7"/>
        <v>0</v>
      </c>
      <c r="I47">
        <f t="shared" si="1"/>
        <v>44</v>
      </c>
      <c r="K47" t="e">
        <f>VLOOKUP(C47, 'Season 3'!$A$2:$CH$113, $J$1+1, FALSE)</f>
        <v>#N/A</v>
      </c>
      <c r="L47" t="e">
        <f>VLOOKUP(F47, 'Season 3'!$A$2:$CH$113, $J$1+1, FALSE)</f>
        <v>#N/A</v>
      </c>
      <c r="N47" s="47" t="e">
        <f t="shared" si="8"/>
        <v>#N/A</v>
      </c>
      <c r="O47" s="47" t="e">
        <f t="shared" si="3"/>
        <v>#N/A</v>
      </c>
      <c r="Q47" t="e">
        <f t="shared" si="9"/>
        <v>#N/A</v>
      </c>
      <c r="S47" t="e">
        <f t="shared" si="10"/>
        <v>#N/A</v>
      </c>
      <c r="T47" s="48" t="e">
        <f t="shared" si="11"/>
        <v>#N/A</v>
      </c>
    </row>
    <row r="48" spans="8:20" x14ac:dyDescent="0.35">
      <c r="H48">
        <f t="shared" si="7"/>
        <v>0</v>
      </c>
      <c r="I48">
        <f t="shared" si="1"/>
        <v>44</v>
      </c>
      <c r="K48" t="e">
        <f>VLOOKUP(C48, 'Season 3'!$A$2:$CH$113, $J$1+1, FALSE)</f>
        <v>#N/A</v>
      </c>
      <c r="L48" t="e">
        <f>VLOOKUP(F48, 'Season 3'!$A$2:$CH$113, $J$1+1, FALSE)</f>
        <v>#N/A</v>
      </c>
      <c r="N48" s="47" t="e">
        <f t="shared" si="8"/>
        <v>#N/A</v>
      </c>
      <c r="O48" s="47" t="e">
        <f t="shared" si="3"/>
        <v>#N/A</v>
      </c>
      <c r="Q48" t="e">
        <f t="shared" si="9"/>
        <v>#N/A</v>
      </c>
      <c r="S48" t="e">
        <f t="shared" si="10"/>
        <v>#N/A</v>
      </c>
      <c r="T48" s="48" t="e">
        <f t="shared" si="11"/>
        <v>#N/A</v>
      </c>
    </row>
    <row r="49" spans="3:20" x14ac:dyDescent="0.35">
      <c r="H49">
        <f t="shared" si="7"/>
        <v>0</v>
      </c>
      <c r="I49">
        <f t="shared" si="1"/>
        <v>44</v>
      </c>
      <c r="K49" t="e">
        <f>VLOOKUP(C49, 'Season 3'!$A$2:$CH$113, $J$1+1, FALSE)</f>
        <v>#N/A</v>
      </c>
      <c r="L49" t="e">
        <f>VLOOKUP(F49, 'Season 3'!$A$2:$CH$113, $J$1+1, FALSE)</f>
        <v>#N/A</v>
      </c>
      <c r="N49" s="47" t="e">
        <f t="shared" si="8"/>
        <v>#N/A</v>
      </c>
      <c r="O49" s="47" t="e">
        <f t="shared" si="3"/>
        <v>#N/A</v>
      </c>
      <c r="Q49" t="e">
        <f t="shared" si="9"/>
        <v>#N/A</v>
      </c>
      <c r="S49" t="e">
        <f t="shared" si="10"/>
        <v>#N/A</v>
      </c>
      <c r="T49" s="48" t="e">
        <f t="shared" si="11"/>
        <v>#N/A</v>
      </c>
    </row>
    <row r="50" spans="3:20" x14ac:dyDescent="0.35">
      <c r="H50">
        <f t="shared" ref="H50:H57" si="12">D50-E50</f>
        <v>0</v>
      </c>
      <c r="I50">
        <f t="shared" si="1"/>
        <v>44</v>
      </c>
      <c r="K50" t="e">
        <f>VLOOKUP(C50, 'Season 3'!$A$2:$CH$113, $J$1+1, FALSE)</f>
        <v>#N/A</v>
      </c>
      <c r="L50" t="e">
        <f>VLOOKUP(F50, 'Season 3'!$A$2:$CH$113, $J$1+1, FALSE)</f>
        <v>#N/A</v>
      </c>
      <c r="N50" s="47" t="e">
        <f t="shared" ref="N50:N57" si="13">1/(10^(-(K50-L50)/400)+1)</f>
        <v>#N/A</v>
      </c>
      <c r="O50" s="47" t="e">
        <f t="shared" ref="O50:O57" si="14">1-N50</f>
        <v>#N/A</v>
      </c>
      <c r="Q50" t="e">
        <f t="shared" ref="Q50:Q57" si="15">ROUNDUP(I50*(1-N50),0)</f>
        <v>#N/A</v>
      </c>
      <c r="S50" t="e">
        <f t="shared" ref="S50:S57" si="16">K50+Q50</f>
        <v>#N/A</v>
      </c>
      <c r="T50" s="48" t="e">
        <f t="shared" ref="T50:T57" si="17">L50-Q50</f>
        <v>#N/A</v>
      </c>
    </row>
    <row r="51" spans="3:20" x14ac:dyDescent="0.35">
      <c r="H51">
        <f t="shared" si="12"/>
        <v>0</v>
      </c>
      <c r="I51">
        <f t="shared" si="1"/>
        <v>44</v>
      </c>
      <c r="K51" t="e">
        <f>VLOOKUP(C51, 'Season 3'!$A$2:$CH$113, $J$1+1, FALSE)</f>
        <v>#N/A</v>
      </c>
      <c r="L51" t="e">
        <f>VLOOKUP(F51, 'Season 3'!$A$2:$CH$113, $J$1+1, FALSE)</f>
        <v>#N/A</v>
      </c>
      <c r="N51" s="47" t="e">
        <f t="shared" si="13"/>
        <v>#N/A</v>
      </c>
      <c r="O51" s="47" t="e">
        <f t="shared" si="14"/>
        <v>#N/A</v>
      </c>
      <c r="Q51" t="e">
        <f t="shared" si="15"/>
        <v>#N/A</v>
      </c>
      <c r="S51" t="e">
        <f t="shared" si="16"/>
        <v>#N/A</v>
      </c>
      <c r="T51" s="48" t="e">
        <f t="shared" si="17"/>
        <v>#N/A</v>
      </c>
    </row>
    <row r="52" spans="3:20" x14ac:dyDescent="0.35">
      <c r="H52">
        <f t="shared" si="12"/>
        <v>0</v>
      </c>
      <c r="I52">
        <f t="shared" si="1"/>
        <v>44</v>
      </c>
      <c r="K52" t="e">
        <f>VLOOKUP(C52, 'Season 3'!$A$2:$CH$113, $J$1+1, FALSE)</f>
        <v>#N/A</v>
      </c>
      <c r="L52" t="e">
        <f>VLOOKUP(F52, 'Season 3'!$A$2:$CH$113, $J$1+1, FALSE)</f>
        <v>#N/A</v>
      </c>
      <c r="N52" s="47" t="e">
        <f t="shared" si="13"/>
        <v>#N/A</v>
      </c>
      <c r="O52" s="47" t="e">
        <f t="shared" si="14"/>
        <v>#N/A</v>
      </c>
      <c r="Q52" t="e">
        <f t="shared" si="15"/>
        <v>#N/A</v>
      </c>
      <c r="S52" t="e">
        <f t="shared" si="16"/>
        <v>#N/A</v>
      </c>
      <c r="T52" s="48" t="e">
        <f t="shared" si="17"/>
        <v>#N/A</v>
      </c>
    </row>
    <row r="53" spans="3:20" x14ac:dyDescent="0.35">
      <c r="H53">
        <f t="shared" si="12"/>
        <v>0</v>
      </c>
      <c r="I53">
        <f t="shared" si="1"/>
        <v>44</v>
      </c>
      <c r="K53" t="e">
        <f>VLOOKUP(C53, 'Season 3'!$A$2:$CH$113, $J$1+1, FALSE)</f>
        <v>#N/A</v>
      </c>
      <c r="L53" t="e">
        <f>VLOOKUP(F53, 'Season 3'!$A$2:$CH$113, $J$1+1, FALSE)</f>
        <v>#N/A</v>
      </c>
      <c r="N53" s="47" t="e">
        <f t="shared" si="13"/>
        <v>#N/A</v>
      </c>
      <c r="O53" s="47" t="e">
        <f t="shared" si="14"/>
        <v>#N/A</v>
      </c>
      <c r="Q53" t="e">
        <f t="shared" si="15"/>
        <v>#N/A</v>
      </c>
      <c r="S53" t="e">
        <f t="shared" si="16"/>
        <v>#N/A</v>
      </c>
      <c r="T53" s="48" t="e">
        <f t="shared" si="17"/>
        <v>#N/A</v>
      </c>
    </row>
    <row r="54" spans="3:20" x14ac:dyDescent="0.35">
      <c r="H54">
        <f t="shared" si="12"/>
        <v>0</v>
      </c>
      <c r="I54">
        <f t="shared" si="1"/>
        <v>44</v>
      </c>
      <c r="K54" t="e">
        <f>VLOOKUP(C54, 'Season 3'!$A$2:$CH$113, $J$1+1, FALSE)</f>
        <v>#N/A</v>
      </c>
      <c r="L54" t="e">
        <f>VLOOKUP(F54, 'Season 3'!$A$2:$CH$113, $J$1+1, FALSE)</f>
        <v>#N/A</v>
      </c>
      <c r="N54" s="47" t="e">
        <f t="shared" si="13"/>
        <v>#N/A</v>
      </c>
      <c r="O54" s="47" t="e">
        <f t="shared" si="14"/>
        <v>#N/A</v>
      </c>
      <c r="Q54" t="e">
        <f t="shared" si="15"/>
        <v>#N/A</v>
      </c>
      <c r="S54" t="e">
        <f t="shared" si="16"/>
        <v>#N/A</v>
      </c>
      <c r="T54" s="48" t="e">
        <f t="shared" si="17"/>
        <v>#N/A</v>
      </c>
    </row>
    <row r="55" spans="3:20" x14ac:dyDescent="0.35">
      <c r="H55">
        <f t="shared" si="12"/>
        <v>0</v>
      </c>
      <c r="I55">
        <f t="shared" si="1"/>
        <v>44</v>
      </c>
      <c r="K55" t="e">
        <f>VLOOKUP(C55, 'Season 3'!$A$2:$CH$113, $J$1+1, FALSE)</f>
        <v>#N/A</v>
      </c>
      <c r="L55" t="e">
        <f>VLOOKUP(F55, 'Season 3'!$A$2:$CH$113, $J$1+1, FALSE)</f>
        <v>#N/A</v>
      </c>
      <c r="N55" s="47" t="e">
        <f t="shared" si="13"/>
        <v>#N/A</v>
      </c>
      <c r="O55" s="47" t="e">
        <f t="shared" si="14"/>
        <v>#N/A</v>
      </c>
      <c r="Q55" t="e">
        <f t="shared" si="15"/>
        <v>#N/A</v>
      </c>
      <c r="S55" t="e">
        <f t="shared" si="16"/>
        <v>#N/A</v>
      </c>
      <c r="T55" s="48" t="e">
        <f t="shared" si="17"/>
        <v>#N/A</v>
      </c>
    </row>
    <row r="56" spans="3:20" x14ac:dyDescent="0.35">
      <c r="H56">
        <f t="shared" si="12"/>
        <v>0</v>
      </c>
      <c r="I56">
        <f t="shared" si="1"/>
        <v>44</v>
      </c>
      <c r="K56" t="e">
        <f>VLOOKUP(C56, 'Season 3'!$A$2:$CH$113, $J$1+1, FALSE)</f>
        <v>#N/A</v>
      </c>
      <c r="L56" t="e">
        <f>VLOOKUP(F56, 'Season 3'!$A$2:$CH$113, $J$1+1, FALSE)</f>
        <v>#N/A</v>
      </c>
      <c r="N56" s="47" t="e">
        <f t="shared" si="13"/>
        <v>#N/A</v>
      </c>
      <c r="O56" s="47" t="e">
        <f t="shared" si="14"/>
        <v>#N/A</v>
      </c>
      <c r="Q56" t="e">
        <f t="shared" si="15"/>
        <v>#N/A</v>
      </c>
      <c r="S56" t="e">
        <f t="shared" si="16"/>
        <v>#N/A</v>
      </c>
      <c r="T56" s="48" t="e">
        <f t="shared" si="17"/>
        <v>#N/A</v>
      </c>
    </row>
    <row r="57" spans="3:20" x14ac:dyDescent="0.35">
      <c r="H57">
        <f t="shared" si="12"/>
        <v>0</v>
      </c>
      <c r="I57">
        <f t="shared" si="1"/>
        <v>44</v>
      </c>
      <c r="K57" t="e">
        <f>VLOOKUP(C57, 'Season 3'!$A$2:$CH$113, $J$1+1, FALSE)</f>
        <v>#N/A</v>
      </c>
      <c r="L57" t="e">
        <f>VLOOKUP(F57, 'Season 3'!$A$2:$CH$113, $J$1+1, FALSE)</f>
        <v>#N/A</v>
      </c>
      <c r="N57" s="47" t="e">
        <f t="shared" si="13"/>
        <v>#N/A</v>
      </c>
      <c r="O57" s="47" t="e">
        <f t="shared" si="14"/>
        <v>#N/A</v>
      </c>
      <c r="Q57" t="e">
        <f t="shared" si="15"/>
        <v>#N/A</v>
      </c>
      <c r="S57" t="e">
        <f t="shared" si="16"/>
        <v>#N/A</v>
      </c>
      <c r="T57" s="48" t="e">
        <f t="shared" si="17"/>
        <v>#N/A</v>
      </c>
    </row>
    <row r="62" spans="3:20" x14ac:dyDescent="0.35">
      <c r="C62" t="str">
        <f t="shared" ref="C62:C101" si="18">C2</f>
        <v>Resort Area</v>
      </c>
      <c r="F62">
        <f>S2</f>
        <v>2180</v>
      </c>
    </row>
    <row r="63" spans="3:20" x14ac:dyDescent="0.35">
      <c r="C63">
        <f t="shared" si="18"/>
        <v>0</v>
      </c>
      <c r="F63" t="e">
        <f t="shared" ref="F63:F101" si="19">S3</f>
        <v>#N/A</v>
      </c>
    </row>
    <row r="64" spans="3:20" x14ac:dyDescent="0.35">
      <c r="C64">
        <f t="shared" si="18"/>
        <v>0</v>
      </c>
      <c r="F64" t="e">
        <f t="shared" si="19"/>
        <v>#N/A</v>
      </c>
    </row>
    <row r="65" spans="3:6" x14ac:dyDescent="0.35">
      <c r="C65">
        <f t="shared" si="18"/>
        <v>0</v>
      </c>
      <c r="F65" t="e">
        <f t="shared" si="19"/>
        <v>#N/A</v>
      </c>
    </row>
    <row r="66" spans="3:6" x14ac:dyDescent="0.35">
      <c r="C66">
        <f t="shared" si="18"/>
        <v>0</v>
      </c>
      <c r="F66" t="e">
        <f t="shared" si="19"/>
        <v>#N/A</v>
      </c>
    </row>
    <row r="67" spans="3:6" x14ac:dyDescent="0.35">
      <c r="C67">
        <f t="shared" si="18"/>
        <v>0</v>
      </c>
      <c r="F67" t="e">
        <f t="shared" si="19"/>
        <v>#N/A</v>
      </c>
    </row>
    <row r="68" spans="3:6" x14ac:dyDescent="0.35">
      <c r="C68">
        <f t="shared" si="18"/>
        <v>0</v>
      </c>
      <c r="F68" t="e">
        <f t="shared" si="19"/>
        <v>#N/A</v>
      </c>
    </row>
    <row r="69" spans="3:6" x14ac:dyDescent="0.35">
      <c r="C69">
        <f t="shared" si="18"/>
        <v>0</v>
      </c>
      <c r="F69" t="e">
        <f t="shared" si="19"/>
        <v>#N/A</v>
      </c>
    </row>
    <row r="70" spans="3:6" x14ac:dyDescent="0.35">
      <c r="C70">
        <f t="shared" si="18"/>
        <v>0</v>
      </c>
      <c r="F70" t="e">
        <f t="shared" si="19"/>
        <v>#N/A</v>
      </c>
    </row>
    <row r="71" spans="3:6" x14ac:dyDescent="0.35">
      <c r="C71">
        <f t="shared" si="18"/>
        <v>0</v>
      </c>
      <c r="F71" t="e">
        <f t="shared" si="19"/>
        <v>#N/A</v>
      </c>
    </row>
    <row r="72" spans="3:6" x14ac:dyDescent="0.35">
      <c r="C72">
        <f t="shared" si="18"/>
        <v>0</v>
      </c>
      <c r="F72" t="e">
        <f t="shared" si="19"/>
        <v>#N/A</v>
      </c>
    </row>
    <row r="73" spans="3:6" x14ac:dyDescent="0.35">
      <c r="C73">
        <f t="shared" si="18"/>
        <v>0</v>
      </c>
      <c r="F73" t="e">
        <f t="shared" si="19"/>
        <v>#N/A</v>
      </c>
    </row>
    <row r="74" spans="3:6" x14ac:dyDescent="0.35">
      <c r="C74">
        <f t="shared" si="18"/>
        <v>0</v>
      </c>
      <c r="F74" t="e">
        <f t="shared" si="19"/>
        <v>#N/A</v>
      </c>
    </row>
    <row r="75" spans="3:6" x14ac:dyDescent="0.35">
      <c r="C75">
        <f t="shared" si="18"/>
        <v>0</v>
      </c>
      <c r="F75" t="e">
        <f t="shared" si="19"/>
        <v>#N/A</v>
      </c>
    </row>
    <row r="76" spans="3:6" x14ac:dyDescent="0.35">
      <c r="C76">
        <f t="shared" si="18"/>
        <v>0</v>
      </c>
      <c r="F76" t="e">
        <f t="shared" si="19"/>
        <v>#N/A</v>
      </c>
    </row>
    <row r="77" spans="3:6" x14ac:dyDescent="0.35">
      <c r="C77">
        <f t="shared" si="18"/>
        <v>0</v>
      </c>
      <c r="F77" t="e">
        <f t="shared" si="19"/>
        <v>#N/A</v>
      </c>
    </row>
    <row r="78" spans="3:6" x14ac:dyDescent="0.35">
      <c r="C78">
        <f t="shared" si="18"/>
        <v>0</v>
      </c>
      <c r="F78" t="e">
        <f t="shared" si="19"/>
        <v>#N/A</v>
      </c>
    </row>
    <row r="79" spans="3:6" x14ac:dyDescent="0.35">
      <c r="C79">
        <f t="shared" si="18"/>
        <v>0</v>
      </c>
      <c r="F79" t="e">
        <f t="shared" si="19"/>
        <v>#N/A</v>
      </c>
    </row>
    <row r="80" spans="3:6" x14ac:dyDescent="0.35">
      <c r="C80">
        <f t="shared" si="18"/>
        <v>0</v>
      </c>
      <c r="F80" t="e">
        <f t="shared" si="19"/>
        <v>#N/A</v>
      </c>
    </row>
    <row r="81" spans="3:6" x14ac:dyDescent="0.35">
      <c r="C81">
        <f t="shared" si="18"/>
        <v>0</v>
      </c>
      <c r="F81" t="e">
        <f t="shared" si="19"/>
        <v>#N/A</v>
      </c>
    </row>
    <row r="82" spans="3:6" x14ac:dyDescent="0.35">
      <c r="C82">
        <f t="shared" si="18"/>
        <v>0</v>
      </c>
      <c r="F82" t="e">
        <f t="shared" si="19"/>
        <v>#N/A</v>
      </c>
    </row>
    <row r="83" spans="3:6" x14ac:dyDescent="0.35">
      <c r="C83">
        <f t="shared" si="18"/>
        <v>0</v>
      </c>
      <c r="F83" t="e">
        <f t="shared" si="19"/>
        <v>#N/A</v>
      </c>
    </row>
    <row r="84" spans="3:6" x14ac:dyDescent="0.35">
      <c r="C84">
        <f t="shared" si="18"/>
        <v>0</v>
      </c>
      <c r="F84" t="e">
        <f t="shared" si="19"/>
        <v>#N/A</v>
      </c>
    </row>
    <row r="85" spans="3:6" x14ac:dyDescent="0.35">
      <c r="C85">
        <f t="shared" si="18"/>
        <v>0</v>
      </c>
      <c r="F85" t="e">
        <f t="shared" si="19"/>
        <v>#N/A</v>
      </c>
    </row>
    <row r="86" spans="3:6" x14ac:dyDescent="0.35">
      <c r="C86">
        <f t="shared" si="18"/>
        <v>0</v>
      </c>
      <c r="F86" t="e">
        <f t="shared" si="19"/>
        <v>#N/A</v>
      </c>
    </row>
    <row r="87" spans="3:6" x14ac:dyDescent="0.35">
      <c r="C87">
        <f t="shared" si="18"/>
        <v>0</v>
      </c>
      <c r="F87" t="e">
        <f t="shared" si="19"/>
        <v>#N/A</v>
      </c>
    </row>
    <row r="88" spans="3:6" x14ac:dyDescent="0.35">
      <c r="C88">
        <f t="shared" si="18"/>
        <v>0</v>
      </c>
      <c r="F88" t="e">
        <f t="shared" si="19"/>
        <v>#N/A</v>
      </c>
    </row>
    <row r="89" spans="3:6" x14ac:dyDescent="0.35">
      <c r="C89">
        <f t="shared" si="18"/>
        <v>0</v>
      </c>
      <c r="F89" t="e">
        <f t="shared" si="19"/>
        <v>#N/A</v>
      </c>
    </row>
    <row r="90" spans="3:6" x14ac:dyDescent="0.35">
      <c r="C90">
        <f t="shared" si="18"/>
        <v>0</v>
      </c>
      <c r="F90" t="e">
        <f t="shared" si="19"/>
        <v>#N/A</v>
      </c>
    </row>
    <row r="91" spans="3:6" x14ac:dyDescent="0.35">
      <c r="C91">
        <f t="shared" si="18"/>
        <v>0</v>
      </c>
      <c r="F91" t="e">
        <f t="shared" si="19"/>
        <v>#N/A</v>
      </c>
    </row>
    <row r="92" spans="3:6" x14ac:dyDescent="0.35">
      <c r="C92">
        <f t="shared" si="18"/>
        <v>0</v>
      </c>
      <c r="F92" t="e">
        <f t="shared" si="19"/>
        <v>#N/A</v>
      </c>
    </row>
    <row r="93" spans="3:6" x14ac:dyDescent="0.35">
      <c r="C93">
        <f t="shared" si="18"/>
        <v>0</v>
      </c>
      <c r="F93" t="e">
        <f t="shared" si="19"/>
        <v>#N/A</v>
      </c>
    </row>
    <row r="94" spans="3:6" x14ac:dyDescent="0.35">
      <c r="C94">
        <f t="shared" si="18"/>
        <v>0</v>
      </c>
      <c r="F94" t="e">
        <f t="shared" si="19"/>
        <v>#N/A</v>
      </c>
    </row>
    <row r="95" spans="3:6" x14ac:dyDescent="0.35">
      <c r="C95">
        <f t="shared" si="18"/>
        <v>0</v>
      </c>
      <c r="F95" t="e">
        <f t="shared" si="19"/>
        <v>#N/A</v>
      </c>
    </row>
    <row r="96" spans="3:6" x14ac:dyDescent="0.35">
      <c r="C96">
        <f t="shared" si="18"/>
        <v>0</v>
      </c>
      <c r="F96" t="e">
        <f t="shared" si="19"/>
        <v>#N/A</v>
      </c>
    </row>
    <row r="97" spans="3:6" x14ac:dyDescent="0.35">
      <c r="C97">
        <f t="shared" si="18"/>
        <v>0</v>
      </c>
      <c r="F97" t="e">
        <f t="shared" si="19"/>
        <v>#N/A</v>
      </c>
    </row>
    <row r="98" spans="3:6" x14ac:dyDescent="0.35">
      <c r="C98">
        <f t="shared" si="18"/>
        <v>0</v>
      </c>
      <c r="F98" t="e">
        <f t="shared" si="19"/>
        <v>#N/A</v>
      </c>
    </row>
    <row r="99" spans="3:6" x14ac:dyDescent="0.35">
      <c r="C99">
        <f t="shared" si="18"/>
        <v>0</v>
      </c>
      <c r="F99" t="e">
        <f t="shared" si="19"/>
        <v>#N/A</v>
      </c>
    </row>
    <row r="100" spans="3:6" x14ac:dyDescent="0.35">
      <c r="C100">
        <f t="shared" si="18"/>
        <v>0</v>
      </c>
      <c r="F100" t="e">
        <f t="shared" si="19"/>
        <v>#N/A</v>
      </c>
    </row>
    <row r="101" spans="3:6" x14ac:dyDescent="0.35">
      <c r="C101">
        <f t="shared" si="18"/>
        <v>0</v>
      </c>
      <c r="F101" t="e">
        <f t="shared" si="19"/>
        <v>#N/A</v>
      </c>
    </row>
    <row r="102" spans="3:6" x14ac:dyDescent="0.35">
      <c r="C102">
        <f t="shared" ref="C102:C117" si="20">C42</f>
        <v>0</v>
      </c>
      <c r="F102" t="e">
        <f t="shared" ref="F102:F109" si="21">S42</f>
        <v>#N/A</v>
      </c>
    </row>
    <row r="103" spans="3:6" x14ac:dyDescent="0.35">
      <c r="C103">
        <f t="shared" si="20"/>
        <v>0</v>
      </c>
      <c r="F103" t="e">
        <f t="shared" si="21"/>
        <v>#N/A</v>
      </c>
    </row>
    <row r="104" spans="3:6" x14ac:dyDescent="0.35">
      <c r="C104">
        <f t="shared" si="20"/>
        <v>0</v>
      </c>
      <c r="F104" t="e">
        <f t="shared" si="21"/>
        <v>#N/A</v>
      </c>
    </row>
    <row r="105" spans="3:6" x14ac:dyDescent="0.35">
      <c r="C105">
        <f t="shared" si="20"/>
        <v>0</v>
      </c>
      <c r="F105" t="e">
        <f t="shared" si="21"/>
        <v>#N/A</v>
      </c>
    </row>
    <row r="106" spans="3:6" x14ac:dyDescent="0.35">
      <c r="C106">
        <f t="shared" si="20"/>
        <v>0</v>
      </c>
      <c r="F106" t="e">
        <f t="shared" si="21"/>
        <v>#N/A</v>
      </c>
    </row>
    <row r="107" spans="3:6" x14ac:dyDescent="0.35">
      <c r="C107">
        <f t="shared" si="20"/>
        <v>0</v>
      </c>
      <c r="F107" t="e">
        <f t="shared" si="21"/>
        <v>#N/A</v>
      </c>
    </row>
    <row r="108" spans="3:6" x14ac:dyDescent="0.35">
      <c r="C108">
        <f t="shared" si="20"/>
        <v>0</v>
      </c>
      <c r="F108" t="e">
        <f t="shared" si="21"/>
        <v>#N/A</v>
      </c>
    </row>
    <row r="109" spans="3:6" x14ac:dyDescent="0.35">
      <c r="C109">
        <f t="shared" si="20"/>
        <v>0</v>
      </c>
      <c r="F109" t="e">
        <f t="shared" si="21"/>
        <v>#N/A</v>
      </c>
    </row>
    <row r="110" spans="3:6" x14ac:dyDescent="0.35">
      <c r="C110">
        <f t="shared" si="20"/>
        <v>0</v>
      </c>
      <c r="F110" t="e">
        <f t="shared" ref="F110:F117" si="22">S50</f>
        <v>#N/A</v>
      </c>
    </row>
    <row r="111" spans="3:6" x14ac:dyDescent="0.35">
      <c r="C111">
        <f t="shared" si="20"/>
        <v>0</v>
      </c>
      <c r="F111" t="e">
        <f t="shared" si="22"/>
        <v>#N/A</v>
      </c>
    </row>
    <row r="112" spans="3:6" x14ac:dyDescent="0.35">
      <c r="C112">
        <f t="shared" si="20"/>
        <v>0</v>
      </c>
      <c r="F112" t="e">
        <f t="shared" si="22"/>
        <v>#N/A</v>
      </c>
    </row>
    <row r="113" spans="3:6" x14ac:dyDescent="0.35">
      <c r="C113">
        <f t="shared" si="20"/>
        <v>0</v>
      </c>
      <c r="F113" t="e">
        <f t="shared" si="22"/>
        <v>#N/A</v>
      </c>
    </row>
    <row r="114" spans="3:6" x14ac:dyDescent="0.35">
      <c r="C114">
        <f t="shared" si="20"/>
        <v>0</v>
      </c>
      <c r="F114" t="e">
        <f t="shared" si="22"/>
        <v>#N/A</v>
      </c>
    </row>
    <row r="115" spans="3:6" x14ac:dyDescent="0.35">
      <c r="C115">
        <f t="shared" si="20"/>
        <v>0</v>
      </c>
      <c r="F115" t="e">
        <f t="shared" si="22"/>
        <v>#N/A</v>
      </c>
    </row>
    <row r="116" spans="3:6" x14ac:dyDescent="0.35">
      <c r="C116">
        <f t="shared" si="20"/>
        <v>0</v>
      </c>
      <c r="F116" t="e">
        <f t="shared" si="22"/>
        <v>#N/A</v>
      </c>
    </row>
    <row r="117" spans="3:6" x14ac:dyDescent="0.35">
      <c r="C117">
        <f t="shared" si="20"/>
        <v>0</v>
      </c>
      <c r="F117" t="e">
        <f t="shared" si="22"/>
        <v>#N/A</v>
      </c>
    </row>
    <row r="118" spans="3:6" x14ac:dyDescent="0.35">
      <c r="C118" t="str">
        <f t="shared" ref="C118:C157" si="23">F2</f>
        <v>Kala'e Bay</v>
      </c>
      <c r="F118" s="48">
        <f t="shared" ref="F118:F157" si="24">T2</f>
        <v>2113</v>
      </c>
    </row>
    <row r="119" spans="3:6" x14ac:dyDescent="0.35">
      <c r="C119">
        <f t="shared" si="23"/>
        <v>0</v>
      </c>
      <c r="F119" s="48" t="e">
        <f t="shared" si="24"/>
        <v>#N/A</v>
      </c>
    </row>
    <row r="120" spans="3:6" x14ac:dyDescent="0.35">
      <c r="C120">
        <f t="shared" si="23"/>
        <v>0</v>
      </c>
      <c r="F120" s="48" t="e">
        <f t="shared" si="24"/>
        <v>#N/A</v>
      </c>
    </row>
    <row r="121" spans="3:6" x14ac:dyDescent="0.35">
      <c r="C121">
        <f t="shared" si="23"/>
        <v>0</v>
      </c>
      <c r="F121" s="48" t="e">
        <f t="shared" si="24"/>
        <v>#N/A</v>
      </c>
    </row>
    <row r="122" spans="3:6" x14ac:dyDescent="0.35">
      <c r="C122">
        <f t="shared" si="23"/>
        <v>0</v>
      </c>
      <c r="F122" s="48" t="e">
        <f t="shared" si="24"/>
        <v>#N/A</v>
      </c>
    </row>
    <row r="123" spans="3:6" x14ac:dyDescent="0.35">
      <c r="C123">
        <f t="shared" si="23"/>
        <v>0</v>
      </c>
      <c r="F123" s="48" t="e">
        <f t="shared" si="24"/>
        <v>#N/A</v>
      </c>
    </row>
    <row r="124" spans="3:6" x14ac:dyDescent="0.35">
      <c r="C124">
        <f t="shared" si="23"/>
        <v>0</v>
      </c>
      <c r="F124" s="48" t="e">
        <f t="shared" si="24"/>
        <v>#N/A</v>
      </c>
    </row>
    <row r="125" spans="3:6" x14ac:dyDescent="0.35">
      <c r="C125">
        <f t="shared" si="23"/>
        <v>0</v>
      </c>
      <c r="F125" s="48" t="e">
        <f t="shared" si="24"/>
        <v>#N/A</v>
      </c>
    </row>
    <row r="126" spans="3:6" x14ac:dyDescent="0.35">
      <c r="C126">
        <f t="shared" si="23"/>
        <v>0</v>
      </c>
      <c r="F126" s="48" t="e">
        <f t="shared" si="24"/>
        <v>#N/A</v>
      </c>
    </row>
    <row r="127" spans="3:6" x14ac:dyDescent="0.35">
      <c r="C127">
        <f t="shared" si="23"/>
        <v>0</v>
      </c>
      <c r="F127" s="48" t="e">
        <f t="shared" si="24"/>
        <v>#N/A</v>
      </c>
    </row>
    <row r="128" spans="3:6" x14ac:dyDescent="0.35">
      <c r="C128">
        <f t="shared" si="23"/>
        <v>0</v>
      </c>
      <c r="F128" s="48" t="e">
        <f t="shared" si="24"/>
        <v>#N/A</v>
      </c>
    </row>
    <row r="129" spans="3:6" x14ac:dyDescent="0.35">
      <c r="C129">
        <f t="shared" si="23"/>
        <v>0</v>
      </c>
      <c r="F129" s="48" t="e">
        <f t="shared" si="24"/>
        <v>#N/A</v>
      </c>
    </row>
    <row r="130" spans="3:6" x14ac:dyDescent="0.35">
      <c r="C130">
        <f t="shared" si="23"/>
        <v>0</v>
      </c>
      <c r="F130" s="48" t="e">
        <f t="shared" si="24"/>
        <v>#N/A</v>
      </c>
    </row>
    <row r="131" spans="3:6" x14ac:dyDescent="0.35">
      <c r="C131">
        <f t="shared" si="23"/>
        <v>0</v>
      </c>
      <c r="F131" s="48" t="e">
        <f t="shared" si="24"/>
        <v>#N/A</v>
      </c>
    </row>
    <row r="132" spans="3:6" x14ac:dyDescent="0.35">
      <c r="C132">
        <f t="shared" si="23"/>
        <v>0</v>
      </c>
      <c r="F132" s="48" t="e">
        <f t="shared" si="24"/>
        <v>#N/A</v>
      </c>
    </row>
    <row r="133" spans="3:6" x14ac:dyDescent="0.35">
      <c r="C133">
        <f t="shared" si="23"/>
        <v>0</v>
      </c>
      <c r="F133" s="48" t="e">
        <f t="shared" si="24"/>
        <v>#N/A</v>
      </c>
    </row>
    <row r="134" spans="3:6" x14ac:dyDescent="0.35">
      <c r="C134">
        <f t="shared" si="23"/>
        <v>0</v>
      </c>
      <c r="F134" s="48" t="e">
        <f t="shared" si="24"/>
        <v>#N/A</v>
      </c>
    </row>
    <row r="135" spans="3:6" x14ac:dyDescent="0.35">
      <c r="C135">
        <f t="shared" si="23"/>
        <v>0</v>
      </c>
      <c r="F135" s="48" t="e">
        <f t="shared" si="24"/>
        <v>#N/A</v>
      </c>
    </row>
    <row r="136" spans="3:6" x14ac:dyDescent="0.35">
      <c r="C136">
        <f t="shared" si="23"/>
        <v>0</v>
      </c>
      <c r="F136" s="48" t="e">
        <f t="shared" si="24"/>
        <v>#N/A</v>
      </c>
    </row>
    <row r="137" spans="3:6" x14ac:dyDescent="0.35">
      <c r="C137">
        <f t="shared" si="23"/>
        <v>0</v>
      </c>
      <c r="F137" s="48" t="e">
        <f t="shared" si="24"/>
        <v>#N/A</v>
      </c>
    </row>
    <row r="138" spans="3:6" x14ac:dyDescent="0.35">
      <c r="C138">
        <f t="shared" si="23"/>
        <v>0</v>
      </c>
      <c r="F138" s="48" t="e">
        <f t="shared" si="24"/>
        <v>#N/A</v>
      </c>
    </row>
    <row r="139" spans="3:6" x14ac:dyDescent="0.35">
      <c r="C139">
        <f t="shared" si="23"/>
        <v>0</v>
      </c>
      <c r="F139" s="48" t="e">
        <f t="shared" si="24"/>
        <v>#N/A</v>
      </c>
    </row>
    <row r="140" spans="3:6" x14ac:dyDescent="0.35">
      <c r="C140">
        <f t="shared" si="23"/>
        <v>0</v>
      </c>
      <c r="F140" s="48" t="e">
        <f t="shared" si="24"/>
        <v>#N/A</v>
      </c>
    </row>
    <row r="141" spans="3:6" x14ac:dyDescent="0.35">
      <c r="C141">
        <f t="shared" si="23"/>
        <v>0</v>
      </c>
      <c r="F141" s="48" t="e">
        <f t="shared" si="24"/>
        <v>#N/A</v>
      </c>
    </row>
    <row r="142" spans="3:6" x14ac:dyDescent="0.35">
      <c r="C142">
        <f t="shared" si="23"/>
        <v>0</v>
      </c>
      <c r="F142" s="48" t="e">
        <f t="shared" si="24"/>
        <v>#N/A</v>
      </c>
    </row>
    <row r="143" spans="3:6" x14ac:dyDescent="0.35">
      <c r="C143">
        <f t="shared" si="23"/>
        <v>0</v>
      </c>
      <c r="F143" s="48" t="e">
        <f t="shared" si="24"/>
        <v>#N/A</v>
      </c>
    </row>
    <row r="144" spans="3:6" x14ac:dyDescent="0.35">
      <c r="C144">
        <f t="shared" si="23"/>
        <v>0</v>
      </c>
      <c r="F144" s="48" t="e">
        <f t="shared" si="24"/>
        <v>#N/A</v>
      </c>
    </row>
    <row r="145" spans="3:6" x14ac:dyDescent="0.35">
      <c r="C145">
        <f t="shared" si="23"/>
        <v>0</v>
      </c>
      <c r="F145" s="48" t="e">
        <f t="shared" si="24"/>
        <v>#N/A</v>
      </c>
    </row>
    <row r="146" spans="3:6" x14ac:dyDescent="0.35">
      <c r="C146">
        <f t="shared" si="23"/>
        <v>0</v>
      </c>
      <c r="F146" s="48" t="e">
        <f t="shared" si="24"/>
        <v>#N/A</v>
      </c>
    </row>
    <row r="147" spans="3:6" x14ac:dyDescent="0.35">
      <c r="C147">
        <f t="shared" si="23"/>
        <v>0</v>
      </c>
      <c r="F147" s="48" t="e">
        <f t="shared" si="24"/>
        <v>#N/A</v>
      </c>
    </row>
    <row r="148" spans="3:6" x14ac:dyDescent="0.35">
      <c r="C148">
        <f t="shared" si="23"/>
        <v>0</v>
      </c>
      <c r="F148" s="48" t="e">
        <f t="shared" si="24"/>
        <v>#N/A</v>
      </c>
    </row>
    <row r="149" spans="3:6" x14ac:dyDescent="0.35">
      <c r="C149">
        <f t="shared" si="23"/>
        <v>0</v>
      </c>
      <c r="F149" s="48" t="e">
        <f t="shared" si="24"/>
        <v>#N/A</v>
      </c>
    </row>
    <row r="150" spans="3:6" x14ac:dyDescent="0.35">
      <c r="C150">
        <f t="shared" si="23"/>
        <v>0</v>
      </c>
      <c r="F150" s="48" t="e">
        <f t="shared" si="24"/>
        <v>#N/A</v>
      </c>
    </row>
    <row r="151" spans="3:6" x14ac:dyDescent="0.35">
      <c r="C151">
        <f t="shared" si="23"/>
        <v>0</v>
      </c>
      <c r="F151" s="48" t="e">
        <f t="shared" si="24"/>
        <v>#N/A</v>
      </c>
    </row>
    <row r="152" spans="3:6" x14ac:dyDescent="0.35">
      <c r="C152">
        <f t="shared" si="23"/>
        <v>0</v>
      </c>
      <c r="F152" s="48" t="e">
        <f t="shared" si="24"/>
        <v>#N/A</v>
      </c>
    </row>
    <row r="153" spans="3:6" x14ac:dyDescent="0.35">
      <c r="C153">
        <f t="shared" si="23"/>
        <v>0</v>
      </c>
      <c r="F153" s="48" t="e">
        <f t="shared" si="24"/>
        <v>#N/A</v>
      </c>
    </row>
    <row r="154" spans="3:6" x14ac:dyDescent="0.35">
      <c r="C154">
        <f t="shared" si="23"/>
        <v>0</v>
      </c>
      <c r="F154" s="48" t="e">
        <f t="shared" si="24"/>
        <v>#N/A</v>
      </c>
    </row>
    <row r="155" spans="3:6" x14ac:dyDescent="0.35">
      <c r="C155">
        <f t="shared" si="23"/>
        <v>0</v>
      </c>
      <c r="F155" s="48" t="e">
        <f t="shared" si="24"/>
        <v>#N/A</v>
      </c>
    </row>
    <row r="156" spans="3:6" x14ac:dyDescent="0.35">
      <c r="C156">
        <f t="shared" si="23"/>
        <v>0</v>
      </c>
      <c r="F156" s="48" t="e">
        <f t="shared" si="24"/>
        <v>#N/A</v>
      </c>
    </row>
    <row r="157" spans="3:6" x14ac:dyDescent="0.35">
      <c r="C157">
        <f t="shared" si="23"/>
        <v>0</v>
      </c>
      <c r="F157" s="48" t="e">
        <f t="shared" si="24"/>
        <v>#N/A</v>
      </c>
    </row>
    <row r="158" spans="3:6" x14ac:dyDescent="0.35">
      <c r="C158">
        <f t="shared" ref="C158:C165" si="25">F42</f>
        <v>0</v>
      </c>
      <c r="F158" s="48" t="e">
        <f t="shared" ref="F158:F165" si="26">T42</f>
        <v>#N/A</v>
      </c>
    </row>
    <row r="159" spans="3:6" x14ac:dyDescent="0.35">
      <c r="C159">
        <f t="shared" si="25"/>
        <v>0</v>
      </c>
      <c r="F159" s="48" t="e">
        <f t="shared" si="26"/>
        <v>#N/A</v>
      </c>
    </row>
    <row r="160" spans="3:6" x14ac:dyDescent="0.35">
      <c r="C160">
        <f t="shared" si="25"/>
        <v>0</v>
      </c>
      <c r="F160" s="48" t="e">
        <f t="shared" si="26"/>
        <v>#N/A</v>
      </c>
    </row>
    <row r="161" spans="3:6" x14ac:dyDescent="0.35">
      <c r="C161">
        <f t="shared" si="25"/>
        <v>0</v>
      </c>
      <c r="F161" s="48" t="e">
        <f t="shared" si="26"/>
        <v>#N/A</v>
      </c>
    </row>
    <row r="162" spans="3:6" x14ac:dyDescent="0.35">
      <c r="C162">
        <f t="shared" si="25"/>
        <v>0</v>
      </c>
      <c r="F162" s="48" t="e">
        <f t="shared" si="26"/>
        <v>#N/A</v>
      </c>
    </row>
    <row r="163" spans="3:6" x14ac:dyDescent="0.35">
      <c r="C163">
        <f t="shared" si="25"/>
        <v>0</v>
      </c>
      <c r="F163" s="48" t="e">
        <f t="shared" si="26"/>
        <v>#N/A</v>
      </c>
    </row>
    <row r="164" spans="3:6" x14ac:dyDescent="0.35">
      <c r="C164">
        <f t="shared" si="25"/>
        <v>0</v>
      </c>
      <c r="F164" s="48" t="e">
        <f t="shared" si="26"/>
        <v>#N/A</v>
      </c>
    </row>
    <row r="165" spans="3:6" x14ac:dyDescent="0.35">
      <c r="C165">
        <f t="shared" si="25"/>
        <v>0</v>
      </c>
      <c r="F165" s="48" t="e">
        <f t="shared" si="26"/>
        <v>#N/A</v>
      </c>
    </row>
    <row r="166" spans="3:6" x14ac:dyDescent="0.35">
      <c r="C166">
        <f t="shared" ref="C166:C173" si="27">F50</f>
        <v>0</v>
      </c>
      <c r="F166" s="48" t="e">
        <f t="shared" ref="F166:F173" si="28">T50</f>
        <v>#N/A</v>
      </c>
    </row>
    <row r="167" spans="3:6" x14ac:dyDescent="0.35">
      <c r="C167">
        <f t="shared" si="27"/>
        <v>0</v>
      </c>
      <c r="F167" s="48" t="e">
        <f t="shared" si="28"/>
        <v>#N/A</v>
      </c>
    </row>
    <row r="168" spans="3:6" x14ac:dyDescent="0.35">
      <c r="C168">
        <f t="shared" si="27"/>
        <v>0</v>
      </c>
      <c r="F168" s="48" t="e">
        <f t="shared" si="28"/>
        <v>#N/A</v>
      </c>
    </row>
    <row r="169" spans="3:6" x14ac:dyDescent="0.35">
      <c r="C169">
        <f t="shared" si="27"/>
        <v>0</v>
      </c>
      <c r="F169" s="48" t="e">
        <f t="shared" si="28"/>
        <v>#N/A</v>
      </c>
    </row>
    <row r="170" spans="3:6" x14ac:dyDescent="0.35">
      <c r="C170">
        <f t="shared" si="27"/>
        <v>0</v>
      </c>
      <c r="F170" s="48" t="e">
        <f t="shared" si="28"/>
        <v>#N/A</v>
      </c>
    </row>
    <row r="171" spans="3:6" x14ac:dyDescent="0.35">
      <c r="C171">
        <f t="shared" si="27"/>
        <v>0</v>
      </c>
      <c r="F171" s="48" t="e">
        <f t="shared" si="28"/>
        <v>#N/A</v>
      </c>
    </row>
    <row r="172" spans="3:6" x14ac:dyDescent="0.35">
      <c r="C172">
        <f t="shared" si="27"/>
        <v>0</v>
      </c>
      <c r="F172" s="48" t="e">
        <f t="shared" si="28"/>
        <v>#N/A</v>
      </c>
    </row>
    <row r="173" spans="3:6" x14ac:dyDescent="0.35">
      <c r="C173">
        <f t="shared" si="27"/>
        <v>0</v>
      </c>
      <c r="F173" s="48" t="e">
        <f t="shared" si="28"/>
        <v>#N/A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theme="2" tint="-0.249977111117893"/>
  </sheetPr>
  <dimension ref="A1:X1453"/>
  <sheetViews>
    <sheetView zoomScaleNormal="100" workbookViewId="0">
      <pane ySplit="1" topLeftCell="A1310" activePane="bottomLeft" state="frozen"/>
      <selection pane="bottomLeft" activeCell="H1333" sqref="H1333:K1333"/>
    </sheetView>
  </sheetViews>
  <sheetFormatPr defaultRowHeight="14.5" x14ac:dyDescent="0.35"/>
  <cols>
    <col min="1" max="1" width="8.90625" style="2"/>
    <col min="2" max="2" width="5.81640625" style="103" customWidth="1"/>
    <col min="3" max="3" width="30.54296875" style="11" customWidth="1"/>
    <col min="4" max="4" width="7" style="37" customWidth="1"/>
    <col min="5" max="5" width="4.08984375" style="96" customWidth="1"/>
    <col min="6" max="6" width="2.453125" style="35" customWidth="1"/>
    <col min="7" max="7" width="4.08984375" style="35" customWidth="1"/>
    <col min="8" max="8" width="17.81640625" style="1" customWidth="1"/>
    <col min="9" max="9" width="5.90625" style="35" bestFit="1" customWidth="1"/>
    <col min="10" max="10" width="5.90625" style="46" bestFit="1" customWidth="1"/>
    <col min="11" max="11" width="17.81640625" style="11" customWidth="1"/>
    <col min="12" max="12" width="4.08984375" style="27" customWidth="1"/>
    <col min="13" max="13" width="6.6328125" customWidth="1"/>
    <col min="14" max="14" width="15.1796875" bestFit="1" customWidth="1"/>
    <col min="15" max="15" width="4.81640625" customWidth="1"/>
    <col min="16" max="16" width="41.81640625" style="70" customWidth="1"/>
    <col min="17" max="17" width="6.453125" customWidth="1"/>
    <col min="18" max="18" width="3.81640625" customWidth="1"/>
    <col min="19" max="20" width="5.81640625" customWidth="1"/>
    <col min="21" max="22" width="5.453125" customWidth="1"/>
    <col min="23" max="24" width="7.453125" customWidth="1"/>
  </cols>
  <sheetData>
    <row r="1" spans="1:24" s="1" customFormat="1" x14ac:dyDescent="0.35">
      <c r="B1" s="102"/>
      <c r="C1" s="37"/>
      <c r="D1" s="60">
        <f>IF([1]ScoreboardNCAA!J18&gt;=0, [1]ScoreboardNCAA!J17, [1]ScoreboardNCAA!L17)</f>
        <v>-1934.2704458438859</v>
      </c>
      <c r="E1" s="61">
        <f>[1]ScoreboardNCAA!J1</f>
        <v>1314.7271373875856</v>
      </c>
      <c r="F1" s="62" t="str">
        <f>IF(H1=[1]ScoreboardNCAA!B2, "A", "H")</f>
        <v>H</v>
      </c>
      <c r="G1" s="63">
        <f>IF([1]ScoreboardNCAA!J18&gt;=0, [1]ScoreboardNCAA!I4, [1]ScoreboardNCAA!M4)</f>
        <v>1</v>
      </c>
      <c r="H1" s="64" t="str">
        <f>IF([1]ScoreboardNCAA!J18&gt;=0, [1]ScoreboardNCAA!B2,[1]ScoreboardNCAA!N2)</f>
        <v>Cinnabar Island</v>
      </c>
      <c r="I1" s="65">
        <f>MAX([1]ScoreboardNCAA!F6, [1]ScoreboardNCAA!N6)</f>
        <v>4</v>
      </c>
      <c r="J1" s="66">
        <f>MIN([1]ScoreboardNCAA!F6, [1]ScoreboardNCAA!N6)</f>
        <v>0</v>
      </c>
      <c r="K1" s="67" t="str">
        <f>IF([1]ScoreboardNCAA!J18&lt;0, [1]ScoreboardNCAA!B2,[1]ScoreboardNCAA!N2)</f>
        <v>Resort Area</v>
      </c>
      <c r="L1" s="63">
        <f>IF([1]ScoreboardNCAA!J18&lt;0, [1]ScoreboardNCAA!I4, [1]ScoreboardNCAA!M4)</f>
        <v>3</v>
      </c>
      <c r="M1" s="64" t="str">
        <f>IF([1]ScoreboardNCAA!J18&gt;=0,CONCATENATE("[",COUNTA([1]ScoreboardNCAA!B6:E11),"-",COUNTA([1]ScoreboardNCAA!Q6:T11),"]"),CONCATENATE("[",COUNTA([1]ScoreboardNCAA!Q6:T11),"-",COUNTA([1]ScoreboardNCAA!B6:E11),"]"))</f>
        <v>[2-0]</v>
      </c>
      <c r="N1" s="64" t="str">
        <f>IF([1]ScoreboardNCAA!J18&gt;=0,CONCATENATE("{", ROUND([1]ScoreboardNCAA!J4, 3), "-", ROUND([1]ScoreboardNCAA!L4, 3), "}"),CONCATENATE("{", ROUND([1]ScoreboardNCAA!L4, 3), "-", ROUND([1]ScoreboardNCAA!J4, 3), "}"))</f>
        <v>{110.656-0}</v>
      </c>
      <c r="O1" s="64" t="str">
        <f>IF(OR(MID(N1, 5, 1)=".", MID(N1, 6, 1)="."), "MAX", "")</f>
        <v>MAX</v>
      </c>
      <c r="P1" s="68" t="s">
        <v>1356</v>
      </c>
      <c r="S1" s="48"/>
    </row>
    <row r="2" spans="1:24" x14ac:dyDescent="0.35">
      <c r="A2" s="2" t="s">
        <v>1357</v>
      </c>
      <c r="B2" s="103" t="s">
        <v>1098</v>
      </c>
      <c r="C2" s="11" t="s">
        <v>1358</v>
      </c>
      <c r="D2" s="37">
        <v>3.4870000000000001</v>
      </c>
      <c r="E2" s="69">
        <v>12.241428571428569</v>
      </c>
      <c r="G2" s="35">
        <v>79</v>
      </c>
      <c r="H2" s="1" t="s">
        <v>756</v>
      </c>
      <c r="I2" s="35">
        <v>11</v>
      </c>
      <c r="J2" s="46">
        <v>9</v>
      </c>
      <c r="K2" s="11" t="s">
        <v>726</v>
      </c>
      <c r="L2" s="27">
        <v>112</v>
      </c>
      <c r="M2" t="s">
        <v>878</v>
      </c>
      <c r="N2" t="s">
        <v>1359</v>
      </c>
      <c r="P2" s="70" t="s">
        <v>1360</v>
      </c>
      <c r="Q2">
        <f>ABS(D2)</f>
        <v>3.4870000000000001</v>
      </c>
    </row>
    <row r="3" spans="1:24" x14ac:dyDescent="0.35">
      <c r="D3" s="37">
        <v>1.077</v>
      </c>
      <c r="E3" s="69">
        <v>8.6057142857142832</v>
      </c>
      <c r="G3" s="35">
        <v>93</v>
      </c>
      <c r="H3" s="1" t="s">
        <v>779</v>
      </c>
      <c r="I3" s="35">
        <v>14</v>
      </c>
      <c r="J3" s="46">
        <v>11</v>
      </c>
      <c r="K3" s="11" t="s">
        <v>677</v>
      </c>
      <c r="L3" s="27">
        <v>110</v>
      </c>
      <c r="M3" t="s">
        <v>721</v>
      </c>
      <c r="N3" t="s">
        <v>1361</v>
      </c>
      <c r="Q3">
        <f t="shared" ref="Q3:Q66" si="0">ABS(D3)</f>
        <v>1.077</v>
      </c>
    </row>
    <row r="4" spans="1:24" x14ac:dyDescent="0.35">
      <c r="B4" s="102"/>
      <c r="D4" s="37">
        <v>-2.0059999999999998</v>
      </c>
      <c r="E4" s="69">
        <v>13.039999999999996</v>
      </c>
      <c r="G4" s="35">
        <v>109</v>
      </c>
      <c r="H4" s="1" t="s">
        <v>742</v>
      </c>
      <c r="I4" s="35">
        <v>15</v>
      </c>
      <c r="J4" s="46">
        <v>11</v>
      </c>
      <c r="K4" s="11" t="s">
        <v>700</v>
      </c>
      <c r="L4" s="27">
        <v>89</v>
      </c>
      <c r="M4" t="s">
        <v>796</v>
      </c>
      <c r="N4" t="s">
        <v>1362</v>
      </c>
      <c r="Q4">
        <f t="shared" si="0"/>
        <v>2.0059999999999998</v>
      </c>
      <c r="R4" s="48"/>
      <c r="S4" s="48"/>
      <c r="T4" s="48"/>
      <c r="U4" s="48"/>
      <c r="V4" s="48"/>
      <c r="W4" s="48"/>
      <c r="X4" s="48"/>
    </row>
    <row r="5" spans="1:24" x14ac:dyDescent="0.35">
      <c r="B5" s="102"/>
      <c r="D5" s="37">
        <v>4.0590000000000002</v>
      </c>
      <c r="E5" s="69">
        <v>36.431071428571428</v>
      </c>
      <c r="G5" s="35">
        <v>43</v>
      </c>
      <c r="H5" s="1" t="s">
        <v>692</v>
      </c>
      <c r="I5" s="35">
        <v>20</v>
      </c>
      <c r="J5" s="46">
        <v>15</v>
      </c>
      <c r="K5" s="11" t="s">
        <v>753</v>
      </c>
      <c r="L5" s="27">
        <v>108</v>
      </c>
      <c r="M5" t="s">
        <v>796</v>
      </c>
      <c r="N5" t="s">
        <v>1363</v>
      </c>
      <c r="Q5">
        <f t="shared" si="0"/>
        <v>4.0590000000000002</v>
      </c>
      <c r="R5" s="48"/>
      <c r="S5" s="48"/>
      <c r="T5" s="48"/>
      <c r="U5" s="48"/>
      <c r="V5" s="48"/>
      <c r="W5" s="48"/>
      <c r="X5" s="48"/>
    </row>
    <row r="6" spans="1:24" x14ac:dyDescent="0.35">
      <c r="B6" s="102"/>
      <c r="D6" s="37">
        <v>2.1579999999999999</v>
      </c>
      <c r="E6" s="69">
        <v>34.369285714285702</v>
      </c>
      <c r="G6" s="35">
        <v>55</v>
      </c>
      <c r="H6" s="1" t="s">
        <v>780</v>
      </c>
      <c r="I6" s="35">
        <v>22</v>
      </c>
      <c r="J6" s="46">
        <v>16</v>
      </c>
      <c r="K6" s="11" t="s">
        <v>712</v>
      </c>
      <c r="L6" s="27">
        <v>107</v>
      </c>
      <c r="M6" t="s">
        <v>806</v>
      </c>
      <c r="N6" t="s">
        <v>1364</v>
      </c>
      <c r="P6" t="s">
        <v>1159</v>
      </c>
      <c r="Q6">
        <f t="shared" si="0"/>
        <v>2.1579999999999999</v>
      </c>
      <c r="R6" s="48"/>
      <c r="S6" s="48"/>
      <c r="T6" s="48"/>
      <c r="U6" s="48"/>
      <c r="V6" s="48"/>
      <c r="W6" s="48"/>
      <c r="X6" s="48"/>
    </row>
    <row r="7" spans="1:24" x14ac:dyDescent="0.35">
      <c r="B7" s="102"/>
      <c r="D7" s="71">
        <v>-0.16</v>
      </c>
      <c r="E7" s="69">
        <v>6.8107142857142815</v>
      </c>
      <c r="F7" s="72"/>
      <c r="G7" s="35">
        <v>103</v>
      </c>
      <c r="H7" s="1" t="s">
        <v>465</v>
      </c>
      <c r="I7" s="35">
        <v>16</v>
      </c>
      <c r="J7" s="46">
        <v>15</v>
      </c>
      <c r="K7" s="11" t="s">
        <v>716</v>
      </c>
      <c r="L7" s="27">
        <v>106</v>
      </c>
      <c r="M7" t="s">
        <v>773</v>
      </c>
      <c r="N7" t="s">
        <v>1365</v>
      </c>
      <c r="Q7">
        <f t="shared" si="0"/>
        <v>0.16</v>
      </c>
      <c r="R7" s="48"/>
      <c r="S7" s="48"/>
      <c r="T7" s="48"/>
      <c r="U7" s="48"/>
      <c r="V7" s="48"/>
      <c r="W7" s="48"/>
      <c r="X7" s="48"/>
    </row>
    <row r="8" spans="1:24" x14ac:dyDescent="0.35">
      <c r="B8" s="102"/>
      <c r="D8" s="37">
        <v>3.919</v>
      </c>
      <c r="E8" s="69">
        <v>40.14714285714286</v>
      </c>
      <c r="G8" s="35">
        <v>37</v>
      </c>
      <c r="H8" s="1" t="s">
        <v>640</v>
      </c>
      <c r="I8" s="35">
        <v>19</v>
      </c>
      <c r="J8" s="46">
        <v>18</v>
      </c>
      <c r="K8" s="11" t="s">
        <v>706</v>
      </c>
      <c r="L8" s="27">
        <v>105</v>
      </c>
      <c r="M8" t="s">
        <v>898</v>
      </c>
      <c r="N8" t="s">
        <v>1366</v>
      </c>
      <c r="Q8">
        <f t="shared" si="0"/>
        <v>3.919</v>
      </c>
      <c r="R8" s="48"/>
      <c r="S8" s="48"/>
      <c r="T8" s="48"/>
      <c r="U8" s="48"/>
      <c r="V8" s="48"/>
      <c r="W8" s="48"/>
      <c r="X8" s="48"/>
    </row>
    <row r="9" spans="1:24" x14ac:dyDescent="0.35">
      <c r="B9" s="102"/>
      <c r="D9" s="37">
        <v>-2.9180000000000001</v>
      </c>
      <c r="E9" s="69">
        <v>37.798571428571435</v>
      </c>
      <c r="G9" s="35">
        <v>104</v>
      </c>
      <c r="H9" s="1" t="s">
        <v>645</v>
      </c>
      <c r="I9" s="35">
        <v>15</v>
      </c>
      <c r="J9" s="46">
        <v>13</v>
      </c>
      <c r="K9" s="11" t="s">
        <v>1158</v>
      </c>
      <c r="L9" s="27">
        <v>56</v>
      </c>
      <c r="M9" t="s">
        <v>710</v>
      </c>
      <c r="N9" t="s">
        <v>1367</v>
      </c>
      <c r="Q9">
        <f t="shared" si="0"/>
        <v>2.9180000000000001</v>
      </c>
      <c r="R9" s="48"/>
      <c r="S9" s="48"/>
      <c r="T9" s="48"/>
      <c r="U9" s="48"/>
      <c r="V9" s="48"/>
      <c r="W9" s="48"/>
      <c r="X9" s="48"/>
    </row>
    <row r="10" spans="1:24" x14ac:dyDescent="0.35">
      <c r="B10" s="102"/>
      <c r="D10" s="37">
        <v>4.8250000000000002</v>
      </c>
      <c r="E10" s="69">
        <v>55.839285714285715</v>
      </c>
      <c r="G10" s="35">
        <v>12</v>
      </c>
      <c r="H10" s="1" t="s">
        <v>1157</v>
      </c>
      <c r="I10" s="35">
        <v>19</v>
      </c>
      <c r="J10" s="46">
        <v>14</v>
      </c>
      <c r="K10" s="11" t="s">
        <v>1156</v>
      </c>
      <c r="L10" s="27">
        <v>102</v>
      </c>
      <c r="M10" t="s">
        <v>902</v>
      </c>
      <c r="N10" t="s">
        <v>1368</v>
      </c>
      <c r="Q10">
        <f t="shared" si="0"/>
        <v>4.8250000000000002</v>
      </c>
      <c r="R10" s="48"/>
      <c r="S10" s="48"/>
      <c r="T10" s="48"/>
      <c r="U10" s="48"/>
      <c r="V10" s="48"/>
      <c r="W10" s="48"/>
      <c r="X10" s="48"/>
    </row>
    <row r="11" spans="1:24" x14ac:dyDescent="0.35">
      <c r="B11" s="102"/>
      <c r="D11" s="37">
        <v>-2.1230000000000002</v>
      </c>
      <c r="E11" s="69">
        <v>29.195000000000004</v>
      </c>
      <c r="G11" s="35">
        <v>99</v>
      </c>
      <c r="H11" s="1" t="s">
        <v>629</v>
      </c>
      <c r="I11" s="35">
        <v>16</v>
      </c>
      <c r="J11" s="46">
        <v>10</v>
      </c>
      <c r="K11" s="11" t="s">
        <v>631</v>
      </c>
      <c r="L11" s="27">
        <v>63</v>
      </c>
      <c r="M11" t="s">
        <v>874</v>
      </c>
      <c r="N11" t="s">
        <v>1369</v>
      </c>
      <c r="P11" s="70" t="s">
        <v>1370</v>
      </c>
      <c r="Q11">
        <f t="shared" si="0"/>
        <v>2.1230000000000002</v>
      </c>
      <c r="R11" s="48"/>
      <c r="S11" s="48"/>
      <c r="T11" s="48"/>
      <c r="U11" s="48"/>
      <c r="V11" s="48"/>
      <c r="W11" s="48"/>
      <c r="X11" s="48"/>
    </row>
    <row r="12" spans="1:24" x14ac:dyDescent="0.35">
      <c r="B12" s="102"/>
      <c r="D12" s="71">
        <v>4.53</v>
      </c>
      <c r="E12" s="69">
        <v>55.335714285714289</v>
      </c>
      <c r="F12" s="72"/>
      <c r="G12" s="35">
        <v>18</v>
      </c>
      <c r="H12" s="1" t="s">
        <v>328</v>
      </c>
      <c r="I12" s="35">
        <v>12</v>
      </c>
      <c r="J12" s="46">
        <v>10</v>
      </c>
      <c r="K12" s="11" t="s">
        <v>635</v>
      </c>
      <c r="L12" s="27">
        <v>98</v>
      </c>
      <c r="M12" t="s">
        <v>842</v>
      </c>
      <c r="N12" t="s">
        <v>1371</v>
      </c>
      <c r="Q12">
        <f t="shared" si="0"/>
        <v>4.53</v>
      </c>
      <c r="R12" s="48"/>
      <c r="S12" s="48"/>
      <c r="T12" s="48"/>
      <c r="U12" s="48"/>
      <c r="V12" s="48"/>
      <c r="W12" s="48"/>
      <c r="X12" s="48"/>
    </row>
    <row r="13" spans="1:24" x14ac:dyDescent="0.35">
      <c r="A13" s="2" t="s">
        <v>1372</v>
      </c>
      <c r="B13" s="102"/>
      <c r="D13" s="37">
        <v>-0.499</v>
      </c>
      <c r="E13" s="69">
        <v>23.124285714285708</v>
      </c>
      <c r="G13" s="35">
        <v>97</v>
      </c>
      <c r="H13" s="1" t="s">
        <v>771</v>
      </c>
      <c r="I13" s="35">
        <v>16</v>
      </c>
      <c r="J13" s="46">
        <v>14</v>
      </c>
      <c r="K13" s="11" t="s">
        <v>784</v>
      </c>
      <c r="L13" s="27">
        <v>76</v>
      </c>
      <c r="M13" t="s">
        <v>866</v>
      </c>
      <c r="N13" t="s">
        <v>1373</v>
      </c>
      <c r="P13" s="70" t="s">
        <v>1374</v>
      </c>
      <c r="Q13">
        <f t="shared" si="0"/>
        <v>0.499</v>
      </c>
      <c r="R13" s="48"/>
      <c r="S13" s="48"/>
      <c r="T13" s="48"/>
      <c r="U13" s="48"/>
      <c r="V13" s="48"/>
      <c r="W13" s="48"/>
      <c r="X13" s="48"/>
    </row>
    <row r="14" spans="1:24" x14ac:dyDescent="0.35">
      <c r="B14" s="102"/>
      <c r="D14" s="37">
        <v>1.8340000000000001</v>
      </c>
      <c r="E14" s="69">
        <v>41.636428571428574</v>
      </c>
      <c r="G14" s="35">
        <v>46</v>
      </c>
      <c r="H14" s="1" t="s">
        <v>466</v>
      </c>
      <c r="I14" s="35">
        <v>24</v>
      </c>
      <c r="J14" s="46">
        <v>12</v>
      </c>
      <c r="K14" s="11" t="s">
        <v>777</v>
      </c>
      <c r="L14" s="27">
        <v>96</v>
      </c>
      <c r="M14" t="s">
        <v>781</v>
      </c>
      <c r="N14" t="s">
        <v>1375</v>
      </c>
      <c r="P14" s="70" t="s">
        <v>1376</v>
      </c>
      <c r="Q14">
        <f t="shared" si="0"/>
        <v>1.8340000000000001</v>
      </c>
      <c r="R14" s="48"/>
      <c r="S14" s="48"/>
      <c r="T14" s="48"/>
      <c r="U14" s="48"/>
      <c r="V14" s="48"/>
      <c r="W14" s="48"/>
      <c r="X14" s="48"/>
    </row>
    <row r="15" spans="1:24" x14ac:dyDescent="0.35">
      <c r="B15" s="102"/>
      <c r="D15" s="37">
        <v>3.077</v>
      </c>
      <c r="E15" s="69">
        <v>42.757500000000007</v>
      </c>
      <c r="G15" s="35">
        <v>42</v>
      </c>
      <c r="H15" s="1" t="s">
        <v>642</v>
      </c>
      <c r="I15" s="35">
        <v>14</v>
      </c>
      <c r="J15" s="46">
        <v>10</v>
      </c>
      <c r="K15" s="11" t="s">
        <v>582</v>
      </c>
      <c r="L15" s="27">
        <v>95</v>
      </c>
      <c r="M15" t="s">
        <v>770</v>
      </c>
      <c r="N15" t="s">
        <v>1377</v>
      </c>
      <c r="Q15">
        <f t="shared" si="0"/>
        <v>3.077</v>
      </c>
      <c r="R15" s="48"/>
      <c r="S15" s="48"/>
      <c r="T15" s="48"/>
      <c r="U15" s="48"/>
      <c r="V15" s="48"/>
      <c r="W15" s="48"/>
      <c r="X15" s="48"/>
    </row>
    <row r="16" spans="1:24" x14ac:dyDescent="0.35">
      <c r="B16" s="102"/>
      <c r="D16" s="37">
        <v>4.556</v>
      </c>
      <c r="E16" s="69">
        <v>58.53142857142857</v>
      </c>
      <c r="G16" s="35">
        <v>15</v>
      </c>
      <c r="H16" s="1" t="s">
        <v>755</v>
      </c>
      <c r="I16" s="35">
        <v>21</v>
      </c>
      <c r="J16" s="46">
        <v>15</v>
      </c>
      <c r="K16" s="11" t="s">
        <v>737</v>
      </c>
      <c r="L16" s="27">
        <v>92</v>
      </c>
      <c r="M16" t="s">
        <v>928</v>
      </c>
      <c r="N16" t="s">
        <v>1378</v>
      </c>
      <c r="Q16">
        <f t="shared" si="0"/>
        <v>4.556</v>
      </c>
      <c r="R16" s="48"/>
      <c r="S16" s="48"/>
      <c r="T16" s="48"/>
      <c r="U16" s="48"/>
      <c r="V16" s="48"/>
      <c r="W16" s="48"/>
      <c r="X16" s="48"/>
    </row>
    <row r="17" spans="1:22" x14ac:dyDescent="0.35">
      <c r="B17" s="102"/>
      <c r="D17" s="37">
        <v>2.452</v>
      </c>
      <c r="E17" s="69">
        <v>50.436071428571424</v>
      </c>
      <c r="G17" s="35">
        <v>28</v>
      </c>
      <c r="H17" s="1" t="s">
        <v>334</v>
      </c>
      <c r="I17" s="35">
        <v>20</v>
      </c>
      <c r="J17" s="46">
        <v>11</v>
      </c>
      <c r="K17" s="11" t="s">
        <v>639</v>
      </c>
      <c r="L17" s="27">
        <v>91</v>
      </c>
      <c r="M17" t="s">
        <v>740</v>
      </c>
      <c r="N17" t="s">
        <v>1379</v>
      </c>
      <c r="Q17">
        <f t="shared" si="0"/>
        <v>2.452</v>
      </c>
      <c r="S17" s="48"/>
      <c r="T17" s="73"/>
      <c r="U17" s="74"/>
      <c r="V17" s="74"/>
    </row>
    <row r="18" spans="1:22" x14ac:dyDescent="0.35">
      <c r="B18" s="102"/>
      <c r="D18" s="37">
        <v>-4.0190000000000001</v>
      </c>
      <c r="E18" s="69">
        <v>63.942142857142855</v>
      </c>
      <c r="G18" s="35">
        <v>90</v>
      </c>
      <c r="H18" s="1" t="s">
        <v>772</v>
      </c>
      <c r="I18" s="35">
        <v>16</v>
      </c>
      <c r="J18" s="46">
        <v>12</v>
      </c>
      <c r="K18" s="11" t="s">
        <v>718</v>
      </c>
      <c r="L18" s="27">
        <v>19</v>
      </c>
      <c r="M18" t="s">
        <v>793</v>
      </c>
      <c r="N18" t="s">
        <v>1380</v>
      </c>
      <c r="Q18">
        <f t="shared" si="0"/>
        <v>4.0190000000000001</v>
      </c>
      <c r="S18" s="48"/>
      <c r="T18" s="73"/>
      <c r="U18" s="74"/>
      <c r="V18" s="74"/>
    </row>
    <row r="19" spans="1:22" x14ac:dyDescent="0.35">
      <c r="B19" s="102"/>
      <c r="D19" s="37">
        <v>-1.2809999999999999</v>
      </c>
      <c r="E19" s="69">
        <v>29.932857142857149</v>
      </c>
      <c r="G19" s="35">
        <v>87</v>
      </c>
      <c r="H19" s="1" t="s">
        <v>660</v>
      </c>
      <c r="I19" s="35">
        <v>18</v>
      </c>
      <c r="J19" s="46">
        <v>16</v>
      </c>
      <c r="K19" s="11" t="s">
        <v>723</v>
      </c>
      <c r="L19" s="27">
        <v>72</v>
      </c>
      <c r="M19" t="s">
        <v>806</v>
      </c>
      <c r="N19" t="s">
        <v>1381</v>
      </c>
      <c r="Q19">
        <f t="shared" si="0"/>
        <v>1.2809999999999999</v>
      </c>
      <c r="S19" s="48"/>
      <c r="T19" s="73"/>
      <c r="U19" s="74"/>
      <c r="V19" s="74"/>
    </row>
    <row r="20" spans="1:22" x14ac:dyDescent="0.35">
      <c r="B20" s="102"/>
      <c r="D20" s="37">
        <v>-1.288</v>
      </c>
      <c r="E20" s="69">
        <v>47.080714285714286</v>
      </c>
      <c r="G20" s="35">
        <v>86</v>
      </c>
      <c r="H20" s="1" t="s">
        <v>1163</v>
      </c>
      <c r="I20" s="35">
        <v>18</v>
      </c>
      <c r="J20" s="46">
        <v>15</v>
      </c>
      <c r="K20" s="11" t="s">
        <v>1165</v>
      </c>
      <c r="L20" s="27">
        <v>48</v>
      </c>
      <c r="M20" t="s">
        <v>786</v>
      </c>
      <c r="N20" t="s">
        <v>1382</v>
      </c>
      <c r="P20" s="70" t="s">
        <v>1383</v>
      </c>
      <c r="Q20">
        <f t="shared" si="0"/>
        <v>1.288</v>
      </c>
      <c r="S20" s="48"/>
      <c r="T20" s="73"/>
      <c r="U20" s="74"/>
      <c r="V20" s="74"/>
    </row>
    <row r="21" spans="1:22" x14ac:dyDescent="0.35">
      <c r="B21" s="102"/>
      <c r="D21" s="37">
        <v>-2.3370000000000002</v>
      </c>
      <c r="E21" s="69">
        <v>49.838928571428575</v>
      </c>
      <c r="G21" s="35">
        <v>85</v>
      </c>
      <c r="H21" s="1" t="s">
        <v>751</v>
      </c>
      <c r="I21" s="35">
        <v>20</v>
      </c>
      <c r="J21" s="46">
        <v>12</v>
      </c>
      <c r="K21" s="11" t="s">
        <v>764</v>
      </c>
      <c r="L21" s="27">
        <v>44</v>
      </c>
      <c r="M21" t="s">
        <v>844</v>
      </c>
      <c r="N21" t="s">
        <v>1384</v>
      </c>
      <c r="Q21">
        <f t="shared" si="0"/>
        <v>2.3370000000000002</v>
      </c>
      <c r="S21" s="48"/>
      <c r="T21" s="73"/>
      <c r="U21" s="74"/>
      <c r="V21" s="74"/>
    </row>
    <row r="22" spans="1:22" x14ac:dyDescent="0.35">
      <c r="B22" s="102"/>
      <c r="D22" s="37">
        <v>3.323</v>
      </c>
      <c r="E22" s="69">
        <v>59.055</v>
      </c>
      <c r="G22" s="35">
        <v>24</v>
      </c>
      <c r="H22" s="1" t="s">
        <v>667</v>
      </c>
      <c r="I22" s="35">
        <v>17</v>
      </c>
      <c r="J22" s="46">
        <v>14</v>
      </c>
      <c r="K22" s="11" t="s">
        <v>634</v>
      </c>
      <c r="L22" s="27">
        <v>84</v>
      </c>
      <c r="M22" t="s">
        <v>705</v>
      </c>
      <c r="N22" t="s">
        <v>1385</v>
      </c>
      <c r="O22" s="6" t="s">
        <v>1386</v>
      </c>
      <c r="Q22">
        <f t="shared" si="0"/>
        <v>3.323</v>
      </c>
      <c r="S22" s="48"/>
      <c r="T22" s="73"/>
      <c r="U22" s="74"/>
      <c r="V22" s="74"/>
    </row>
    <row r="23" spans="1:22" x14ac:dyDescent="0.35">
      <c r="B23" s="102"/>
      <c r="D23" s="37">
        <v>-1.6579999999999999</v>
      </c>
      <c r="E23" s="69">
        <v>54.57714285714286</v>
      </c>
      <c r="G23" s="35">
        <v>83</v>
      </c>
      <c r="H23" s="1" t="s">
        <v>763</v>
      </c>
      <c r="I23" s="35">
        <v>13</v>
      </c>
      <c r="J23" s="46">
        <v>9</v>
      </c>
      <c r="K23" s="11" t="s">
        <v>768</v>
      </c>
      <c r="L23" s="27">
        <v>33</v>
      </c>
      <c r="M23" t="s">
        <v>714</v>
      </c>
      <c r="N23" t="s">
        <v>1387</v>
      </c>
      <c r="Q23">
        <f t="shared" si="0"/>
        <v>1.6579999999999999</v>
      </c>
      <c r="S23" s="48"/>
      <c r="T23" s="73"/>
      <c r="U23" s="74"/>
      <c r="V23" s="74"/>
    </row>
    <row r="24" spans="1:22" x14ac:dyDescent="0.35">
      <c r="B24" s="102"/>
      <c r="D24" s="37">
        <v>1.9430000000000001</v>
      </c>
      <c r="E24" s="69">
        <v>46.781785714285718</v>
      </c>
      <c r="G24" s="35">
        <v>47</v>
      </c>
      <c r="H24" s="1" t="s">
        <v>650</v>
      </c>
      <c r="I24" s="35">
        <v>16</v>
      </c>
      <c r="J24" s="29">
        <v>0</v>
      </c>
      <c r="K24" s="11" t="s">
        <v>774</v>
      </c>
      <c r="L24" s="27">
        <v>82</v>
      </c>
      <c r="M24" t="s">
        <v>1388</v>
      </c>
      <c r="N24" s="1" t="s">
        <v>1389</v>
      </c>
      <c r="O24" s="1" t="s">
        <v>1390</v>
      </c>
      <c r="P24" s="68" t="s">
        <v>1391</v>
      </c>
      <c r="Q24">
        <f t="shared" si="0"/>
        <v>1.9430000000000001</v>
      </c>
      <c r="S24" s="48"/>
      <c r="T24" s="73"/>
      <c r="U24" s="74"/>
      <c r="V24" s="74"/>
    </row>
    <row r="25" spans="1:22" x14ac:dyDescent="0.35">
      <c r="B25" s="102"/>
      <c r="D25" s="71">
        <v>1.39</v>
      </c>
      <c r="E25" s="69">
        <v>51.998214285714283</v>
      </c>
      <c r="F25" s="72"/>
      <c r="G25" s="35">
        <v>36</v>
      </c>
      <c r="H25" s="1" t="s">
        <v>649</v>
      </c>
      <c r="I25" s="35">
        <v>15</v>
      </c>
      <c r="J25" s="46">
        <v>13</v>
      </c>
      <c r="K25" s="11" t="s">
        <v>693</v>
      </c>
      <c r="L25" s="27">
        <v>81</v>
      </c>
      <c r="M25" t="s">
        <v>773</v>
      </c>
      <c r="N25" t="s">
        <v>1392</v>
      </c>
      <c r="Q25">
        <f t="shared" si="0"/>
        <v>1.39</v>
      </c>
      <c r="S25" s="48"/>
      <c r="T25" s="73"/>
      <c r="V25" s="74"/>
    </row>
    <row r="26" spans="1:22" x14ac:dyDescent="0.35">
      <c r="A26" s="2" t="s">
        <v>1393</v>
      </c>
      <c r="B26" s="102"/>
      <c r="D26" s="37">
        <v>-1.5509999999999999</v>
      </c>
      <c r="E26" s="69">
        <v>55.304285714285719</v>
      </c>
      <c r="G26" s="35">
        <v>80</v>
      </c>
      <c r="H26" s="1" t="s">
        <v>672</v>
      </c>
      <c r="I26" s="35">
        <v>21</v>
      </c>
      <c r="J26" s="46">
        <v>15</v>
      </c>
      <c r="K26" s="11" t="s">
        <v>783</v>
      </c>
      <c r="L26" s="27">
        <v>34</v>
      </c>
      <c r="M26" t="s">
        <v>744</v>
      </c>
      <c r="N26" t="s">
        <v>1394</v>
      </c>
      <c r="Q26">
        <f t="shared" si="0"/>
        <v>1.5509999999999999</v>
      </c>
      <c r="S26" s="48"/>
      <c r="T26" s="73"/>
      <c r="V26" s="74"/>
    </row>
    <row r="27" spans="1:22" x14ac:dyDescent="0.35">
      <c r="B27" s="102"/>
      <c r="D27" s="37">
        <v>-5.8999999999999997E-2</v>
      </c>
      <c r="E27" s="69">
        <v>34.863571428571426</v>
      </c>
      <c r="G27" s="35">
        <v>68</v>
      </c>
      <c r="H27" s="1" t="s">
        <v>665</v>
      </c>
      <c r="I27" s="35">
        <v>14</v>
      </c>
      <c r="J27" s="46">
        <v>13</v>
      </c>
      <c r="K27" s="11" t="s">
        <v>680</v>
      </c>
      <c r="L27" s="27">
        <v>78</v>
      </c>
      <c r="M27" t="s">
        <v>781</v>
      </c>
      <c r="N27" t="s">
        <v>1395</v>
      </c>
      <c r="Q27">
        <f t="shared" si="0"/>
        <v>5.8999999999999997E-2</v>
      </c>
      <c r="S27" s="48"/>
      <c r="T27" s="73"/>
      <c r="V27" s="74"/>
    </row>
    <row r="28" spans="1:22" x14ac:dyDescent="0.35">
      <c r="B28" s="102"/>
      <c r="D28" s="71">
        <v>-2.1800000000000002</v>
      </c>
      <c r="E28" s="69">
        <v>55.351785714285718</v>
      </c>
      <c r="F28" s="72"/>
      <c r="G28" s="35">
        <v>77</v>
      </c>
      <c r="H28" s="1" t="s">
        <v>673</v>
      </c>
      <c r="I28" s="35">
        <v>16</v>
      </c>
      <c r="J28" s="46">
        <v>14</v>
      </c>
      <c r="K28" s="11" t="s">
        <v>757</v>
      </c>
      <c r="L28" s="27">
        <v>38</v>
      </c>
      <c r="M28" t="s">
        <v>773</v>
      </c>
      <c r="N28" t="s">
        <v>1396</v>
      </c>
      <c r="Q28">
        <f t="shared" si="0"/>
        <v>2.1800000000000002</v>
      </c>
      <c r="S28" s="48"/>
      <c r="T28" s="73"/>
      <c r="V28" s="74"/>
    </row>
    <row r="29" spans="1:22" x14ac:dyDescent="0.35">
      <c r="A29" s="2" t="s">
        <v>1397</v>
      </c>
      <c r="B29" s="102"/>
      <c r="D29" s="37">
        <v>1.5109999999999999</v>
      </c>
      <c r="E29" s="69">
        <v>56.331428571428567</v>
      </c>
      <c r="G29" s="35">
        <v>31</v>
      </c>
      <c r="H29" s="1" t="s">
        <v>713</v>
      </c>
      <c r="I29" s="35">
        <v>19</v>
      </c>
      <c r="J29" s="46">
        <v>15</v>
      </c>
      <c r="K29" s="11" t="s">
        <v>646</v>
      </c>
      <c r="L29" s="27">
        <v>75</v>
      </c>
      <c r="M29" t="s">
        <v>806</v>
      </c>
      <c r="N29" t="s">
        <v>1398</v>
      </c>
      <c r="Q29">
        <f t="shared" si="0"/>
        <v>1.5109999999999999</v>
      </c>
      <c r="S29" s="48"/>
      <c r="T29" s="73"/>
      <c r="V29" s="74"/>
    </row>
    <row r="30" spans="1:22" x14ac:dyDescent="0.35">
      <c r="B30" s="102"/>
      <c r="D30" s="37">
        <v>-1.4730000000000001</v>
      </c>
      <c r="E30" s="69">
        <v>59.266428571428563</v>
      </c>
      <c r="G30" s="35">
        <v>74</v>
      </c>
      <c r="H30" s="1" t="s">
        <v>664</v>
      </c>
      <c r="I30" s="35">
        <v>18</v>
      </c>
      <c r="J30" s="46">
        <v>12</v>
      </c>
      <c r="K30" s="11" t="s">
        <v>468</v>
      </c>
      <c r="L30" s="27">
        <v>30</v>
      </c>
      <c r="M30" t="s">
        <v>710</v>
      </c>
      <c r="N30" t="s">
        <v>1399</v>
      </c>
      <c r="Q30">
        <f t="shared" si="0"/>
        <v>1.4730000000000001</v>
      </c>
      <c r="S30" s="48"/>
      <c r="T30" s="73"/>
    </row>
    <row r="31" spans="1:22" x14ac:dyDescent="0.35">
      <c r="B31" s="102"/>
      <c r="D31" s="37">
        <v>3.5190000000000001</v>
      </c>
      <c r="E31" s="69">
        <v>65.700714285714284</v>
      </c>
      <c r="G31" s="35">
        <v>16</v>
      </c>
      <c r="H31" s="1" t="s">
        <v>750</v>
      </c>
      <c r="I31" s="35">
        <v>18</v>
      </c>
      <c r="J31" s="46">
        <v>15</v>
      </c>
      <c r="K31" s="11" t="s">
        <v>743</v>
      </c>
      <c r="L31" s="27">
        <v>73</v>
      </c>
      <c r="M31" t="s">
        <v>786</v>
      </c>
      <c r="N31" t="s">
        <v>1400</v>
      </c>
      <c r="Q31">
        <f t="shared" si="0"/>
        <v>3.5190000000000001</v>
      </c>
      <c r="S31" s="48"/>
      <c r="T31" s="73"/>
    </row>
    <row r="32" spans="1:22" x14ac:dyDescent="0.35">
      <c r="B32" s="102"/>
      <c r="D32" s="37">
        <v>-2.0640000000000001</v>
      </c>
      <c r="E32" s="69">
        <v>58.884999999999998</v>
      </c>
      <c r="G32" s="35">
        <v>71</v>
      </c>
      <c r="H32" s="1" t="s">
        <v>352</v>
      </c>
      <c r="I32" s="35">
        <v>18</v>
      </c>
      <c r="J32" s="46">
        <v>13</v>
      </c>
      <c r="K32" s="11" t="s">
        <v>630</v>
      </c>
      <c r="L32" s="27">
        <v>35</v>
      </c>
      <c r="M32" t="s">
        <v>741</v>
      </c>
      <c r="N32" t="s">
        <v>1401</v>
      </c>
      <c r="Q32">
        <f t="shared" si="0"/>
        <v>2.0640000000000001</v>
      </c>
      <c r="S32" s="48"/>
      <c r="T32" s="73"/>
    </row>
    <row r="33" spans="1:20" x14ac:dyDescent="0.35">
      <c r="B33" s="102"/>
      <c r="D33" s="37">
        <v>0.623</v>
      </c>
      <c r="E33" s="69">
        <v>39.287142857142854</v>
      </c>
      <c r="G33" s="35">
        <v>65</v>
      </c>
      <c r="H33" s="1" t="s">
        <v>1160</v>
      </c>
      <c r="I33" s="35">
        <v>24</v>
      </c>
      <c r="J33" s="46">
        <v>9</v>
      </c>
      <c r="K33" s="11" t="s">
        <v>1161</v>
      </c>
      <c r="L33" s="27">
        <v>70</v>
      </c>
      <c r="M33" t="s">
        <v>789</v>
      </c>
      <c r="N33" s="1" t="s">
        <v>1402</v>
      </c>
      <c r="O33" s="1" t="s">
        <v>1390</v>
      </c>
      <c r="Q33">
        <f t="shared" si="0"/>
        <v>0.623</v>
      </c>
      <c r="S33" s="48"/>
      <c r="T33" s="73"/>
    </row>
    <row r="34" spans="1:20" x14ac:dyDescent="0.35">
      <c r="B34" s="102"/>
      <c r="D34" s="37">
        <v>0.626</v>
      </c>
      <c r="E34" s="69">
        <v>40.177857142857142</v>
      </c>
      <c r="G34" s="35">
        <v>64</v>
      </c>
      <c r="H34" s="1" t="s">
        <v>666</v>
      </c>
      <c r="I34" s="35">
        <v>16</v>
      </c>
      <c r="J34" s="46">
        <v>8</v>
      </c>
      <c r="K34" s="11" t="s">
        <v>1155</v>
      </c>
      <c r="L34" s="27">
        <v>69</v>
      </c>
      <c r="M34" t="s">
        <v>740</v>
      </c>
      <c r="N34" t="s">
        <v>1403</v>
      </c>
      <c r="Q34">
        <f t="shared" si="0"/>
        <v>0.626</v>
      </c>
      <c r="S34" s="48"/>
      <c r="T34" s="73"/>
    </row>
    <row r="35" spans="1:20" x14ac:dyDescent="0.35">
      <c r="B35" s="102"/>
      <c r="D35" s="37">
        <v>-0.69499999999999995</v>
      </c>
      <c r="E35" s="69">
        <v>57.505357142857136</v>
      </c>
      <c r="G35" s="35">
        <v>67</v>
      </c>
      <c r="H35" s="1" t="s">
        <v>758</v>
      </c>
      <c r="I35" s="35">
        <v>17</v>
      </c>
      <c r="J35" s="46">
        <v>9</v>
      </c>
      <c r="K35" s="11" t="s">
        <v>761</v>
      </c>
      <c r="L35" s="27">
        <v>40</v>
      </c>
      <c r="M35" t="s">
        <v>699</v>
      </c>
      <c r="N35" t="s">
        <v>1404</v>
      </c>
      <c r="Q35">
        <f t="shared" si="0"/>
        <v>0.69499999999999995</v>
      </c>
      <c r="S35" s="48"/>
      <c r="T35" s="73"/>
    </row>
    <row r="36" spans="1:20" x14ac:dyDescent="0.35">
      <c r="B36" s="102"/>
      <c r="D36" s="37">
        <v>1.0289999999999999</v>
      </c>
      <c r="E36" s="69">
        <v>51.854285714285723</v>
      </c>
      <c r="G36" s="35">
        <v>52</v>
      </c>
      <c r="H36" s="1" t="s">
        <v>676</v>
      </c>
      <c r="I36" s="35">
        <v>9</v>
      </c>
      <c r="J36" s="46">
        <v>8</v>
      </c>
      <c r="K36" s="11" t="s">
        <v>701</v>
      </c>
      <c r="L36" s="27">
        <v>66</v>
      </c>
      <c r="M36" t="s">
        <v>1190</v>
      </c>
      <c r="N36" t="s">
        <v>1405</v>
      </c>
      <c r="Q36">
        <f t="shared" si="0"/>
        <v>1.0289999999999999</v>
      </c>
      <c r="S36" s="48"/>
      <c r="T36" s="73"/>
    </row>
    <row r="37" spans="1:20" x14ac:dyDescent="0.35">
      <c r="B37" s="102"/>
      <c r="D37" s="37">
        <v>0.16400000000000001</v>
      </c>
      <c r="E37" s="69">
        <v>55.284642857142849</v>
      </c>
      <c r="G37" s="35">
        <v>49</v>
      </c>
      <c r="H37" s="1" t="s">
        <v>765</v>
      </c>
      <c r="I37" s="35">
        <v>15</v>
      </c>
      <c r="J37" s="46">
        <v>10</v>
      </c>
      <c r="K37" s="11" t="s">
        <v>738</v>
      </c>
      <c r="L37" s="27">
        <v>62</v>
      </c>
      <c r="M37" t="s">
        <v>821</v>
      </c>
      <c r="N37" t="s">
        <v>1406</v>
      </c>
      <c r="Q37">
        <f t="shared" si="0"/>
        <v>0.16400000000000001</v>
      </c>
      <c r="S37" s="48"/>
      <c r="T37" s="73"/>
    </row>
    <row r="38" spans="1:20" x14ac:dyDescent="0.35">
      <c r="B38" s="102"/>
      <c r="D38" s="37">
        <v>1.0049999999999999</v>
      </c>
      <c r="E38" s="69">
        <v>61.916071428571428</v>
      </c>
      <c r="G38" s="35">
        <v>32</v>
      </c>
      <c r="H38" s="1" t="s">
        <v>648</v>
      </c>
      <c r="I38" s="35">
        <v>13</v>
      </c>
      <c r="J38" s="46">
        <v>10</v>
      </c>
      <c r="K38" s="11" t="s">
        <v>732</v>
      </c>
      <c r="L38" s="27">
        <v>61</v>
      </c>
      <c r="M38" t="s">
        <v>721</v>
      </c>
      <c r="N38" t="s">
        <v>1407</v>
      </c>
      <c r="Q38">
        <f t="shared" si="0"/>
        <v>1.0049999999999999</v>
      </c>
      <c r="S38" s="48"/>
      <c r="T38" s="73"/>
    </row>
    <row r="39" spans="1:20" x14ac:dyDescent="0.35">
      <c r="B39" s="102"/>
      <c r="D39" s="37">
        <v>-2.0920000000000001</v>
      </c>
      <c r="E39" s="69">
        <v>65.73535714285714</v>
      </c>
      <c r="G39" s="35">
        <v>60</v>
      </c>
      <c r="H39" s="1" t="s">
        <v>651</v>
      </c>
      <c r="I39" s="35">
        <v>24</v>
      </c>
      <c r="J39" s="46">
        <v>13</v>
      </c>
      <c r="K39" s="11" t="s">
        <v>1164</v>
      </c>
      <c r="L39" s="27">
        <v>29</v>
      </c>
      <c r="M39" t="s">
        <v>820</v>
      </c>
      <c r="N39" s="1" t="s">
        <v>1408</v>
      </c>
      <c r="O39" s="1" t="s">
        <v>1390</v>
      </c>
      <c r="Q39">
        <f t="shared" si="0"/>
        <v>2.0920000000000001</v>
      </c>
      <c r="S39" s="48"/>
      <c r="T39" s="73"/>
    </row>
    <row r="40" spans="1:20" x14ac:dyDescent="0.35">
      <c r="B40" s="102"/>
      <c r="D40" s="37">
        <v>4.383</v>
      </c>
      <c r="E40" s="69">
        <v>72.583571428571432</v>
      </c>
      <c r="G40" s="35">
        <v>9</v>
      </c>
      <c r="H40" s="1" t="s">
        <v>785</v>
      </c>
      <c r="I40" s="35">
        <v>21</v>
      </c>
      <c r="J40" s="46">
        <v>20</v>
      </c>
      <c r="K40" s="11" t="s">
        <v>792</v>
      </c>
      <c r="L40" s="27">
        <v>59</v>
      </c>
      <c r="M40" t="s">
        <v>727</v>
      </c>
      <c r="N40" t="s">
        <v>1409</v>
      </c>
      <c r="O40" s="6" t="s">
        <v>1386</v>
      </c>
      <c r="Q40">
        <f t="shared" si="0"/>
        <v>4.383</v>
      </c>
      <c r="S40" s="48"/>
      <c r="T40" s="73"/>
    </row>
    <row r="41" spans="1:20" x14ac:dyDescent="0.35">
      <c r="B41" s="102"/>
      <c r="D41" s="37">
        <v>-2.6680000000000001</v>
      </c>
      <c r="E41" s="69">
        <v>74.405714285714282</v>
      </c>
      <c r="G41" s="35">
        <v>57</v>
      </c>
      <c r="H41" s="1" t="s">
        <v>633</v>
      </c>
      <c r="I41" s="35">
        <v>23</v>
      </c>
      <c r="J41" s="46">
        <v>13</v>
      </c>
      <c r="K41" s="11" t="s">
        <v>638</v>
      </c>
      <c r="L41" s="27">
        <v>20</v>
      </c>
      <c r="M41" t="s">
        <v>1139</v>
      </c>
      <c r="N41" s="1" t="s">
        <v>1410</v>
      </c>
      <c r="O41" s="1" t="s">
        <v>1390</v>
      </c>
      <c r="P41" s="70" t="s">
        <v>1411</v>
      </c>
      <c r="Q41">
        <f t="shared" si="0"/>
        <v>2.6680000000000001</v>
      </c>
      <c r="S41" s="48"/>
      <c r="T41" s="73"/>
    </row>
    <row r="42" spans="1:20" x14ac:dyDescent="0.35">
      <c r="A42" s="2" t="s">
        <v>1412</v>
      </c>
      <c r="B42" s="102"/>
      <c r="D42" s="37">
        <v>-1.266</v>
      </c>
      <c r="E42" s="69">
        <v>73.404285714285706</v>
      </c>
      <c r="G42" s="35">
        <v>54</v>
      </c>
      <c r="H42" s="1" t="s">
        <v>704</v>
      </c>
      <c r="I42" s="35">
        <v>14</v>
      </c>
      <c r="J42" s="46">
        <v>9</v>
      </c>
      <c r="K42" s="11" t="s">
        <v>671</v>
      </c>
      <c r="L42" s="27">
        <v>23</v>
      </c>
      <c r="M42" t="s">
        <v>799</v>
      </c>
      <c r="N42" t="s">
        <v>1413</v>
      </c>
      <c r="Q42">
        <f t="shared" si="0"/>
        <v>1.266</v>
      </c>
      <c r="S42" s="48"/>
      <c r="T42" s="73"/>
    </row>
    <row r="43" spans="1:20" x14ac:dyDescent="0.35">
      <c r="B43" s="102"/>
      <c r="D43" s="71">
        <v>-0.9</v>
      </c>
      <c r="E43" s="69">
        <v>68.5</v>
      </c>
      <c r="F43" s="72"/>
      <c r="G43" s="35">
        <v>53</v>
      </c>
      <c r="H43" s="1" t="s">
        <v>652</v>
      </c>
      <c r="I43" s="35">
        <v>14</v>
      </c>
      <c r="J43" s="46">
        <v>11</v>
      </c>
      <c r="K43" s="11" t="s">
        <v>637</v>
      </c>
      <c r="L43" s="27">
        <v>27</v>
      </c>
      <c r="M43" t="s">
        <v>789</v>
      </c>
      <c r="N43" s="2" t="s">
        <v>1414</v>
      </c>
      <c r="P43" s="70" t="s">
        <v>1415</v>
      </c>
      <c r="Q43">
        <f t="shared" si="0"/>
        <v>0.9</v>
      </c>
      <c r="S43" s="48"/>
      <c r="T43" s="73"/>
    </row>
    <row r="44" spans="1:20" x14ac:dyDescent="0.35">
      <c r="B44" s="102"/>
      <c r="D44" s="37">
        <v>-2.8260000000000001</v>
      </c>
      <c r="E44" s="69">
        <v>81.161428571428601</v>
      </c>
      <c r="G44" s="35">
        <v>50</v>
      </c>
      <c r="H44" s="1" t="s">
        <v>641</v>
      </c>
      <c r="I44" s="35">
        <v>22</v>
      </c>
      <c r="J44" s="46">
        <v>18</v>
      </c>
      <c r="K44" s="11" t="s">
        <v>734</v>
      </c>
      <c r="L44" s="27">
        <v>14</v>
      </c>
      <c r="M44" t="s">
        <v>1416</v>
      </c>
      <c r="N44" s="2" t="s">
        <v>1417</v>
      </c>
      <c r="P44" t="s">
        <v>1418</v>
      </c>
      <c r="Q44">
        <f t="shared" si="0"/>
        <v>2.8260000000000001</v>
      </c>
      <c r="S44" s="48"/>
      <c r="T44" s="73"/>
    </row>
    <row r="45" spans="1:20" x14ac:dyDescent="0.35">
      <c r="B45" s="102"/>
      <c r="D45" s="37">
        <v>0.501</v>
      </c>
      <c r="E45" s="69">
        <v>74.642142857142858</v>
      </c>
      <c r="G45" s="35">
        <v>25</v>
      </c>
      <c r="H45" s="1" t="s">
        <v>747</v>
      </c>
      <c r="I45" s="35">
        <v>19</v>
      </c>
      <c r="J45" s="46">
        <v>8</v>
      </c>
      <c r="K45" s="11" t="s">
        <v>729</v>
      </c>
      <c r="L45" s="27">
        <v>45</v>
      </c>
      <c r="M45" t="s">
        <v>910</v>
      </c>
      <c r="N45" s="1" t="s">
        <v>1419</v>
      </c>
      <c r="O45" s="1" t="s">
        <v>1390</v>
      </c>
      <c r="Q45">
        <f t="shared" si="0"/>
        <v>0.501</v>
      </c>
      <c r="S45" s="48"/>
      <c r="T45" s="73"/>
    </row>
    <row r="46" spans="1:20" x14ac:dyDescent="0.35">
      <c r="B46" s="102"/>
      <c r="D46" s="37">
        <v>-0.56200000000000006</v>
      </c>
      <c r="E46" s="69">
        <v>68.258571428571429</v>
      </c>
      <c r="G46" s="35">
        <v>41</v>
      </c>
      <c r="H46" s="1" t="s">
        <v>647</v>
      </c>
      <c r="I46" s="35">
        <v>14</v>
      </c>
      <c r="J46" s="46">
        <v>13</v>
      </c>
      <c r="K46" s="11" t="s">
        <v>661</v>
      </c>
      <c r="L46" s="27">
        <v>39</v>
      </c>
      <c r="M46" t="s">
        <v>796</v>
      </c>
      <c r="N46" s="2" t="s">
        <v>1420</v>
      </c>
      <c r="Q46">
        <f t="shared" si="0"/>
        <v>0.56200000000000006</v>
      </c>
      <c r="S46" s="48"/>
      <c r="T46" s="73"/>
    </row>
    <row r="47" spans="1:20" x14ac:dyDescent="0.35">
      <c r="B47" s="102"/>
      <c r="D47" s="71">
        <v>-0.56999999999999995</v>
      </c>
      <c r="E47" s="69">
        <v>86.969642857142858</v>
      </c>
      <c r="F47" s="72"/>
      <c r="G47" s="35">
        <v>22</v>
      </c>
      <c r="H47" s="1" t="s">
        <v>632</v>
      </c>
      <c r="I47" s="35">
        <v>23</v>
      </c>
      <c r="J47" s="46">
        <v>14</v>
      </c>
      <c r="K47" s="11" t="s">
        <v>636</v>
      </c>
      <c r="L47" s="27">
        <v>21</v>
      </c>
      <c r="M47" t="s">
        <v>759</v>
      </c>
      <c r="N47" s="2" t="s">
        <v>1421</v>
      </c>
      <c r="Q47">
        <f t="shared" si="0"/>
        <v>0.56999999999999995</v>
      </c>
      <c r="S47" s="48"/>
      <c r="T47" s="73"/>
    </row>
    <row r="48" spans="1:20" x14ac:dyDescent="0.35">
      <c r="B48" s="102"/>
      <c r="D48" s="71">
        <v>6.02</v>
      </c>
      <c r="E48" s="69">
        <v>51.414285714285725</v>
      </c>
      <c r="F48" s="72"/>
      <c r="G48" s="35">
        <v>13</v>
      </c>
      <c r="H48" s="1" t="s">
        <v>643</v>
      </c>
      <c r="I48" s="35">
        <v>24</v>
      </c>
      <c r="J48" s="46">
        <v>5</v>
      </c>
      <c r="K48" s="11" t="s">
        <v>760</v>
      </c>
      <c r="L48" s="27">
        <v>111</v>
      </c>
      <c r="M48" t="s">
        <v>1006</v>
      </c>
      <c r="N48" s="1" t="s">
        <v>1422</v>
      </c>
      <c r="O48" s="1" t="s">
        <v>1390</v>
      </c>
      <c r="Q48">
        <f t="shared" si="0"/>
        <v>6.02</v>
      </c>
      <c r="S48" s="48"/>
      <c r="T48" s="73"/>
    </row>
    <row r="49" spans="1:21" x14ac:dyDescent="0.35">
      <c r="B49" s="102"/>
      <c r="D49" s="71">
        <v>6.16</v>
      </c>
      <c r="E49" s="69">
        <v>59.528571428571432</v>
      </c>
      <c r="F49" s="72"/>
      <c r="G49" s="35">
        <v>7</v>
      </c>
      <c r="H49" s="1" t="s">
        <v>245</v>
      </c>
      <c r="I49" s="35">
        <v>26</v>
      </c>
      <c r="J49" s="46">
        <v>15</v>
      </c>
      <c r="K49" s="11" t="s">
        <v>776</v>
      </c>
      <c r="L49" s="27">
        <v>94</v>
      </c>
      <c r="M49" t="s">
        <v>806</v>
      </c>
      <c r="N49" s="2" t="s">
        <v>1423</v>
      </c>
      <c r="Q49">
        <f t="shared" si="0"/>
        <v>6.16</v>
      </c>
      <c r="S49" s="48"/>
      <c r="T49" s="73"/>
    </row>
    <row r="50" spans="1:21" x14ac:dyDescent="0.35">
      <c r="B50" s="102"/>
      <c r="D50" s="37">
        <v>4.1360000000000001</v>
      </c>
      <c r="E50" s="69">
        <v>59.54571428571429</v>
      </c>
      <c r="G50" s="35">
        <v>17</v>
      </c>
      <c r="H50" s="1" t="s">
        <v>681</v>
      </c>
      <c r="I50" s="35">
        <v>16</v>
      </c>
      <c r="J50" s="46">
        <v>12</v>
      </c>
      <c r="K50" s="11" t="s">
        <v>1162</v>
      </c>
      <c r="L50" s="27">
        <v>88</v>
      </c>
      <c r="M50" t="s">
        <v>710</v>
      </c>
      <c r="N50" s="2" t="s">
        <v>1424</v>
      </c>
      <c r="O50" s="6" t="s">
        <v>1386</v>
      </c>
      <c r="Q50">
        <f t="shared" si="0"/>
        <v>4.1360000000000001</v>
      </c>
      <c r="S50" s="48"/>
      <c r="T50" s="73"/>
    </row>
    <row r="51" spans="1:21" x14ac:dyDescent="0.35">
      <c r="B51" s="102"/>
      <c r="D51" s="37">
        <v>-0.41399999999999998</v>
      </c>
      <c r="E51" s="69">
        <v>94.670714285714283</v>
      </c>
      <c r="G51" s="35">
        <v>8</v>
      </c>
      <c r="H51" s="1" t="s">
        <v>242</v>
      </c>
      <c r="I51" s="35">
        <v>17</v>
      </c>
      <c r="J51" s="46">
        <v>8</v>
      </c>
      <c r="K51" s="11" t="s">
        <v>767</v>
      </c>
      <c r="L51" s="27">
        <v>10</v>
      </c>
      <c r="M51" t="s">
        <v>870</v>
      </c>
      <c r="N51" s="2" t="s">
        <v>1425</v>
      </c>
      <c r="Q51">
        <f t="shared" si="0"/>
        <v>0.41399999999999998</v>
      </c>
      <c r="S51" s="48"/>
      <c r="T51" s="73"/>
    </row>
    <row r="52" spans="1:21" x14ac:dyDescent="0.35">
      <c r="B52" s="102"/>
      <c r="D52" s="37">
        <v>7.1529999999999996</v>
      </c>
      <c r="E52" s="69">
        <v>57.390714285714296</v>
      </c>
      <c r="G52" s="35">
        <v>4</v>
      </c>
      <c r="H52" s="1" t="s">
        <v>746</v>
      </c>
      <c r="I52" s="35">
        <v>22</v>
      </c>
      <c r="J52" s="46">
        <v>10</v>
      </c>
      <c r="K52" s="11" t="s">
        <v>678</v>
      </c>
      <c r="L52" s="27">
        <v>101</v>
      </c>
      <c r="M52" t="s">
        <v>789</v>
      </c>
      <c r="N52" s="2" t="s">
        <v>1426</v>
      </c>
      <c r="Q52">
        <f t="shared" si="0"/>
        <v>7.1529999999999996</v>
      </c>
      <c r="S52" s="48"/>
      <c r="T52" s="73"/>
      <c r="U52" s="74"/>
    </row>
    <row r="53" spans="1:21" x14ac:dyDescent="0.35">
      <c r="B53" s="102"/>
      <c r="D53" s="37">
        <v>-1.2030000000000001</v>
      </c>
      <c r="E53" s="69">
        <v>95.859285714285718</v>
      </c>
      <c r="G53" s="35">
        <v>11</v>
      </c>
      <c r="H53" s="1" t="s">
        <v>644</v>
      </c>
      <c r="I53" s="35">
        <v>28</v>
      </c>
      <c r="J53" s="46">
        <v>14</v>
      </c>
      <c r="K53" s="11" t="s">
        <v>720</v>
      </c>
      <c r="L53" s="27">
        <v>5</v>
      </c>
      <c r="M53" t="s">
        <v>1094</v>
      </c>
      <c r="N53" s="1" t="s">
        <v>1427</v>
      </c>
      <c r="O53" s="1" t="s">
        <v>1390</v>
      </c>
      <c r="Q53">
        <f t="shared" si="0"/>
        <v>1.2030000000000001</v>
      </c>
      <c r="S53" s="48"/>
      <c r="T53" s="73"/>
      <c r="U53" s="74"/>
    </row>
    <row r="54" spans="1:21" x14ac:dyDescent="0.35">
      <c r="B54" s="102"/>
      <c r="D54" s="37">
        <v>4.2939999999999996</v>
      </c>
      <c r="E54" s="69">
        <v>75.147142857142853</v>
      </c>
      <c r="G54" s="35">
        <v>3</v>
      </c>
      <c r="H54" s="1" t="s">
        <v>670</v>
      </c>
      <c r="I54" s="35">
        <v>18</v>
      </c>
      <c r="J54" s="46">
        <v>3</v>
      </c>
      <c r="K54" s="11" t="s">
        <v>709</v>
      </c>
      <c r="L54" s="27">
        <v>58</v>
      </c>
      <c r="M54" t="s">
        <v>1138</v>
      </c>
      <c r="N54" s="1" t="s">
        <v>1428</v>
      </c>
      <c r="O54" s="1" t="s">
        <v>1390</v>
      </c>
      <c r="Q54">
        <f t="shared" si="0"/>
        <v>4.2939999999999996</v>
      </c>
      <c r="S54" s="48"/>
      <c r="T54" s="73"/>
      <c r="U54" s="74"/>
    </row>
    <row r="55" spans="1:21" x14ac:dyDescent="0.35">
      <c r="B55" s="102"/>
      <c r="D55" s="37">
        <v>6.6280000000000001</v>
      </c>
      <c r="E55" s="69">
        <v>57.408571428571435</v>
      </c>
      <c r="G55" s="35">
        <v>6</v>
      </c>
      <c r="H55" s="1" t="s">
        <v>731</v>
      </c>
      <c r="I55" s="35">
        <v>21</v>
      </c>
      <c r="J55" s="46">
        <v>8</v>
      </c>
      <c r="K55" s="11" t="s">
        <v>722</v>
      </c>
      <c r="L55" s="27">
        <v>100</v>
      </c>
      <c r="M55" t="s">
        <v>775</v>
      </c>
      <c r="N55" s="2" t="s">
        <v>1429</v>
      </c>
      <c r="Q55">
        <f t="shared" si="0"/>
        <v>6.6280000000000001</v>
      </c>
      <c r="R55" s="73"/>
      <c r="S55" s="48"/>
      <c r="T55" s="73"/>
    </row>
    <row r="56" spans="1:21" x14ac:dyDescent="0.35">
      <c r="B56" s="102"/>
      <c r="D56" s="71">
        <v>3.4</v>
      </c>
      <c r="E56" s="69">
        <v>87.571428571428569</v>
      </c>
      <c r="F56" s="72"/>
      <c r="G56" s="35">
        <v>2</v>
      </c>
      <c r="H56" s="1" t="s">
        <v>467</v>
      </c>
      <c r="I56" s="35">
        <v>14</v>
      </c>
      <c r="J56" s="46">
        <v>11</v>
      </c>
      <c r="K56" s="11" t="s">
        <v>679</v>
      </c>
      <c r="L56" s="27">
        <v>26</v>
      </c>
      <c r="M56" t="s">
        <v>898</v>
      </c>
      <c r="N56" s="2" t="s">
        <v>1430</v>
      </c>
      <c r="O56" s="6" t="s">
        <v>1386</v>
      </c>
      <c r="P56" s="70" t="s">
        <v>1431</v>
      </c>
      <c r="Q56">
        <f t="shared" si="0"/>
        <v>3.4</v>
      </c>
      <c r="S56" s="48"/>
      <c r="T56" s="73"/>
    </row>
    <row r="57" spans="1:21" ht="15" thickBot="1" x14ac:dyDescent="0.4">
      <c r="B57" s="102"/>
      <c r="C57" s="51"/>
      <c r="D57" s="75">
        <v>5.3129999999999997</v>
      </c>
      <c r="E57" s="76">
        <v>77.633571428571429</v>
      </c>
      <c r="F57" s="49"/>
      <c r="G57" s="49">
        <v>1</v>
      </c>
      <c r="H57" s="45" t="s">
        <v>663</v>
      </c>
      <c r="I57" s="49">
        <v>16</v>
      </c>
      <c r="J57" s="50">
        <v>11</v>
      </c>
      <c r="K57" s="51" t="s">
        <v>778</v>
      </c>
      <c r="L57" s="77">
        <v>51</v>
      </c>
      <c r="M57" s="40" t="s">
        <v>839</v>
      </c>
      <c r="N57" s="40" t="s">
        <v>1432</v>
      </c>
      <c r="O57" s="78"/>
      <c r="P57" s="78"/>
      <c r="Q57">
        <f t="shared" si="0"/>
        <v>5.3129999999999997</v>
      </c>
      <c r="S57" s="48"/>
      <c r="T57" s="73"/>
    </row>
    <row r="58" spans="1:21" x14ac:dyDescent="0.35">
      <c r="B58" s="102" t="s">
        <v>1099</v>
      </c>
      <c r="C58" s="11" t="s">
        <v>1433</v>
      </c>
      <c r="D58" s="37">
        <v>2.823</v>
      </c>
      <c r="E58" s="69">
        <v>10.930000000000007</v>
      </c>
      <c r="G58" s="35">
        <v>83</v>
      </c>
      <c r="H58" s="1" t="s">
        <v>693</v>
      </c>
      <c r="I58" s="35">
        <v>13</v>
      </c>
      <c r="J58" s="46">
        <v>7</v>
      </c>
      <c r="K58" s="11" t="s">
        <v>760</v>
      </c>
      <c r="L58" s="27">
        <v>112</v>
      </c>
      <c r="M58" s="41" t="s">
        <v>721</v>
      </c>
      <c r="N58" s="41" t="s">
        <v>1434</v>
      </c>
      <c r="Q58">
        <f t="shared" si="0"/>
        <v>2.823</v>
      </c>
      <c r="S58" s="48"/>
      <c r="T58" s="73"/>
    </row>
    <row r="59" spans="1:21" x14ac:dyDescent="0.35">
      <c r="B59" s="102"/>
      <c r="D59" s="37">
        <v>-2.0640000000000001</v>
      </c>
      <c r="E59" s="69">
        <v>10.402857142857137</v>
      </c>
      <c r="G59" s="35">
        <v>111</v>
      </c>
      <c r="H59" s="1" t="s">
        <v>774</v>
      </c>
      <c r="I59" s="35">
        <v>17</v>
      </c>
      <c r="J59" s="46">
        <v>16</v>
      </c>
      <c r="K59" s="11" t="s">
        <v>784</v>
      </c>
      <c r="L59" s="27">
        <v>93</v>
      </c>
      <c r="M59" s="41" t="s">
        <v>786</v>
      </c>
      <c r="N59" s="41" t="s">
        <v>1435</v>
      </c>
      <c r="Q59">
        <f t="shared" si="0"/>
        <v>2.0640000000000001</v>
      </c>
      <c r="S59" s="48"/>
      <c r="T59" s="73"/>
    </row>
    <row r="60" spans="1:21" x14ac:dyDescent="0.35">
      <c r="B60" s="102"/>
      <c r="D60" s="37">
        <v>0.104</v>
      </c>
      <c r="E60" s="69">
        <v>5.282857142857134</v>
      </c>
      <c r="G60" s="35">
        <v>110</v>
      </c>
      <c r="H60" s="1" t="s">
        <v>777</v>
      </c>
      <c r="I60" s="35">
        <v>22</v>
      </c>
      <c r="J60" s="46">
        <v>12</v>
      </c>
      <c r="K60" s="11" t="s">
        <v>709</v>
      </c>
      <c r="L60" s="27">
        <v>102</v>
      </c>
      <c r="M60" s="41" t="s">
        <v>1237</v>
      </c>
      <c r="N60" s="41" t="s">
        <v>1436</v>
      </c>
      <c r="Q60">
        <f t="shared" si="0"/>
        <v>0.104</v>
      </c>
      <c r="S60" s="48"/>
      <c r="T60" s="73"/>
    </row>
    <row r="61" spans="1:21" x14ac:dyDescent="0.35">
      <c r="B61" s="102"/>
      <c r="D61" s="37">
        <v>-3.9649999999999999</v>
      </c>
      <c r="E61" s="69">
        <v>37.341071428571425</v>
      </c>
      <c r="G61" s="35">
        <v>109</v>
      </c>
      <c r="H61" s="1" t="s">
        <v>722</v>
      </c>
      <c r="I61" s="35">
        <v>20</v>
      </c>
      <c r="J61" s="46">
        <v>16</v>
      </c>
      <c r="K61" s="11" t="s">
        <v>779</v>
      </c>
      <c r="L61" s="27">
        <v>54</v>
      </c>
      <c r="M61" s="41" t="s">
        <v>719</v>
      </c>
      <c r="N61" s="41" t="s">
        <v>1437</v>
      </c>
      <c r="Q61">
        <f t="shared" si="0"/>
        <v>3.9649999999999999</v>
      </c>
      <c r="S61" s="48"/>
      <c r="T61" s="73"/>
    </row>
    <row r="62" spans="1:21" x14ac:dyDescent="0.35">
      <c r="A62" s="2" t="s">
        <v>1438</v>
      </c>
      <c r="B62" s="102"/>
      <c r="D62" s="37">
        <v>-2.0289999999999999</v>
      </c>
      <c r="E62" s="69">
        <v>19.86</v>
      </c>
      <c r="G62" s="35">
        <v>108</v>
      </c>
      <c r="H62" s="1" t="s">
        <v>678</v>
      </c>
      <c r="I62" s="35">
        <v>17</v>
      </c>
      <c r="J62" s="46">
        <v>15</v>
      </c>
      <c r="K62" s="11" t="s">
        <v>743</v>
      </c>
      <c r="L62" s="27">
        <v>77</v>
      </c>
      <c r="M62" s="41" t="s">
        <v>699</v>
      </c>
      <c r="N62" s="41" t="s">
        <v>1439</v>
      </c>
      <c r="P62" t="s">
        <v>1440</v>
      </c>
      <c r="Q62">
        <f t="shared" si="0"/>
        <v>2.0289999999999999</v>
      </c>
      <c r="S62" s="48"/>
      <c r="T62" s="73"/>
    </row>
    <row r="63" spans="1:21" x14ac:dyDescent="0.35">
      <c r="B63" s="102"/>
      <c r="D63" s="37">
        <v>-1.9059999999999999</v>
      </c>
      <c r="E63" s="69">
        <v>20.557857142857149</v>
      </c>
      <c r="G63" s="35">
        <v>107</v>
      </c>
      <c r="H63" s="1" t="s">
        <v>1161</v>
      </c>
      <c r="I63" s="35">
        <v>22</v>
      </c>
      <c r="J63" s="46">
        <v>13</v>
      </c>
      <c r="K63" s="11" t="s">
        <v>1165</v>
      </c>
      <c r="L63" s="27">
        <v>74</v>
      </c>
      <c r="M63" s="41" t="s">
        <v>796</v>
      </c>
      <c r="N63" s="41" t="s">
        <v>1441</v>
      </c>
      <c r="Q63">
        <f t="shared" si="0"/>
        <v>1.9059999999999999</v>
      </c>
      <c r="S63" s="48"/>
      <c r="T63" s="73"/>
    </row>
    <row r="64" spans="1:21" x14ac:dyDescent="0.35">
      <c r="B64" s="102"/>
      <c r="D64" s="37">
        <v>4.4059999999999997</v>
      </c>
      <c r="E64" s="69">
        <v>40.60285714285714</v>
      </c>
      <c r="G64" s="35">
        <v>34</v>
      </c>
      <c r="H64" s="1" t="s">
        <v>672</v>
      </c>
      <c r="I64" s="35">
        <v>14</v>
      </c>
      <c r="J64" s="46">
        <v>13</v>
      </c>
      <c r="K64" s="11" t="s">
        <v>700</v>
      </c>
      <c r="L64" s="27">
        <v>106</v>
      </c>
      <c r="M64" s="41" t="s">
        <v>1442</v>
      </c>
      <c r="N64" s="41" t="s">
        <v>1443</v>
      </c>
      <c r="O64" s="6" t="s">
        <v>1386</v>
      </c>
      <c r="P64" s="70" t="s">
        <v>1444</v>
      </c>
      <c r="Q64">
        <f t="shared" si="0"/>
        <v>4.4059999999999997</v>
      </c>
      <c r="S64" s="48"/>
      <c r="T64" s="73"/>
    </row>
    <row r="65" spans="1:20" x14ac:dyDescent="0.35">
      <c r="B65" s="102"/>
      <c r="D65" s="71">
        <v>-4.55</v>
      </c>
      <c r="E65" s="69">
        <v>49.410714285714285</v>
      </c>
      <c r="F65" s="72"/>
      <c r="G65" s="35">
        <v>105</v>
      </c>
      <c r="H65" s="1" t="s">
        <v>726</v>
      </c>
      <c r="I65" s="35">
        <v>31</v>
      </c>
      <c r="J65" s="46">
        <v>14</v>
      </c>
      <c r="K65" s="11" t="s">
        <v>751</v>
      </c>
      <c r="L65" s="27">
        <v>29</v>
      </c>
      <c r="M65" s="41" t="s">
        <v>920</v>
      </c>
      <c r="N65" s="43" t="s">
        <v>1445</v>
      </c>
      <c r="O65" s="1" t="s">
        <v>1390</v>
      </c>
      <c r="Q65">
        <f t="shared" si="0"/>
        <v>4.55</v>
      </c>
      <c r="S65" s="48"/>
      <c r="T65" s="73"/>
    </row>
    <row r="66" spans="1:20" x14ac:dyDescent="0.35">
      <c r="B66" s="102"/>
      <c r="D66" s="37">
        <v>-5.3739999999999997</v>
      </c>
      <c r="E66" s="69">
        <v>66.552857142857107</v>
      </c>
      <c r="G66" s="35">
        <v>104</v>
      </c>
      <c r="H66" s="1" t="s">
        <v>677</v>
      </c>
      <c r="I66" s="35">
        <v>21</v>
      </c>
      <c r="J66" s="46">
        <v>20</v>
      </c>
      <c r="K66" s="11" t="s">
        <v>731</v>
      </c>
      <c r="L66" s="27">
        <v>6</v>
      </c>
      <c r="M66" s="41" t="s">
        <v>1446</v>
      </c>
      <c r="N66" s="41" t="s">
        <v>1447</v>
      </c>
      <c r="P66" t="s">
        <v>1448</v>
      </c>
      <c r="Q66">
        <f t="shared" si="0"/>
        <v>5.3739999999999997</v>
      </c>
      <c r="S66" s="48"/>
      <c r="T66" s="73"/>
    </row>
    <row r="67" spans="1:20" x14ac:dyDescent="0.35">
      <c r="B67" s="102"/>
      <c r="D67" s="37">
        <v>-3.6339999999999999</v>
      </c>
      <c r="E67" s="69">
        <v>47.149285714285718</v>
      </c>
      <c r="G67" s="35">
        <v>103</v>
      </c>
      <c r="H67" s="1" t="s">
        <v>712</v>
      </c>
      <c r="I67" s="35">
        <v>19</v>
      </c>
      <c r="J67" s="46">
        <v>11</v>
      </c>
      <c r="K67" s="11" t="s">
        <v>785</v>
      </c>
      <c r="L67" s="27">
        <v>35</v>
      </c>
      <c r="M67" s="41" t="s">
        <v>775</v>
      </c>
      <c r="N67" s="41" t="s">
        <v>1449</v>
      </c>
      <c r="Q67">
        <f t="shared" ref="Q67:Q130" si="1">ABS(D67)</f>
        <v>3.6339999999999999</v>
      </c>
      <c r="S67" s="48"/>
      <c r="T67" s="73"/>
    </row>
    <row r="68" spans="1:20" x14ac:dyDescent="0.35">
      <c r="A68" s="2" t="s">
        <v>1450</v>
      </c>
      <c r="B68" s="102"/>
      <c r="D68" s="37">
        <v>6.0270000000000001</v>
      </c>
      <c r="E68" s="69">
        <v>58.123571428571395</v>
      </c>
      <c r="G68" s="35">
        <v>7</v>
      </c>
      <c r="H68" s="1" t="s">
        <v>663</v>
      </c>
      <c r="I68" s="35">
        <v>16</v>
      </c>
      <c r="J68" s="46">
        <v>14</v>
      </c>
      <c r="K68" s="11" t="s">
        <v>776</v>
      </c>
      <c r="L68" s="27">
        <v>101</v>
      </c>
      <c r="M68" s="41" t="s">
        <v>710</v>
      </c>
      <c r="N68" s="41" t="s">
        <v>1451</v>
      </c>
      <c r="O68" s="6" t="s">
        <v>1386</v>
      </c>
      <c r="P68" t="s">
        <v>1452</v>
      </c>
      <c r="Q68">
        <f t="shared" si="1"/>
        <v>6.0270000000000001</v>
      </c>
      <c r="S68" s="48"/>
      <c r="T68" s="73"/>
    </row>
    <row r="69" spans="1:20" x14ac:dyDescent="0.35">
      <c r="B69" s="102"/>
      <c r="D69" s="37">
        <v>-0.73399999999999999</v>
      </c>
      <c r="E69" s="69">
        <v>13.917142857142849</v>
      </c>
      <c r="G69" s="35">
        <v>100</v>
      </c>
      <c r="H69" s="1" t="s">
        <v>753</v>
      </c>
      <c r="I69" s="35">
        <v>19</v>
      </c>
      <c r="J69" s="46">
        <v>13</v>
      </c>
      <c r="K69" s="11" t="s">
        <v>737</v>
      </c>
      <c r="L69" s="27">
        <v>94</v>
      </c>
      <c r="M69" s="41" t="s">
        <v>844</v>
      </c>
      <c r="N69" s="41" t="s">
        <v>1453</v>
      </c>
      <c r="Q69">
        <f t="shared" si="1"/>
        <v>0.73399999999999999</v>
      </c>
      <c r="S69" s="48"/>
      <c r="T69" s="73"/>
    </row>
    <row r="70" spans="1:20" x14ac:dyDescent="0.35">
      <c r="B70" s="102"/>
      <c r="D70" s="37">
        <v>0.59399999999999997</v>
      </c>
      <c r="E70" s="69">
        <v>25.914999999999999</v>
      </c>
      <c r="G70" s="35">
        <v>66</v>
      </c>
      <c r="H70" s="1" t="s">
        <v>661</v>
      </c>
      <c r="I70" s="35">
        <v>18</v>
      </c>
      <c r="J70" s="46">
        <v>13</v>
      </c>
      <c r="K70" s="11" t="s">
        <v>716</v>
      </c>
      <c r="L70" s="27">
        <v>99</v>
      </c>
      <c r="M70" s="41" t="s">
        <v>796</v>
      </c>
      <c r="N70" s="41" t="s">
        <v>1454</v>
      </c>
      <c r="P70" s="70" t="s">
        <v>1455</v>
      </c>
      <c r="Q70">
        <f t="shared" si="1"/>
        <v>0.59399999999999997</v>
      </c>
      <c r="S70" s="48"/>
      <c r="T70" s="73"/>
    </row>
    <row r="71" spans="1:20" x14ac:dyDescent="0.35">
      <c r="B71" s="102"/>
      <c r="D71" s="37">
        <v>3.9569999999999999</v>
      </c>
      <c r="E71" s="69">
        <v>40.52178571428572</v>
      </c>
      <c r="G71" s="35">
        <v>43</v>
      </c>
      <c r="H71" s="1" t="s">
        <v>328</v>
      </c>
      <c r="I71" s="35">
        <v>13</v>
      </c>
      <c r="J71" s="46">
        <v>12</v>
      </c>
      <c r="K71" s="11" t="s">
        <v>639</v>
      </c>
      <c r="L71" s="27">
        <v>98</v>
      </c>
      <c r="M71" s="41" t="s">
        <v>955</v>
      </c>
      <c r="N71" s="41" t="s">
        <v>1456</v>
      </c>
      <c r="O71" s="6" t="s">
        <v>1386</v>
      </c>
      <c r="Q71">
        <f t="shared" si="1"/>
        <v>3.9569999999999999</v>
      </c>
      <c r="S71" s="48"/>
      <c r="T71" s="73"/>
    </row>
    <row r="72" spans="1:20" x14ac:dyDescent="0.35">
      <c r="B72" s="102"/>
      <c r="D72" s="37">
        <v>4.016</v>
      </c>
      <c r="E72" s="69">
        <v>53.559999999999995</v>
      </c>
      <c r="G72" s="35">
        <v>25</v>
      </c>
      <c r="H72" s="1" t="s">
        <v>664</v>
      </c>
      <c r="I72" s="35">
        <v>16</v>
      </c>
      <c r="J72" s="46">
        <v>6</v>
      </c>
      <c r="K72" s="11" t="s">
        <v>1156</v>
      </c>
      <c r="L72" s="27">
        <v>97</v>
      </c>
      <c r="M72" s="41" t="s">
        <v>707</v>
      </c>
      <c r="N72" s="41" t="s">
        <v>1457</v>
      </c>
      <c r="Q72">
        <f t="shared" si="1"/>
        <v>4.016</v>
      </c>
      <c r="S72" s="48"/>
      <c r="T72" s="73"/>
    </row>
    <row r="73" spans="1:20" x14ac:dyDescent="0.35">
      <c r="B73" s="102"/>
      <c r="D73" s="37">
        <v>-3.5070000000000001</v>
      </c>
      <c r="E73" s="69">
        <v>52.478214285714294</v>
      </c>
      <c r="G73" s="35">
        <v>96</v>
      </c>
      <c r="H73" s="1" t="s">
        <v>582</v>
      </c>
      <c r="I73" s="35">
        <v>16</v>
      </c>
      <c r="J73" s="46">
        <v>14</v>
      </c>
      <c r="K73" s="11" t="s">
        <v>648</v>
      </c>
      <c r="L73" s="27">
        <v>31</v>
      </c>
      <c r="M73" s="41" t="s">
        <v>793</v>
      </c>
      <c r="N73" s="41" t="s">
        <v>1458</v>
      </c>
      <c r="P73" t="s">
        <v>1459</v>
      </c>
      <c r="Q73">
        <f t="shared" si="1"/>
        <v>3.5070000000000001</v>
      </c>
      <c r="S73" s="48"/>
      <c r="T73" s="73"/>
    </row>
    <row r="74" spans="1:20" x14ac:dyDescent="0.35">
      <c r="B74" s="102"/>
      <c r="D74" s="37">
        <v>2.915</v>
      </c>
      <c r="E74" s="69">
        <v>39.25714285714286</v>
      </c>
      <c r="G74" s="35">
        <v>51</v>
      </c>
      <c r="H74" s="1" t="s">
        <v>645</v>
      </c>
      <c r="I74" s="35">
        <v>14</v>
      </c>
      <c r="J74" s="46">
        <v>12</v>
      </c>
      <c r="K74" s="11" t="s">
        <v>1155</v>
      </c>
      <c r="L74" s="27">
        <v>95</v>
      </c>
      <c r="M74" s="41" t="s">
        <v>769</v>
      </c>
      <c r="N74" s="41" t="s">
        <v>1460</v>
      </c>
      <c r="O74" s="6" t="s">
        <v>1386</v>
      </c>
      <c r="Q74">
        <f t="shared" si="1"/>
        <v>2.915</v>
      </c>
      <c r="S74" s="48"/>
      <c r="T74" s="73"/>
    </row>
    <row r="75" spans="1:20" x14ac:dyDescent="0.35">
      <c r="B75" s="102"/>
      <c r="D75" s="37">
        <v>3.5339999999999998</v>
      </c>
      <c r="E75" s="69">
        <v>49.663214285714282</v>
      </c>
      <c r="G75" s="35">
        <v>27</v>
      </c>
      <c r="H75" s="1" t="s">
        <v>713</v>
      </c>
      <c r="I75" s="35">
        <v>20</v>
      </c>
      <c r="J75" s="46">
        <v>11</v>
      </c>
      <c r="K75" s="11" t="s">
        <v>706</v>
      </c>
      <c r="L75" s="27">
        <v>92</v>
      </c>
      <c r="M75" s="41" t="s">
        <v>773</v>
      </c>
      <c r="N75" s="41" t="s">
        <v>1461</v>
      </c>
      <c r="Q75">
        <f t="shared" si="1"/>
        <v>3.5339999999999998</v>
      </c>
      <c r="S75" s="48"/>
      <c r="T75" s="73"/>
    </row>
    <row r="76" spans="1:20" x14ac:dyDescent="0.35">
      <c r="A76" s="2" t="s">
        <v>1462</v>
      </c>
      <c r="B76" s="102"/>
      <c r="D76" s="37">
        <v>4.0069999999999997</v>
      </c>
      <c r="E76" s="69">
        <v>58.20928571428572</v>
      </c>
      <c r="G76" s="35">
        <v>18</v>
      </c>
      <c r="H76" s="1" t="s">
        <v>334</v>
      </c>
      <c r="I76" s="35">
        <v>17</v>
      </c>
      <c r="J76" s="46">
        <v>12</v>
      </c>
      <c r="K76" s="11" t="s">
        <v>635</v>
      </c>
      <c r="L76" s="27">
        <v>91</v>
      </c>
      <c r="M76" s="41" t="s">
        <v>741</v>
      </c>
      <c r="N76" s="41" t="s">
        <v>1463</v>
      </c>
      <c r="Q76">
        <f t="shared" si="1"/>
        <v>4.0069999999999997</v>
      </c>
      <c r="S76" s="48"/>
      <c r="T76" s="73"/>
    </row>
    <row r="77" spans="1:20" x14ac:dyDescent="0.35">
      <c r="B77" s="102"/>
      <c r="D77" s="37">
        <v>-0.22800000000000001</v>
      </c>
      <c r="E77" s="69">
        <v>31.859285714285711</v>
      </c>
      <c r="G77" s="35">
        <v>90</v>
      </c>
      <c r="H77" s="1" t="s">
        <v>729</v>
      </c>
      <c r="I77" s="35">
        <v>14</v>
      </c>
      <c r="J77" s="46">
        <v>13</v>
      </c>
      <c r="K77" s="11" t="s">
        <v>734</v>
      </c>
      <c r="L77" s="27">
        <v>63</v>
      </c>
      <c r="M77" s="41" t="s">
        <v>928</v>
      </c>
      <c r="N77" s="41" t="s">
        <v>1464</v>
      </c>
      <c r="Q77">
        <f t="shared" si="1"/>
        <v>0.22800000000000001</v>
      </c>
      <c r="S77" s="48"/>
      <c r="T77" s="73"/>
    </row>
    <row r="78" spans="1:20" x14ac:dyDescent="0.35">
      <c r="B78" s="102"/>
      <c r="D78" s="37">
        <v>4.0540000000000003</v>
      </c>
      <c r="E78" s="69">
        <v>46.479285714285709</v>
      </c>
      <c r="G78" s="35">
        <v>37</v>
      </c>
      <c r="H78" s="1" t="s">
        <v>667</v>
      </c>
      <c r="I78" s="35">
        <v>17</v>
      </c>
      <c r="J78" s="46">
        <v>15</v>
      </c>
      <c r="K78" s="11" t="s">
        <v>631</v>
      </c>
      <c r="L78" s="27">
        <v>89</v>
      </c>
      <c r="M78" s="41" t="s">
        <v>781</v>
      </c>
      <c r="N78" s="41" t="s">
        <v>1465</v>
      </c>
      <c r="O78" s="6" t="s">
        <v>1386</v>
      </c>
      <c r="Q78">
        <f t="shared" si="1"/>
        <v>4.0540000000000003</v>
      </c>
      <c r="S78" s="48"/>
      <c r="T78" s="73"/>
    </row>
    <row r="79" spans="1:20" x14ac:dyDescent="0.35">
      <c r="B79" s="102"/>
      <c r="D79" s="37">
        <v>5.7560000000000002</v>
      </c>
      <c r="E79" s="69">
        <v>60.888571428571424</v>
      </c>
      <c r="G79" s="35">
        <v>10</v>
      </c>
      <c r="H79" s="1" t="s">
        <v>651</v>
      </c>
      <c r="I79" s="35">
        <v>19</v>
      </c>
      <c r="J79" s="46">
        <v>11</v>
      </c>
      <c r="K79" s="11" t="s">
        <v>1162</v>
      </c>
      <c r="L79" s="27">
        <v>88</v>
      </c>
      <c r="M79" s="41" t="s">
        <v>770</v>
      </c>
      <c r="N79" s="41" t="s">
        <v>1466</v>
      </c>
      <c r="Q79">
        <f t="shared" si="1"/>
        <v>5.7560000000000002</v>
      </c>
      <c r="S79" s="48"/>
      <c r="T79" s="73"/>
    </row>
    <row r="80" spans="1:20" x14ac:dyDescent="0.35">
      <c r="B80" s="102"/>
      <c r="D80" s="37">
        <v>-0.151</v>
      </c>
      <c r="E80" s="69">
        <v>33.589999999999996</v>
      </c>
      <c r="G80" s="35">
        <v>87</v>
      </c>
      <c r="H80" s="1" t="s">
        <v>680</v>
      </c>
      <c r="I80" s="35">
        <v>24</v>
      </c>
      <c r="J80" s="46">
        <v>21</v>
      </c>
      <c r="K80" s="11" t="s">
        <v>720</v>
      </c>
      <c r="L80" s="27">
        <v>62</v>
      </c>
      <c r="M80" s="41" t="s">
        <v>907</v>
      </c>
      <c r="N80" s="41" t="s">
        <v>1467</v>
      </c>
      <c r="P80" s="70" t="s">
        <v>1468</v>
      </c>
      <c r="Q80">
        <f t="shared" si="1"/>
        <v>0.151</v>
      </c>
      <c r="S80" s="48"/>
      <c r="T80" s="73"/>
    </row>
    <row r="81" spans="1:21" x14ac:dyDescent="0.35">
      <c r="B81" s="102"/>
      <c r="D81" s="37">
        <v>0.80300000000000005</v>
      </c>
      <c r="E81" s="69">
        <v>24.872857142857143</v>
      </c>
      <c r="G81" s="35">
        <v>81</v>
      </c>
      <c r="H81" s="1" t="s">
        <v>723</v>
      </c>
      <c r="I81" s="35">
        <v>14</v>
      </c>
      <c r="J81" s="46">
        <v>9</v>
      </c>
      <c r="K81" s="11" t="s">
        <v>738</v>
      </c>
      <c r="L81" s="27">
        <v>86</v>
      </c>
      <c r="M81" s="41" t="s">
        <v>789</v>
      </c>
      <c r="N81" s="41" t="s">
        <v>1469</v>
      </c>
      <c r="Q81">
        <f t="shared" si="1"/>
        <v>0.80300000000000005</v>
      </c>
      <c r="S81" s="48"/>
      <c r="T81" s="73"/>
    </row>
    <row r="82" spans="1:21" x14ac:dyDescent="0.35">
      <c r="B82" s="102"/>
      <c r="D82" s="37">
        <v>-3.6589999999999998</v>
      </c>
      <c r="E82" s="69">
        <v>64.39928571428571</v>
      </c>
      <c r="G82" s="35">
        <v>85</v>
      </c>
      <c r="H82" s="1" t="s">
        <v>1164</v>
      </c>
      <c r="I82" s="35">
        <v>21</v>
      </c>
      <c r="J82" s="46">
        <v>17</v>
      </c>
      <c r="K82" s="11" t="s">
        <v>681</v>
      </c>
      <c r="L82" s="27">
        <v>22</v>
      </c>
      <c r="M82" s="41" t="s">
        <v>759</v>
      </c>
      <c r="N82" s="41" t="s">
        <v>1470</v>
      </c>
      <c r="Q82">
        <f t="shared" si="1"/>
        <v>3.6589999999999998</v>
      </c>
      <c r="S82" s="48"/>
      <c r="T82" s="73"/>
    </row>
    <row r="83" spans="1:21" x14ac:dyDescent="0.35">
      <c r="B83" s="102"/>
      <c r="D83" s="37">
        <v>6.4980000000000002</v>
      </c>
      <c r="E83" s="69">
        <v>64.287142857142854</v>
      </c>
      <c r="G83" s="35">
        <v>3</v>
      </c>
      <c r="H83" s="1" t="s">
        <v>242</v>
      </c>
      <c r="I83" s="35">
        <v>33</v>
      </c>
      <c r="J83" s="46">
        <v>20</v>
      </c>
      <c r="K83" s="11" t="s">
        <v>761</v>
      </c>
      <c r="L83" s="27">
        <v>84</v>
      </c>
      <c r="M83" s="41" t="s">
        <v>1471</v>
      </c>
      <c r="N83" s="41" t="s">
        <v>1472</v>
      </c>
      <c r="P83" s="70" t="s">
        <v>1473</v>
      </c>
      <c r="Q83">
        <f t="shared" si="1"/>
        <v>6.4980000000000002</v>
      </c>
      <c r="S83" s="48"/>
      <c r="T83" s="73"/>
    </row>
    <row r="84" spans="1:21" x14ac:dyDescent="0.35">
      <c r="B84" s="102"/>
      <c r="D84" s="37">
        <v>2.4460000000000002</v>
      </c>
      <c r="E84" s="69">
        <v>46.422499999999999</v>
      </c>
      <c r="G84" s="35">
        <v>47</v>
      </c>
      <c r="H84" s="1" t="s">
        <v>629</v>
      </c>
      <c r="I84" s="35">
        <v>17</v>
      </c>
      <c r="J84" s="46">
        <v>11</v>
      </c>
      <c r="K84" s="11" t="s">
        <v>634</v>
      </c>
      <c r="L84" s="27">
        <v>82</v>
      </c>
      <c r="M84" s="41" t="s">
        <v>748</v>
      </c>
      <c r="N84" s="41" t="s">
        <v>1474</v>
      </c>
      <c r="Q84">
        <f t="shared" si="1"/>
        <v>2.4460000000000002</v>
      </c>
      <c r="S84" s="48"/>
      <c r="T84" s="73"/>
    </row>
    <row r="85" spans="1:21" x14ac:dyDescent="0.35">
      <c r="B85" s="102"/>
      <c r="D85" s="71">
        <v>-2.41</v>
      </c>
      <c r="E85" s="69">
        <v>47.078571428571422</v>
      </c>
      <c r="F85" s="72"/>
      <c r="G85" s="35">
        <v>80</v>
      </c>
      <c r="H85" s="1" t="s">
        <v>764</v>
      </c>
      <c r="I85" s="35">
        <v>17</v>
      </c>
      <c r="J85" s="46">
        <v>16</v>
      </c>
      <c r="K85" s="11" t="s">
        <v>756</v>
      </c>
      <c r="L85" s="27">
        <v>56</v>
      </c>
      <c r="M85" s="41" t="s">
        <v>710</v>
      </c>
      <c r="N85" s="41" t="s">
        <v>1475</v>
      </c>
      <c r="P85" s="70" t="s">
        <v>1476</v>
      </c>
      <c r="Q85">
        <f t="shared" si="1"/>
        <v>2.41</v>
      </c>
      <c r="S85" s="48"/>
      <c r="T85" s="73"/>
    </row>
    <row r="86" spans="1:21" x14ac:dyDescent="0.35">
      <c r="B86" s="102"/>
      <c r="D86" s="37">
        <v>4.4459999999999997</v>
      </c>
      <c r="E86" s="69">
        <v>53.029642857142868</v>
      </c>
      <c r="G86" s="35">
        <v>30</v>
      </c>
      <c r="H86" s="1" t="s">
        <v>666</v>
      </c>
      <c r="I86" s="35">
        <v>27</v>
      </c>
      <c r="J86" s="46">
        <v>11</v>
      </c>
      <c r="K86" s="11" t="s">
        <v>1158</v>
      </c>
      <c r="L86" s="27">
        <v>79</v>
      </c>
      <c r="M86" s="41" t="s">
        <v>793</v>
      </c>
      <c r="N86" s="41" t="s">
        <v>1477</v>
      </c>
      <c r="Q86">
        <f t="shared" si="1"/>
        <v>4.4459999999999997</v>
      </c>
      <c r="S86" s="48"/>
      <c r="T86" s="73"/>
    </row>
    <row r="87" spans="1:21" x14ac:dyDescent="0.35">
      <c r="B87" s="102"/>
      <c r="D87" s="37">
        <v>3.101</v>
      </c>
      <c r="E87" s="69">
        <v>47.160000000000004</v>
      </c>
      <c r="G87" s="35">
        <v>48</v>
      </c>
      <c r="H87" s="1" t="s">
        <v>640</v>
      </c>
      <c r="I87" s="35">
        <v>19</v>
      </c>
      <c r="J87" s="46">
        <v>15</v>
      </c>
      <c r="K87" s="11" t="s">
        <v>646</v>
      </c>
      <c r="L87" s="27">
        <v>78</v>
      </c>
      <c r="M87" s="41" t="s">
        <v>866</v>
      </c>
      <c r="N87" s="41" t="s">
        <v>1478</v>
      </c>
      <c r="Q87">
        <f t="shared" si="1"/>
        <v>3.101</v>
      </c>
      <c r="S87" s="48"/>
      <c r="T87" s="73"/>
    </row>
    <row r="88" spans="1:21" x14ac:dyDescent="0.35">
      <c r="B88" s="102"/>
      <c r="D88" s="37">
        <v>3.105</v>
      </c>
      <c r="E88" s="69">
        <v>48.764285714285712</v>
      </c>
      <c r="G88" s="35">
        <v>46</v>
      </c>
      <c r="H88" s="1" t="s">
        <v>642</v>
      </c>
      <c r="I88" s="35">
        <v>15</v>
      </c>
      <c r="J88" s="46">
        <v>13</v>
      </c>
      <c r="K88" s="11" t="s">
        <v>732</v>
      </c>
      <c r="L88" s="27">
        <v>76</v>
      </c>
      <c r="M88" s="41" t="s">
        <v>707</v>
      </c>
      <c r="N88" s="41" t="s">
        <v>1479</v>
      </c>
      <c r="O88" s="6" t="s">
        <v>1386</v>
      </c>
      <c r="Q88">
        <f t="shared" si="1"/>
        <v>3.105</v>
      </c>
      <c r="S88" s="48"/>
      <c r="T88" s="73"/>
    </row>
    <row r="89" spans="1:21" x14ac:dyDescent="0.35">
      <c r="A89" s="2" t="s">
        <v>1480</v>
      </c>
      <c r="B89" s="102"/>
      <c r="D89" s="37">
        <v>0.623</v>
      </c>
      <c r="E89" s="69">
        <v>34.376428571428562</v>
      </c>
      <c r="G89" s="35">
        <v>71</v>
      </c>
      <c r="H89" s="1" t="s">
        <v>630</v>
      </c>
      <c r="I89" s="35">
        <v>18</v>
      </c>
      <c r="J89" s="46">
        <v>15</v>
      </c>
      <c r="K89" s="11" t="s">
        <v>638</v>
      </c>
      <c r="L89" s="27">
        <v>75</v>
      </c>
      <c r="M89" s="41" t="s">
        <v>702</v>
      </c>
      <c r="N89" s="41" t="s">
        <v>1481</v>
      </c>
      <c r="Q89">
        <f t="shared" si="1"/>
        <v>0.623</v>
      </c>
      <c r="S89" s="48"/>
      <c r="T89" s="73"/>
    </row>
    <row r="90" spans="1:21" x14ac:dyDescent="0.35">
      <c r="B90" s="102"/>
      <c r="D90" s="37">
        <v>-4.4889999999999999</v>
      </c>
      <c r="E90" s="69">
        <v>71.063571428571422</v>
      </c>
      <c r="G90" s="35">
        <v>73</v>
      </c>
      <c r="H90" s="1" t="s">
        <v>468</v>
      </c>
      <c r="I90" s="35">
        <v>25</v>
      </c>
      <c r="J90" s="46">
        <v>13</v>
      </c>
      <c r="K90" s="11" t="s">
        <v>1157</v>
      </c>
      <c r="L90" s="27">
        <v>17</v>
      </c>
      <c r="M90" s="41" t="s">
        <v>1482</v>
      </c>
      <c r="N90" s="43" t="s">
        <v>1483</v>
      </c>
      <c r="O90" s="1" t="s">
        <v>1390</v>
      </c>
      <c r="P90" s="70" t="s">
        <v>1411</v>
      </c>
      <c r="Q90">
        <f t="shared" si="1"/>
        <v>4.4889999999999999</v>
      </c>
      <c r="S90" s="48"/>
      <c r="T90" s="73"/>
    </row>
    <row r="91" spans="1:21" x14ac:dyDescent="0.35">
      <c r="B91" s="102"/>
      <c r="D91" s="37">
        <v>2.552</v>
      </c>
      <c r="E91" s="69">
        <v>47.953928571428563</v>
      </c>
      <c r="G91" s="35">
        <v>53</v>
      </c>
      <c r="H91" s="1" t="s">
        <v>742</v>
      </c>
      <c r="I91" s="35">
        <v>21</v>
      </c>
      <c r="J91" s="46">
        <v>19</v>
      </c>
      <c r="K91" s="11" t="s">
        <v>783</v>
      </c>
      <c r="L91" s="27">
        <v>72</v>
      </c>
      <c r="M91" s="41" t="s">
        <v>866</v>
      </c>
      <c r="N91" s="41" t="s">
        <v>1484</v>
      </c>
      <c r="O91" s="6" t="s">
        <v>1386</v>
      </c>
      <c r="Q91">
        <f t="shared" si="1"/>
        <v>2.552</v>
      </c>
      <c r="S91" s="48"/>
      <c r="T91" s="73"/>
      <c r="U91" s="74"/>
    </row>
    <row r="92" spans="1:21" x14ac:dyDescent="0.35">
      <c r="B92" s="102"/>
      <c r="D92" s="37">
        <v>2.4769999999999999</v>
      </c>
      <c r="E92" s="69">
        <v>54.837857142857139</v>
      </c>
      <c r="G92" s="35">
        <v>38</v>
      </c>
      <c r="H92" s="1" t="s">
        <v>763</v>
      </c>
      <c r="I92" s="35">
        <v>14</v>
      </c>
      <c r="J92" s="46">
        <v>9</v>
      </c>
      <c r="K92" s="11" t="s">
        <v>757</v>
      </c>
      <c r="L92" s="27">
        <v>70</v>
      </c>
      <c r="M92" s="41" t="s">
        <v>710</v>
      </c>
      <c r="N92" s="41" t="s">
        <v>1485</v>
      </c>
      <c r="Q92">
        <f t="shared" si="1"/>
        <v>2.4769999999999999</v>
      </c>
      <c r="S92" s="48"/>
      <c r="T92" s="73"/>
      <c r="U92" s="74"/>
    </row>
    <row r="93" spans="1:21" x14ac:dyDescent="0.35">
      <c r="A93" s="2" t="s">
        <v>1486</v>
      </c>
      <c r="B93" s="102"/>
      <c r="D93" s="37">
        <v>3.266</v>
      </c>
      <c r="E93" s="69">
        <v>53.872499999999988</v>
      </c>
      <c r="G93" s="35">
        <v>40</v>
      </c>
      <c r="H93" s="1" t="s">
        <v>673</v>
      </c>
      <c r="I93" s="35">
        <v>20</v>
      </c>
      <c r="J93" s="46">
        <v>8</v>
      </c>
      <c r="K93" s="11" t="s">
        <v>768</v>
      </c>
      <c r="L93" s="27">
        <v>69</v>
      </c>
      <c r="M93" s="41" t="s">
        <v>740</v>
      </c>
      <c r="N93" s="41" t="s">
        <v>1487</v>
      </c>
      <c r="Q93">
        <f t="shared" si="1"/>
        <v>3.266</v>
      </c>
      <c r="S93" s="48"/>
      <c r="T93" s="73"/>
      <c r="U93" s="74"/>
    </row>
    <row r="94" spans="1:21" x14ac:dyDescent="0.35">
      <c r="B94" s="102"/>
      <c r="D94" s="71">
        <v>0.72</v>
      </c>
      <c r="E94" s="69">
        <v>41.896428571428565</v>
      </c>
      <c r="F94" s="72"/>
      <c r="G94" s="35">
        <v>61</v>
      </c>
      <c r="H94" s="1" t="s">
        <v>671</v>
      </c>
      <c r="I94" s="35">
        <v>18</v>
      </c>
      <c r="J94" s="46">
        <v>17</v>
      </c>
      <c r="K94" s="11" t="s">
        <v>701</v>
      </c>
      <c r="L94" s="27">
        <v>68</v>
      </c>
      <c r="M94" s="41" t="s">
        <v>866</v>
      </c>
      <c r="N94" s="41" t="s">
        <v>1488</v>
      </c>
      <c r="P94" s="70" t="s">
        <v>1489</v>
      </c>
      <c r="Q94">
        <f t="shared" si="1"/>
        <v>0.72</v>
      </c>
      <c r="S94" s="48"/>
      <c r="T94" s="73"/>
      <c r="U94" s="74"/>
    </row>
    <row r="95" spans="1:21" x14ac:dyDescent="0.35">
      <c r="B95" s="102"/>
      <c r="D95" s="37">
        <v>-1.329</v>
      </c>
      <c r="E95" s="69">
        <v>45.145714285714277</v>
      </c>
      <c r="G95" s="35">
        <v>67</v>
      </c>
      <c r="H95" s="1" t="s">
        <v>718</v>
      </c>
      <c r="I95" s="35">
        <v>12</v>
      </c>
      <c r="J95" s="46">
        <v>7</v>
      </c>
      <c r="K95" s="11" t="s">
        <v>679</v>
      </c>
      <c r="L95" s="27">
        <v>58</v>
      </c>
      <c r="M95" s="41" t="s">
        <v>870</v>
      </c>
      <c r="N95" s="41" t="s">
        <v>1490</v>
      </c>
      <c r="Q95">
        <f t="shared" si="1"/>
        <v>1.329</v>
      </c>
      <c r="S95" s="48"/>
      <c r="T95" s="73"/>
      <c r="U95" s="74"/>
    </row>
    <row r="96" spans="1:21" x14ac:dyDescent="0.35">
      <c r="B96" s="102"/>
      <c r="D96" s="37">
        <v>2.919</v>
      </c>
      <c r="E96" s="69">
        <v>67.915000000000006</v>
      </c>
      <c r="G96" s="35">
        <v>19</v>
      </c>
      <c r="H96" s="1" t="s">
        <v>245</v>
      </c>
      <c r="I96" s="35">
        <v>17</v>
      </c>
      <c r="J96" s="46">
        <v>12</v>
      </c>
      <c r="K96" s="11" t="s">
        <v>778</v>
      </c>
      <c r="L96" s="27">
        <v>65</v>
      </c>
      <c r="M96" s="41" t="s">
        <v>781</v>
      </c>
      <c r="N96" s="41" t="s">
        <v>1491</v>
      </c>
      <c r="Q96">
        <f t="shared" si="1"/>
        <v>2.919</v>
      </c>
      <c r="S96" s="48"/>
      <c r="T96" s="73"/>
      <c r="U96" s="74"/>
    </row>
    <row r="97" spans="1:21" x14ac:dyDescent="0.35">
      <c r="B97" s="102"/>
      <c r="D97" s="71">
        <v>3.42</v>
      </c>
      <c r="E97" s="69">
        <v>58.583928571428579</v>
      </c>
      <c r="F97" s="72"/>
      <c r="G97" s="35">
        <v>33</v>
      </c>
      <c r="H97" s="1" t="s">
        <v>652</v>
      </c>
      <c r="I97" s="35">
        <v>22</v>
      </c>
      <c r="J97" s="46">
        <v>9</v>
      </c>
      <c r="K97" s="11" t="s">
        <v>636</v>
      </c>
      <c r="L97" s="27">
        <v>64</v>
      </c>
      <c r="M97" s="41" t="s">
        <v>806</v>
      </c>
      <c r="N97" s="43" t="s">
        <v>1492</v>
      </c>
      <c r="O97" s="1" t="s">
        <v>1390</v>
      </c>
      <c r="Q97">
        <f t="shared" si="1"/>
        <v>3.42</v>
      </c>
      <c r="S97" s="48"/>
      <c r="T97" s="73"/>
      <c r="U97" s="74"/>
    </row>
    <row r="98" spans="1:21" x14ac:dyDescent="0.35">
      <c r="B98" s="102"/>
      <c r="D98" s="71">
        <v>3.89</v>
      </c>
      <c r="E98" s="69">
        <v>74.007142857142853</v>
      </c>
      <c r="F98" s="72"/>
      <c r="G98" s="35">
        <v>5</v>
      </c>
      <c r="H98" s="1" t="s">
        <v>632</v>
      </c>
      <c r="I98" s="35">
        <v>19</v>
      </c>
      <c r="J98" s="46">
        <v>8</v>
      </c>
      <c r="K98" s="11" t="s">
        <v>637</v>
      </c>
      <c r="L98" s="27">
        <v>60</v>
      </c>
      <c r="M98" s="41" t="s">
        <v>775</v>
      </c>
      <c r="N98" s="41" t="s">
        <v>1493</v>
      </c>
      <c r="Q98">
        <f t="shared" si="1"/>
        <v>3.89</v>
      </c>
      <c r="S98" s="48"/>
      <c r="T98" s="73"/>
      <c r="U98" s="74"/>
    </row>
    <row r="99" spans="1:21" x14ac:dyDescent="0.35">
      <c r="B99" s="102"/>
      <c r="D99" s="37">
        <v>2.2120000000000002</v>
      </c>
      <c r="E99" s="69">
        <v>58.241428571428578</v>
      </c>
      <c r="G99" s="35">
        <v>41</v>
      </c>
      <c r="H99" s="1" t="s">
        <v>780</v>
      </c>
      <c r="I99" s="35">
        <v>14</v>
      </c>
      <c r="J99" s="46">
        <v>10</v>
      </c>
      <c r="K99" s="11" t="s">
        <v>792</v>
      </c>
      <c r="L99" s="27">
        <v>59</v>
      </c>
      <c r="M99" s="41" t="s">
        <v>839</v>
      </c>
      <c r="N99" s="41" t="s">
        <v>1494</v>
      </c>
      <c r="Q99">
        <f t="shared" si="1"/>
        <v>2.2120000000000002</v>
      </c>
      <c r="S99" s="48"/>
      <c r="T99" s="73"/>
      <c r="U99" s="74"/>
    </row>
    <row r="100" spans="1:21" x14ac:dyDescent="0.35">
      <c r="B100" s="102"/>
      <c r="D100" s="71">
        <v>2.68</v>
      </c>
      <c r="E100" s="69">
        <v>70.228571428571428</v>
      </c>
      <c r="F100" s="72"/>
      <c r="G100" s="35">
        <v>21</v>
      </c>
      <c r="H100" s="1" t="s">
        <v>758</v>
      </c>
      <c r="I100" s="35">
        <v>18</v>
      </c>
      <c r="J100" s="46">
        <v>14</v>
      </c>
      <c r="K100" s="11" t="s">
        <v>767</v>
      </c>
      <c r="L100" s="27">
        <v>57</v>
      </c>
      <c r="M100" s="41" t="s">
        <v>781</v>
      </c>
      <c r="N100" s="41" t="s">
        <v>1495</v>
      </c>
      <c r="Q100">
        <f t="shared" si="1"/>
        <v>2.68</v>
      </c>
      <c r="S100" s="48"/>
      <c r="T100" s="73"/>
      <c r="U100" s="74"/>
    </row>
    <row r="101" spans="1:21" x14ac:dyDescent="0.35">
      <c r="B101" s="102"/>
      <c r="D101" s="37">
        <v>-1.369</v>
      </c>
      <c r="E101" s="69">
        <v>72.763571428571424</v>
      </c>
      <c r="G101" s="35">
        <v>55</v>
      </c>
      <c r="H101" s="1" t="s">
        <v>465</v>
      </c>
      <c r="I101" s="35">
        <v>16</v>
      </c>
      <c r="J101" s="46">
        <v>11</v>
      </c>
      <c r="K101" s="11" t="s">
        <v>647</v>
      </c>
      <c r="L101" s="27">
        <v>24</v>
      </c>
      <c r="M101" s="41" t="s">
        <v>710</v>
      </c>
      <c r="N101" s="41" t="s">
        <v>1496</v>
      </c>
      <c r="Q101">
        <f t="shared" si="1"/>
        <v>1.369</v>
      </c>
      <c r="S101" s="48"/>
      <c r="T101" s="73"/>
      <c r="U101" s="74"/>
    </row>
    <row r="102" spans="1:21" x14ac:dyDescent="0.35">
      <c r="B102" s="102"/>
      <c r="D102" s="37">
        <v>1.591</v>
      </c>
      <c r="E102" s="69">
        <v>75.64928571428571</v>
      </c>
      <c r="G102" s="35">
        <v>13</v>
      </c>
      <c r="H102" s="1" t="s">
        <v>650</v>
      </c>
      <c r="I102" s="35">
        <v>18</v>
      </c>
      <c r="J102" s="46">
        <v>17</v>
      </c>
      <c r="K102" s="11" t="s">
        <v>771</v>
      </c>
      <c r="L102" s="27">
        <v>52</v>
      </c>
      <c r="M102" s="41" t="s">
        <v>866</v>
      </c>
      <c r="N102" s="41" t="s">
        <v>1497</v>
      </c>
      <c r="O102" s="6" t="s">
        <v>1386</v>
      </c>
      <c r="Q102">
        <f t="shared" si="1"/>
        <v>1.591</v>
      </c>
      <c r="S102" s="48"/>
      <c r="T102" s="73"/>
      <c r="U102" s="74"/>
    </row>
    <row r="103" spans="1:21" x14ac:dyDescent="0.35">
      <c r="B103" s="102"/>
      <c r="D103" s="37">
        <v>-0.376</v>
      </c>
      <c r="E103" s="69">
        <v>68.929285714285712</v>
      </c>
      <c r="G103" s="35">
        <v>50</v>
      </c>
      <c r="H103" s="1" t="s">
        <v>660</v>
      </c>
      <c r="I103" s="35">
        <v>13</v>
      </c>
      <c r="J103" s="46">
        <v>11</v>
      </c>
      <c r="K103" s="11" t="s">
        <v>765</v>
      </c>
      <c r="L103" s="27">
        <v>28</v>
      </c>
      <c r="M103" s="41" t="s">
        <v>769</v>
      </c>
      <c r="N103" s="41" t="s">
        <v>1498</v>
      </c>
      <c r="Q103">
        <f t="shared" si="1"/>
        <v>0.376</v>
      </c>
      <c r="S103" s="48"/>
      <c r="T103" s="73"/>
      <c r="U103" s="74"/>
    </row>
    <row r="104" spans="1:21" x14ac:dyDescent="0.35">
      <c r="B104" s="102"/>
      <c r="D104" s="37">
        <v>2.9590000000000001</v>
      </c>
      <c r="E104" s="69">
        <v>80.02928571428572</v>
      </c>
      <c r="G104" s="35">
        <v>1</v>
      </c>
      <c r="H104" s="1" t="s">
        <v>644</v>
      </c>
      <c r="I104" s="35">
        <v>19</v>
      </c>
      <c r="J104" s="46">
        <v>4</v>
      </c>
      <c r="K104" s="11" t="s">
        <v>665</v>
      </c>
      <c r="L104" s="27">
        <v>49</v>
      </c>
      <c r="M104" s="41" t="s">
        <v>870</v>
      </c>
      <c r="N104" s="43" t="s">
        <v>1499</v>
      </c>
      <c r="O104" s="1" t="s">
        <v>1390</v>
      </c>
      <c r="Q104">
        <f t="shared" si="1"/>
        <v>2.9590000000000001</v>
      </c>
      <c r="S104" s="48"/>
      <c r="T104" s="73"/>
      <c r="U104" s="74"/>
    </row>
    <row r="105" spans="1:21" x14ac:dyDescent="0.35">
      <c r="B105" s="102"/>
      <c r="D105" s="37">
        <v>-1.4259999999999999</v>
      </c>
      <c r="E105" s="69">
        <v>81.018571428571434</v>
      </c>
      <c r="G105" s="35">
        <v>45</v>
      </c>
      <c r="H105" s="1" t="s">
        <v>1163</v>
      </c>
      <c r="I105" s="35">
        <v>20</v>
      </c>
      <c r="J105" s="46">
        <v>18</v>
      </c>
      <c r="K105" s="11" t="s">
        <v>1160</v>
      </c>
      <c r="L105" s="27">
        <v>11</v>
      </c>
      <c r="M105" s="41" t="s">
        <v>987</v>
      </c>
      <c r="N105" s="41" t="s">
        <v>1500</v>
      </c>
      <c r="Q105">
        <f t="shared" si="1"/>
        <v>1.4259999999999999</v>
      </c>
      <c r="S105" s="48"/>
      <c r="T105" s="73"/>
      <c r="U105" s="74"/>
    </row>
    <row r="106" spans="1:21" x14ac:dyDescent="0.35">
      <c r="B106" s="102"/>
      <c r="D106" s="37">
        <v>1.659</v>
      </c>
      <c r="E106" s="69">
        <v>74.886428571428581</v>
      </c>
      <c r="G106" s="35">
        <v>23</v>
      </c>
      <c r="H106" s="1" t="s">
        <v>704</v>
      </c>
      <c r="I106" s="35">
        <v>18</v>
      </c>
      <c r="J106" s="46">
        <v>14</v>
      </c>
      <c r="K106" s="11" t="s">
        <v>676</v>
      </c>
      <c r="L106" s="27">
        <v>44</v>
      </c>
      <c r="M106" s="41" t="s">
        <v>818</v>
      </c>
      <c r="N106" s="41" t="s">
        <v>1501</v>
      </c>
      <c r="Q106">
        <f t="shared" si="1"/>
        <v>1.659</v>
      </c>
      <c r="S106" s="48"/>
      <c r="T106" s="73"/>
      <c r="U106" s="74"/>
    </row>
    <row r="107" spans="1:21" x14ac:dyDescent="0.35">
      <c r="B107" s="102"/>
      <c r="D107" s="37">
        <v>-1.3640000000000001</v>
      </c>
      <c r="E107" s="69">
        <v>78.831428571428575</v>
      </c>
      <c r="G107" s="35">
        <v>42</v>
      </c>
      <c r="H107" s="1" t="s">
        <v>692</v>
      </c>
      <c r="I107" s="35">
        <v>19</v>
      </c>
      <c r="J107" s="46">
        <v>17</v>
      </c>
      <c r="K107" s="11" t="s">
        <v>755</v>
      </c>
      <c r="L107" s="27">
        <v>20</v>
      </c>
      <c r="M107" s="41" t="s">
        <v>806</v>
      </c>
      <c r="N107" s="41" t="s">
        <v>1502</v>
      </c>
      <c r="Q107">
        <f t="shared" si="1"/>
        <v>1.3640000000000001</v>
      </c>
      <c r="S107" s="48"/>
      <c r="T107" s="73"/>
      <c r="U107" s="74"/>
    </row>
    <row r="108" spans="1:21" x14ac:dyDescent="0.35">
      <c r="B108" s="102"/>
      <c r="D108" s="37">
        <v>1.7210000000000001</v>
      </c>
      <c r="E108" s="69">
        <v>81.627857142857138</v>
      </c>
      <c r="G108" s="35">
        <v>9</v>
      </c>
      <c r="H108" s="1" t="s">
        <v>467</v>
      </c>
      <c r="I108" s="35">
        <v>13</v>
      </c>
      <c r="J108" s="46">
        <v>9</v>
      </c>
      <c r="K108" s="11" t="s">
        <v>772</v>
      </c>
      <c r="L108" s="27">
        <v>39</v>
      </c>
      <c r="M108" s="41" t="s">
        <v>955</v>
      </c>
      <c r="N108" s="41" t="s">
        <v>1503</v>
      </c>
      <c r="Q108">
        <f t="shared" si="1"/>
        <v>1.7210000000000001</v>
      </c>
      <c r="S108" s="48"/>
      <c r="T108" s="73"/>
      <c r="U108" s="74"/>
    </row>
    <row r="109" spans="1:21" x14ac:dyDescent="0.35">
      <c r="B109" s="102"/>
      <c r="D109" s="71">
        <v>-1.19</v>
      </c>
      <c r="E109" s="69">
        <v>85.135714285714286</v>
      </c>
      <c r="F109" s="72"/>
      <c r="G109" s="35">
        <v>36</v>
      </c>
      <c r="H109" s="1" t="s">
        <v>649</v>
      </c>
      <c r="I109" s="35">
        <v>24</v>
      </c>
      <c r="J109" s="46">
        <v>19</v>
      </c>
      <c r="K109" s="11" t="s">
        <v>643</v>
      </c>
      <c r="L109" s="27">
        <v>8</v>
      </c>
      <c r="M109" s="41" t="s">
        <v>719</v>
      </c>
      <c r="N109" s="41" t="s">
        <v>1504</v>
      </c>
      <c r="Q109">
        <f t="shared" si="1"/>
        <v>1.19</v>
      </c>
      <c r="S109" s="48"/>
      <c r="T109" s="73"/>
      <c r="U109" s="74"/>
    </row>
    <row r="110" spans="1:21" x14ac:dyDescent="0.35">
      <c r="A110" s="2" t="s">
        <v>1505</v>
      </c>
      <c r="B110" s="102"/>
      <c r="D110" s="37">
        <v>-0.35599999999999998</v>
      </c>
      <c r="E110" s="69">
        <v>83.468571428571423</v>
      </c>
      <c r="G110" s="35">
        <v>32</v>
      </c>
      <c r="H110" s="1" t="s">
        <v>750</v>
      </c>
      <c r="I110" s="35">
        <v>14</v>
      </c>
      <c r="J110" s="46">
        <v>10</v>
      </c>
      <c r="K110" s="11" t="s">
        <v>746</v>
      </c>
      <c r="L110" s="27">
        <v>15</v>
      </c>
      <c r="M110" s="41" t="s">
        <v>806</v>
      </c>
      <c r="N110" s="41" t="s">
        <v>1506</v>
      </c>
      <c r="Q110">
        <f t="shared" si="1"/>
        <v>0.35599999999999998</v>
      </c>
      <c r="S110" s="48"/>
      <c r="T110" s="73"/>
      <c r="U110" s="74"/>
    </row>
    <row r="111" spans="1:21" x14ac:dyDescent="0.35">
      <c r="B111" s="102"/>
      <c r="D111" s="37">
        <v>-0.51500000000000001</v>
      </c>
      <c r="E111" s="69">
        <v>86.796428571428578</v>
      </c>
      <c r="G111" s="35">
        <v>26</v>
      </c>
      <c r="H111" s="1" t="s">
        <v>352</v>
      </c>
      <c r="I111" s="35">
        <v>21</v>
      </c>
      <c r="J111" s="46">
        <v>12</v>
      </c>
      <c r="K111" s="11" t="s">
        <v>633</v>
      </c>
      <c r="L111" s="27">
        <v>12</v>
      </c>
      <c r="M111" s="41" t="s">
        <v>740</v>
      </c>
      <c r="N111" s="41" t="s">
        <v>1507</v>
      </c>
      <c r="Q111">
        <f t="shared" si="1"/>
        <v>0.51500000000000001</v>
      </c>
      <c r="S111" s="48"/>
      <c r="T111" s="73"/>
      <c r="U111" s="74"/>
    </row>
    <row r="112" spans="1:21" x14ac:dyDescent="0.35">
      <c r="B112" s="102"/>
      <c r="D112" s="37">
        <v>1.655</v>
      </c>
      <c r="E112" s="69">
        <v>92.56785714285715</v>
      </c>
      <c r="G112" s="35">
        <v>4</v>
      </c>
      <c r="H112" s="1" t="s">
        <v>747</v>
      </c>
      <c r="I112" s="35">
        <v>18</v>
      </c>
      <c r="J112" s="46">
        <v>2</v>
      </c>
      <c r="K112" s="11" t="s">
        <v>641</v>
      </c>
      <c r="L112" s="27">
        <v>16</v>
      </c>
      <c r="M112" s="41" t="s">
        <v>1508</v>
      </c>
      <c r="N112" s="43" t="s">
        <v>1509</v>
      </c>
      <c r="O112" s="1" t="s">
        <v>1390</v>
      </c>
      <c r="Q112">
        <f t="shared" si="1"/>
        <v>1.655</v>
      </c>
      <c r="S112" s="48"/>
      <c r="T112" s="73"/>
      <c r="U112" s="74"/>
    </row>
    <row r="113" spans="1:21" ht="15" thickBot="1" x14ac:dyDescent="0.4">
      <c r="B113" s="102"/>
      <c r="C113" s="51"/>
      <c r="D113" s="75">
        <v>-0.67700000000000005</v>
      </c>
      <c r="E113" s="76">
        <v>95.483571428571423</v>
      </c>
      <c r="F113" s="49"/>
      <c r="G113" s="49">
        <v>14</v>
      </c>
      <c r="H113" s="45" t="s">
        <v>466</v>
      </c>
      <c r="I113" s="49">
        <v>18</v>
      </c>
      <c r="J113" s="50">
        <v>13</v>
      </c>
      <c r="K113" s="51" t="s">
        <v>670</v>
      </c>
      <c r="L113" s="77">
        <v>2</v>
      </c>
      <c r="M113" s="40" t="s">
        <v>866</v>
      </c>
      <c r="N113" s="40" t="s">
        <v>1510</v>
      </c>
      <c r="O113" s="78"/>
      <c r="P113" s="78"/>
      <c r="Q113">
        <f t="shared" si="1"/>
        <v>0.67700000000000005</v>
      </c>
      <c r="S113" s="48"/>
      <c r="T113" s="73"/>
      <c r="U113" s="74"/>
    </row>
    <row r="114" spans="1:21" x14ac:dyDescent="0.35">
      <c r="A114" s="2" t="s">
        <v>1511</v>
      </c>
      <c r="B114" s="102" t="s">
        <v>1100</v>
      </c>
      <c r="C114" s="11" t="s">
        <v>1512</v>
      </c>
      <c r="D114" s="71">
        <v>-3.08</v>
      </c>
      <c r="E114" s="69">
        <v>14.253571428571432</v>
      </c>
      <c r="F114" s="72" t="s">
        <v>129</v>
      </c>
      <c r="G114" s="35">
        <v>112</v>
      </c>
      <c r="H114" s="1" t="s">
        <v>760</v>
      </c>
      <c r="I114" s="35">
        <v>15</v>
      </c>
      <c r="J114" s="46">
        <v>14</v>
      </c>
      <c r="K114" s="11" t="s">
        <v>732</v>
      </c>
      <c r="L114" s="27">
        <v>85</v>
      </c>
      <c r="M114" s="41" t="s">
        <v>705</v>
      </c>
      <c r="N114" s="41" t="s">
        <v>1513</v>
      </c>
      <c r="Q114">
        <f t="shared" si="1"/>
        <v>3.08</v>
      </c>
      <c r="S114" s="48"/>
      <c r="T114" s="73"/>
      <c r="U114" s="74"/>
    </row>
    <row r="115" spans="1:21" x14ac:dyDescent="0.35">
      <c r="B115" s="102"/>
      <c r="D115" s="37">
        <v>3.5510000000000002</v>
      </c>
      <c r="E115" s="69">
        <v>14.427857142857137</v>
      </c>
      <c r="F115" s="35" t="s">
        <v>231</v>
      </c>
      <c r="G115" s="35">
        <v>75</v>
      </c>
      <c r="H115" s="1" t="s">
        <v>756</v>
      </c>
      <c r="I115" s="35">
        <v>15</v>
      </c>
      <c r="J115" s="46">
        <v>13</v>
      </c>
      <c r="K115" s="11" t="s">
        <v>1156</v>
      </c>
      <c r="L115" s="27">
        <v>111</v>
      </c>
      <c r="M115" s="41" t="s">
        <v>705</v>
      </c>
      <c r="N115" s="41" t="s">
        <v>1514</v>
      </c>
      <c r="Q115">
        <f t="shared" si="1"/>
        <v>3.5510000000000002</v>
      </c>
      <c r="S115" s="48"/>
      <c r="T115" s="73"/>
      <c r="U115" s="74"/>
    </row>
    <row r="116" spans="1:21" x14ac:dyDescent="0.35">
      <c r="B116" s="102"/>
      <c r="D116" s="37">
        <v>-1.4159999999999999</v>
      </c>
      <c r="E116" s="69">
        <v>12.279285714285699</v>
      </c>
      <c r="F116" s="35" t="s">
        <v>129</v>
      </c>
      <c r="G116" s="35">
        <v>110</v>
      </c>
      <c r="H116" s="1" t="s">
        <v>709</v>
      </c>
      <c r="I116" s="35">
        <v>16</v>
      </c>
      <c r="J116" s="46">
        <v>13</v>
      </c>
      <c r="K116" s="11" t="s">
        <v>768</v>
      </c>
      <c r="L116" s="27">
        <v>91</v>
      </c>
      <c r="M116" s="41" t="s">
        <v>796</v>
      </c>
      <c r="N116" s="41" t="s">
        <v>1515</v>
      </c>
      <c r="P116" t="s">
        <v>1516</v>
      </c>
      <c r="Q116">
        <f t="shared" si="1"/>
        <v>1.4159999999999999</v>
      </c>
      <c r="S116" s="48"/>
      <c r="T116" s="73"/>
    </row>
    <row r="117" spans="1:21" x14ac:dyDescent="0.35">
      <c r="B117" s="102"/>
      <c r="D117" s="37">
        <v>-1.9159999999999999</v>
      </c>
      <c r="E117" s="69">
        <v>16.654285714285699</v>
      </c>
      <c r="F117" s="35" t="s">
        <v>129</v>
      </c>
      <c r="G117" s="35">
        <v>109</v>
      </c>
      <c r="H117" s="1" t="s">
        <v>716</v>
      </c>
      <c r="I117" s="35">
        <v>23</v>
      </c>
      <c r="J117" s="46">
        <v>21</v>
      </c>
      <c r="K117" s="11" t="s">
        <v>637</v>
      </c>
      <c r="L117" s="27">
        <v>83</v>
      </c>
      <c r="M117" s="41" t="s">
        <v>1000</v>
      </c>
      <c r="N117" s="41" t="s">
        <v>1517</v>
      </c>
      <c r="P117" t="s">
        <v>1518</v>
      </c>
      <c r="Q117">
        <f t="shared" si="1"/>
        <v>1.9159999999999999</v>
      </c>
      <c r="S117" s="48"/>
      <c r="T117" s="73"/>
    </row>
    <row r="118" spans="1:21" x14ac:dyDescent="0.35">
      <c r="B118" s="102"/>
      <c r="D118" s="37">
        <v>5.4139999999999997</v>
      </c>
      <c r="E118" s="69">
        <v>35.061428571428564</v>
      </c>
      <c r="F118" s="35" t="s">
        <v>231</v>
      </c>
      <c r="G118" s="35">
        <v>44</v>
      </c>
      <c r="H118" s="1" t="s">
        <v>1164</v>
      </c>
      <c r="I118" s="35">
        <v>18</v>
      </c>
      <c r="J118" s="46">
        <v>11</v>
      </c>
      <c r="K118" s="11" t="s">
        <v>706</v>
      </c>
      <c r="L118" s="27">
        <v>108</v>
      </c>
      <c r="M118" s="41" t="s">
        <v>769</v>
      </c>
      <c r="N118" s="41" t="s">
        <v>1519</v>
      </c>
      <c r="Q118">
        <f t="shared" si="1"/>
        <v>5.4139999999999997</v>
      </c>
      <c r="S118" s="48"/>
      <c r="T118" s="73"/>
    </row>
    <row r="119" spans="1:21" x14ac:dyDescent="0.35">
      <c r="B119" s="102"/>
      <c r="D119" s="37">
        <v>5.0510000000000002</v>
      </c>
      <c r="E119" s="69">
        <v>32.909999999999997</v>
      </c>
      <c r="F119" s="35" t="s">
        <v>231</v>
      </c>
      <c r="G119" s="35">
        <v>51</v>
      </c>
      <c r="H119" s="1" t="s">
        <v>630</v>
      </c>
      <c r="I119" s="35">
        <v>14</v>
      </c>
      <c r="J119" s="46">
        <v>2</v>
      </c>
      <c r="K119" s="11" t="s">
        <v>737</v>
      </c>
      <c r="L119" s="27">
        <v>107</v>
      </c>
      <c r="M119" s="41" t="s">
        <v>1520</v>
      </c>
      <c r="N119" s="43" t="s">
        <v>1521</v>
      </c>
      <c r="O119" s="1" t="s">
        <v>1390</v>
      </c>
      <c r="Q119">
        <f t="shared" si="1"/>
        <v>5.0510000000000002</v>
      </c>
      <c r="S119" s="48"/>
      <c r="T119" s="73"/>
    </row>
    <row r="120" spans="1:21" x14ac:dyDescent="0.35">
      <c r="A120" s="2" t="s">
        <v>1522</v>
      </c>
      <c r="B120" s="102"/>
      <c r="D120" s="37">
        <v>4.3570000000000002</v>
      </c>
      <c r="E120" s="69">
        <v>23.227142857142859</v>
      </c>
      <c r="F120" s="35" t="s">
        <v>231</v>
      </c>
      <c r="G120" s="35">
        <v>59</v>
      </c>
      <c r="H120" s="1" t="s">
        <v>712</v>
      </c>
      <c r="I120" s="35">
        <v>24</v>
      </c>
      <c r="J120" s="46">
        <v>12</v>
      </c>
      <c r="K120" s="11" t="s">
        <v>784</v>
      </c>
      <c r="L120" s="27">
        <v>106</v>
      </c>
      <c r="M120" s="41" t="s">
        <v>740</v>
      </c>
      <c r="N120" s="41" t="s">
        <v>1523</v>
      </c>
      <c r="Q120">
        <f t="shared" si="1"/>
        <v>4.3570000000000002</v>
      </c>
      <c r="S120" s="48"/>
      <c r="T120" s="73"/>
    </row>
    <row r="121" spans="1:21" x14ac:dyDescent="0.35">
      <c r="B121" s="102"/>
      <c r="D121" s="71">
        <v>3.67</v>
      </c>
      <c r="E121" s="69">
        <v>18.360714285714288</v>
      </c>
      <c r="F121" s="72" t="s">
        <v>231</v>
      </c>
      <c r="G121" s="35">
        <v>72</v>
      </c>
      <c r="H121" s="1" t="s">
        <v>751</v>
      </c>
      <c r="I121" s="35">
        <v>18</v>
      </c>
      <c r="J121" s="46">
        <v>12</v>
      </c>
      <c r="K121" s="11" t="s">
        <v>1158</v>
      </c>
      <c r="L121" s="27">
        <v>105</v>
      </c>
      <c r="M121" s="41" t="s">
        <v>910</v>
      </c>
      <c r="N121" s="41" t="s">
        <v>1524</v>
      </c>
      <c r="Q121">
        <f t="shared" si="1"/>
        <v>3.67</v>
      </c>
      <c r="S121" s="48"/>
      <c r="T121" s="73"/>
    </row>
    <row r="122" spans="1:21" x14ac:dyDescent="0.35">
      <c r="B122" s="102"/>
      <c r="D122" s="37">
        <v>0.94699999999999995</v>
      </c>
      <c r="E122" s="69">
        <v>10.037857142857142</v>
      </c>
      <c r="F122" s="35" t="s">
        <v>231</v>
      </c>
      <c r="G122" s="35">
        <v>96</v>
      </c>
      <c r="H122" s="1" t="s">
        <v>634</v>
      </c>
      <c r="I122" s="35">
        <v>23</v>
      </c>
      <c r="J122" s="46">
        <v>5</v>
      </c>
      <c r="K122" s="11" t="s">
        <v>700</v>
      </c>
      <c r="L122" s="27">
        <v>104</v>
      </c>
      <c r="M122" s="41" t="s">
        <v>935</v>
      </c>
      <c r="N122" s="43" t="s">
        <v>1525</v>
      </c>
      <c r="O122" s="1" t="s">
        <v>1390</v>
      </c>
      <c r="Q122">
        <f t="shared" si="1"/>
        <v>0.94699999999999995</v>
      </c>
      <c r="S122" s="48"/>
      <c r="T122" s="73"/>
    </row>
    <row r="123" spans="1:21" x14ac:dyDescent="0.35">
      <c r="B123" s="102"/>
      <c r="D123" s="37">
        <v>-1.3240000000000001</v>
      </c>
      <c r="E123" s="69">
        <v>16.570714285714281</v>
      </c>
      <c r="F123" s="35" t="s">
        <v>129</v>
      </c>
      <c r="G123" s="35">
        <v>103</v>
      </c>
      <c r="H123" s="1" t="s">
        <v>1162</v>
      </c>
      <c r="I123" s="35">
        <v>21</v>
      </c>
      <c r="J123" s="46">
        <v>15</v>
      </c>
      <c r="K123" s="11" t="s">
        <v>701</v>
      </c>
      <c r="L123" s="27">
        <v>86</v>
      </c>
      <c r="M123" s="41" t="s">
        <v>1188</v>
      </c>
      <c r="N123" s="41" t="s">
        <v>1526</v>
      </c>
      <c r="Q123">
        <f t="shared" si="1"/>
        <v>1.3240000000000001</v>
      </c>
      <c r="S123" s="48"/>
      <c r="T123" s="73"/>
    </row>
    <row r="124" spans="1:21" x14ac:dyDescent="0.35">
      <c r="A124" s="2" t="s">
        <v>1527</v>
      </c>
      <c r="B124" s="102"/>
      <c r="D124" s="37">
        <v>2.665</v>
      </c>
      <c r="E124" s="69">
        <v>19.632142857142902</v>
      </c>
      <c r="F124" s="35" t="s">
        <v>231</v>
      </c>
      <c r="G124" s="35">
        <v>76</v>
      </c>
      <c r="H124" s="1" t="s">
        <v>665</v>
      </c>
      <c r="I124" s="35">
        <v>19</v>
      </c>
      <c r="J124" s="46">
        <v>17</v>
      </c>
      <c r="K124" s="11" t="s">
        <v>1155</v>
      </c>
      <c r="L124" s="27">
        <v>102</v>
      </c>
      <c r="M124" s="41" t="s">
        <v>1007</v>
      </c>
      <c r="N124" s="41" t="s">
        <v>1528</v>
      </c>
      <c r="O124" s="6" t="s">
        <v>1386</v>
      </c>
      <c r="P124" t="s">
        <v>1529</v>
      </c>
      <c r="Q124">
        <f t="shared" si="1"/>
        <v>2.665</v>
      </c>
      <c r="S124" s="48"/>
      <c r="T124" s="73"/>
    </row>
    <row r="125" spans="1:21" x14ac:dyDescent="0.35">
      <c r="B125" s="102"/>
      <c r="D125" s="37">
        <v>-3.718</v>
      </c>
      <c r="E125" s="69">
        <v>27.655714285714282</v>
      </c>
      <c r="F125" s="35" t="s">
        <v>129</v>
      </c>
      <c r="G125" s="35">
        <v>101</v>
      </c>
      <c r="H125" s="1" t="s">
        <v>738</v>
      </c>
      <c r="I125" s="35">
        <v>20</v>
      </c>
      <c r="J125" s="46">
        <v>15</v>
      </c>
      <c r="K125" s="11" t="s">
        <v>722</v>
      </c>
      <c r="L125" s="27">
        <v>67</v>
      </c>
      <c r="M125" s="41" t="s">
        <v>710</v>
      </c>
      <c r="N125" s="41" t="s">
        <v>1530</v>
      </c>
      <c r="Q125">
        <f t="shared" si="1"/>
        <v>3.718</v>
      </c>
      <c r="S125" s="48"/>
      <c r="T125" s="73"/>
    </row>
    <row r="126" spans="1:21" x14ac:dyDescent="0.35">
      <c r="B126" s="102"/>
      <c r="D126" s="37">
        <v>3.367</v>
      </c>
      <c r="E126" s="69">
        <v>21.70214285714286</v>
      </c>
      <c r="F126" s="35" t="s">
        <v>231</v>
      </c>
      <c r="G126" s="35">
        <v>70</v>
      </c>
      <c r="H126" s="1" t="s">
        <v>753</v>
      </c>
      <c r="I126" s="35">
        <v>15</v>
      </c>
      <c r="J126" s="46">
        <v>12</v>
      </c>
      <c r="K126" s="11" t="s">
        <v>639</v>
      </c>
      <c r="L126" s="27">
        <v>100</v>
      </c>
      <c r="M126" s="41" t="s">
        <v>826</v>
      </c>
      <c r="N126" s="41" t="s">
        <v>1531</v>
      </c>
      <c r="P126" s="70" t="s">
        <v>1532</v>
      </c>
      <c r="Q126">
        <f t="shared" si="1"/>
        <v>3.367</v>
      </c>
      <c r="S126" s="48"/>
      <c r="T126" s="73"/>
    </row>
    <row r="127" spans="1:21" x14ac:dyDescent="0.35">
      <c r="B127" s="102"/>
      <c r="D127" s="37">
        <v>3.5430000000000001</v>
      </c>
      <c r="E127" s="69">
        <v>24.254999999999992</v>
      </c>
      <c r="F127" s="35" t="s">
        <v>231</v>
      </c>
      <c r="G127" s="35">
        <v>65</v>
      </c>
      <c r="H127" s="1" t="s">
        <v>772</v>
      </c>
      <c r="I127" s="35">
        <v>21</v>
      </c>
      <c r="J127" s="46">
        <v>19</v>
      </c>
      <c r="K127" s="11" t="s">
        <v>776</v>
      </c>
      <c r="L127" s="27">
        <v>99</v>
      </c>
      <c r="M127" s="41" t="s">
        <v>952</v>
      </c>
      <c r="N127" s="41" t="s">
        <v>1533</v>
      </c>
      <c r="O127" s="6" t="s">
        <v>1386</v>
      </c>
      <c r="Q127">
        <f t="shared" si="1"/>
        <v>3.5430000000000001</v>
      </c>
      <c r="S127" s="48"/>
      <c r="T127" s="73"/>
    </row>
    <row r="128" spans="1:21" x14ac:dyDescent="0.35">
      <c r="B128" s="102"/>
      <c r="D128" s="37">
        <v>4.7089999999999996</v>
      </c>
      <c r="E128" s="69">
        <v>37.975714285714282</v>
      </c>
      <c r="F128" s="35" t="s">
        <v>231</v>
      </c>
      <c r="G128" s="35">
        <v>48</v>
      </c>
      <c r="H128" s="1" t="s">
        <v>671</v>
      </c>
      <c r="I128" s="35">
        <v>18</v>
      </c>
      <c r="J128" s="46">
        <v>10</v>
      </c>
      <c r="K128" s="11" t="s">
        <v>1165</v>
      </c>
      <c r="L128" s="27">
        <v>98</v>
      </c>
      <c r="M128" s="41" t="s">
        <v>705</v>
      </c>
      <c r="N128" s="41" t="s">
        <v>1534</v>
      </c>
      <c r="Q128">
        <f t="shared" si="1"/>
        <v>4.7089999999999996</v>
      </c>
      <c r="S128" s="48"/>
      <c r="T128" s="73"/>
    </row>
    <row r="129" spans="1:21" x14ac:dyDescent="0.35">
      <c r="B129" s="102"/>
      <c r="D129" s="37">
        <v>-0.60499999999999998</v>
      </c>
      <c r="E129" s="69">
        <v>14.717857142857149</v>
      </c>
      <c r="F129" s="35" t="s">
        <v>129</v>
      </c>
      <c r="G129" s="35">
        <v>97</v>
      </c>
      <c r="H129" s="1" t="s">
        <v>635</v>
      </c>
      <c r="I129" s="35">
        <v>26</v>
      </c>
      <c r="J129" s="46">
        <v>12</v>
      </c>
      <c r="K129" s="11" t="s">
        <v>743</v>
      </c>
      <c r="L129" s="27">
        <v>95</v>
      </c>
      <c r="M129" s="41" t="s">
        <v>920</v>
      </c>
      <c r="N129" s="41" t="s">
        <v>1535</v>
      </c>
      <c r="Q129">
        <f t="shared" si="1"/>
        <v>0.60499999999999998</v>
      </c>
      <c r="S129" s="48"/>
      <c r="T129" s="73"/>
    </row>
    <row r="130" spans="1:21" x14ac:dyDescent="0.35">
      <c r="B130" s="102"/>
      <c r="D130" s="37">
        <v>-3.5920000000000001</v>
      </c>
      <c r="E130" s="69">
        <v>34.708571428571432</v>
      </c>
      <c r="F130" s="35" t="s">
        <v>129</v>
      </c>
      <c r="G130" s="35">
        <v>94</v>
      </c>
      <c r="H130" s="1" t="s">
        <v>646</v>
      </c>
      <c r="I130" s="35">
        <v>17</v>
      </c>
      <c r="J130" s="46">
        <v>15</v>
      </c>
      <c r="K130" s="11" t="s">
        <v>1161</v>
      </c>
      <c r="L130" s="27">
        <v>58</v>
      </c>
      <c r="M130" s="41" t="s">
        <v>793</v>
      </c>
      <c r="N130" s="41" t="s">
        <v>1536</v>
      </c>
      <c r="Q130">
        <f t="shared" si="1"/>
        <v>3.5920000000000001</v>
      </c>
      <c r="S130" s="48"/>
      <c r="T130" s="73"/>
    </row>
    <row r="131" spans="1:21" x14ac:dyDescent="0.35">
      <c r="B131" s="102"/>
      <c r="D131" s="37">
        <v>-1.1719999999999999</v>
      </c>
      <c r="E131" s="69">
        <v>23.158571428571427</v>
      </c>
      <c r="F131" s="35" t="s">
        <v>129</v>
      </c>
      <c r="G131" s="35">
        <v>93</v>
      </c>
      <c r="H131" s="1" t="s">
        <v>761</v>
      </c>
      <c r="I131" s="35">
        <v>14</v>
      </c>
      <c r="J131" s="46">
        <v>13</v>
      </c>
      <c r="K131" s="11" t="s">
        <v>734</v>
      </c>
      <c r="L131" s="27">
        <v>81</v>
      </c>
      <c r="M131" s="41" t="s">
        <v>699</v>
      </c>
      <c r="N131" s="41" t="s">
        <v>1537</v>
      </c>
      <c r="P131" s="70" t="s">
        <v>1538</v>
      </c>
      <c r="Q131">
        <f t="shared" ref="Q131:Q194" si="2">ABS(D131)</f>
        <v>1.1719999999999999</v>
      </c>
      <c r="S131" s="48"/>
      <c r="T131" s="73"/>
    </row>
    <row r="132" spans="1:21" x14ac:dyDescent="0.35">
      <c r="B132" s="102"/>
      <c r="D132" s="71">
        <v>3.97</v>
      </c>
      <c r="E132" s="69">
        <v>38.503571428571426</v>
      </c>
      <c r="F132" s="72" t="s">
        <v>231</v>
      </c>
      <c r="G132" s="35">
        <v>54</v>
      </c>
      <c r="H132" s="1" t="s">
        <v>647</v>
      </c>
      <c r="I132" s="35">
        <v>20</v>
      </c>
      <c r="J132" s="46">
        <v>11</v>
      </c>
      <c r="K132" s="11" t="s">
        <v>636</v>
      </c>
      <c r="L132" s="27">
        <v>92</v>
      </c>
      <c r="M132" s="41" t="s">
        <v>724</v>
      </c>
      <c r="N132" s="41" t="s">
        <v>1539</v>
      </c>
      <c r="Q132">
        <f t="shared" si="2"/>
        <v>3.97</v>
      </c>
      <c r="S132" s="48"/>
      <c r="T132" s="73"/>
    </row>
    <row r="133" spans="1:21" x14ac:dyDescent="0.35">
      <c r="B133" s="102"/>
      <c r="D133" s="37">
        <v>1.4390000000000001</v>
      </c>
      <c r="E133" s="69">
        <v>23.079285714285724</v>
      </c>
      <c r="F133" s="35" t="s">
        <v>231</v>
      </c>
      <c r="G133" s="35">
        <v>80</v>
      </c>
      <c r="H133" s="1" t="s">
        <v>783</v>
      </c>
      <c r="I133" s="35">
        <v>22</v>
      </c>
      <c r="J133" s="46">
        <v>10</v>
      </c>
      <c r="K133" s="11" t="s">
        <v>631</v>
      </c>
      <c r="L133" s="27">
        <v>90</v>
      </c>
      <c r="M133" s="41" t="s">
        <v>754</v>
      </c>
      <c r="N133" s="43" t="s">
        <v>1540</v>
      </c>
      <c r="O133" s="1" t="s">
        <v>1390</v>
      </c>
      <c r="Q133">
        <f t="shared" si="2"/>
        <v>1.4390000000000001</v>
      </c>
      <c r="S133" s="48"/>
      <c r="T133" s="73"/>
    </row>
    <row r="134" spans="1:21" x14ac:dyDescent="0.35">
      <c r="B134" s="102"/>
      <c r="D134" s="37">
        <v>0.83399999999999996</v>
      </c>
      <c r="E134" s="69">
        <v>22.172142857142852</v>
      </c>
      <c r="F134" s="35" t="s">
        <v>231</v>
      </c>
      <c r="G134" s="35">
        <v>84</v>
      </c>
      <c r="H134" s="1" t="s">
        <v>679</v>
      </c>
      <c r="I134" s="35">
        <v>14</v>
      </c>
      <c r="J134" s="46">
        <v>10</v>
      </c>
      <c r="K134" s="11" t="s">
        <v>778</v>
      </c>
      <c r="L134" s="27">
        <v>89</v>
      </c>
      <c r="M134" s="41" t="s">
        <v>769</v>
      </c>
      <c r="N134" s="41" t="s">
        <v>1541</v>
      </c>
      <c r="Q134">
        <f t="shared" si="2"/>
        <v>0.83399999999999996</v>
      </c>
      <c r="S134" s="48"/>
      <c r="T134" s="73"/>
    </row>
    <row r="135" spans="1:21" x14ac:dyDescent="0.35">
      <c r="B135" s="102"/>
      <c r="D135" s="71">
        <v>-3.25</v>
      </c>
      <c r="E135" s="69">
        <v>34.910714285714285</v>
      </c>
      <c r="F135" s="72" t="s">
        <v>129</v>
      </c>
      <c r="G135" s="35">
        <v>88</v>
      </c>
      <c r="H135" s="1" t="s">
        <v>757</v>
      </c>
      <c r="I135" s="35">
        <v>34</v>
      </c>
      <c r="J135" s="46">
        <v>21</v>
      </c>
      <c r="K135" s="11" t="s">
        <v>582</v>
      </c>
      <c r="L135" s="27">
        <v>63</v>
      </c>
      <c r="M135" s="41" t="s">
        <v>847</v>
      </c>
      <c r="N135" s="41" t="s">
        <v>1542</v>
      </c>
      <c r="P135" s="70" t="s">
        <v>1543</v>
      </c>
      <c r="Q135">
        <f t="shared" si="2"/>
        <v>3.25</v>
      </c>
      <c r="S135" s="48"/>
      <c r="T135" s="73"/>
    </row>
    <row r="136" spans="1:21" x14ac:dyDescent="0.35">
      <c r="B136" s="102"/>
      <c r="D136" s="71">
        <v>2.2999999999999998</v>
      </c>
      <c r="E136" s="69">
        <v>26.928571428571434</v>
      </c>
      <c r="F136" s="72" t="s">
        <v>231</v>
      </c>
      <c r="G136" s="35">
        <v>73</v>
      </c>
      <c r="H136" s="1" t="s">
        <v>678</v>
      </c>
      <c r="I136" s="35">
        <v>16</v>
      </c>
      <c r="J136" s="46">
        <v>5</v>
      </c>
      <c r="K136" s="11" t="s">
        <v>638</v>
      </c>
      <c r="L136" s="27">
        <v>87</v>
      </c>
      <c r="M136" s="41" t="s">
        <v>1138</v>
      </c>
      <c r="N136" s="41" t="s">
        <v>1544</v>
      </c>
      <c r="Q136">
        <f t="shared" si="2"/>
        <v>2.2999999999999998</v>
      </c>
      <c r="S136" s="48"/>
      <c r="T136" s="73"/>
    </row>
    <row r="137" spans="1:21" x14ac:dyDescent="0.35">
      <c r="B137" s="102"/>
      <c r="D137" s="37">
        <v>-1.5209999999999999</v>
      </c>
      <c r="E137" s="69">
        <v>31.443571428571428</v>
      </c>
      <c r="F137" s="35" t="s">
        <v>129</v>
      </c>
      <c r="G137" s="35">
        <v>82</v>
      </c>
      <c r="H137" s="1" t="s">
        <v>792</v>
      </c>
      <c r="I137" s="35">
        <v>23</v>
      </c>
      <c r="J137" s="46">
        <v>11</v>
      </c>
      <c r="K137" s="11" t="s">
        <v>774</v>
      </c>
      <c r="L137" s="27">
        <v>74</v>
      </c>
      <c r="M137" s="41" t="s">
        <v>881</v>
      </c>
      <c r="N137" s="41" t="s">
        <v>1545</v>
      </c>
      <c r="Q137">
        <f t="shared" si="2"/>
        <v>1.5209999999999999</v>
      </c>
      <c r="S137" s="48"/>
      <c r="T137" s="73"/>
    </row>
    <row r="138" spans="1:21" x14ac:dyDescent="0.35">
      <c r="B138" s="102"/>
      <c r="D138" s="37">
        <v>3.6640000000000001</v>
      </c>
      <c r="E138" s="69">
        <v>50.373928571428571</v>
      </c>
      <c r="F138" s="35" t="s">
        <v>231</v>
      </c>
      <c r="G138" s="35">
        <v>38</v>
      </c>
      <c r="H138" s="1" t="s">
        <v>645</v>
      </c>
      <c r="I138" s="35">
        <v>11</v>
      </c>
      <c r="J138" s="46">
        <v>9</v>
      </c>
      <c r="K138" s="11" t="s">
        <v>720</v>
      </c>
      <c r="L138" s="27">
        <v>79</v>
      </c>
      <c r="M138" s="41" t="s">
        <v>1546</v>
      </c>
      <c r="N138" s="41" t="s">
        <v>1547</v>
      </c>
      <c r="Q138">
        <f t="shared" si="2"/>
        <v>3.6640000000000001</v>
      </c>
      <c r="S138" s="48"/>
      <c r="T138" s="73"/>
    </row>
    <row r="139" spans="1:21" x14ac:dyDescent="0.35">
      <c r="B139" s="102"/>
      <c r="D139" s="37">
        <v>1.7030000000000001</v>
      </c>
      <c r="E139" s="69">
        <v>33.158571428571427</v>
      </c>
      <c r="F139" s="35" t="s">
        <v>231</v>
      </c>
      <c r="G139" s="35">
        <v>69</v>
      </c>
      <c r="H139" s="1" t="s">
        <v>677</v>
      </c>
      <c r="I139" s="35">
        <v>14</v>
      </c>
      <c r="J139" s="46">
        <v>9</v>
      </c>
      <c r="K139" s="11" t="s">
        <v>767</v>
      </c>
      <c r="L139" s="27">
        <v>78</v>
      </c>
      <c r="M139" s="41" t="s">
        <v>714</v>
      </c>
      <c r="N139" s="41" t="s">
        <v>1548</v>
      </c>
      <c r="Q139">
        <f t="shared" si="2"/>
        <v>1.7030000000000001</v>
      </c>
      <c r="S139" s="48"/>
      <c r="T139" s="73"/>
    </row>
    <row r="140" spans="1:21" x14ac:dyDescent="0.35">
      <c r="B140" s="102"/>
      <c r="D140" s="37">
        <v>-1.917</v>
      </c>
      <c r="E140" s="69">
        <v>39.762142857142855</v>
      </c>
      <c r="F140" s="35" t="s">
        <v>129</v>
      </c>
      <c r="G140" s="35">
        <v>77</v>
      </c>
      <c r="H140" s="1" t="s">
        <v>779</v>
      </c>
      <c r="I140" s="35">
        <v>17</v>
      </c>
      <c r="J140" s="46">
        <v>8</v>
      </c>
      <c r="K140" s="11" t="s">
        <v>723</v>
      </c>
      <c r="L140" s="27">
        <v>61</v>
      </c>
      <c r="M140" s="41" t="s">
        <v>844</v>
      </c>
      <c r="N140" s="41" t="s">
        <v>1549</v>
      </c>
      <c r="Q140">
        <f t="shared" si="2"/>
        <v>1.917</v>
      </c>
      <c r="S140" s="48"/>
      <c r="T140" s="73"/>
    </row>
    <row r="141" spans="1:21" x14ac:dyDescent="0.35">
      <c r="A141" s="2" t="s">
        <v>1550</v>
      </c>
      <c r="B141" s="102"/>
      <c r="D141" s="37">
        <v>0.52400000000000002</v>
      </c>
      <c r="E141" s="69">
        <v>37.57214285714285</v>
      </c>
      <c r="F141" s="35" t="s">
        <v>231</v>
      </c>
      <c r="G141" s="35">
        <v>68</v>
      </c>
      <c r="H141" s="1" t="s">
        <v>693</v>
      </c>
      <c r="I141" s="35">
        <v>11</v>
      </c>
      <c r="J141" s="46">
        <v>9</v>
      </c>
      <c r="K141" s="11" t="s">
        <v>777</v>
      </c>
      <c r="L141" s="27">
        <v>71</v>
      </c>
      <c r="M141" s="41" t="s">
        <v>710</v>
      </c>
      <c r="N141" s="41" t="s">
        <v>1551</v>
      </c>
      <c r="Q141">
        <f t="shared" si="2"/>
        <v>0.52400000000000002</v>
      </c>
      <c r="S141" s="48"/>
      <c r="T141" s="73"/>
    </row>
    <row r="142" spans="1:21" x14ac:dyDescent="0.35">
      <c r="B142" s="102"/>
      <c r="D142" s="37">
        <v>4.9779999999999998</v>
      </c>
      <c r="E142" s="69">
        <v>71.444285714285712</v>
      </c>
      <c r="F142" s="35" t="s">
        <v>231</v>
      </c>
      <c r="G142" s="35">
        <v>4</v>
      </c>
      <c r="H142" s="1" t="s">
        <v>467</v>
      </c>
      <c r="I142" s="35">
        <v>16</v>
      </c>
      <c r="J142" s="46">
        <v>12</v>
      </c>
      <c r="K142" s="11" t="s">
        <v>771</v>
      </c>
      <c r="L142" s="27">
        <v>66</v>
      </c>
      <c r="M142" s="41" t="s">
        <v>705</v>
      </c>
      <c r="N142" s="41" t="s">
        <v>1552</v>
      </c>
      <c r="Q142">
        <f t="shared" si="2"/>
        <v>4.9779999999999998</v>
      </c>
      <c r="S142" s="48"/>
      <c r="T142" s="73"/>
      <c r="U142" s="74"/>
    </row>
    <row r="143" spans="1:21" x14ac:dyDescent="0.35">
      <c r="B143" s="102"/>
      <c r="D143" s="37">
        <v>5.7359999999999998</v>
      </c>
      <c r="E143" s="69">
        <v>71.974285714285728</v>
      </c>
      <c r="F143" s="35" t="s">
        <v>231</v>
      </c>
      <c r="G143" s="35">
        <v>3</v>
      </c>
      <c r="H143" s="1" t="s">
        <v>242</v>
      </c>
      <c r="I143" s="35">
        <v>30</v>
      </c>
      <c r="J143" s="46">
        <v>8</v>
      </c>
      <c r="K143" s="11" t="s">
        <v>729</v>
      </c>
      <c r="L143" s="27">
        <v>64</v>
      </c>
      <c r="M143" s="41" t="s">
        <v>844</v>
      </c>
      <c r="N143" s="43" t="s">
        <v>1553</v>
      </c>
      <c r="O143" s="1" t="s">
        <v>1390</v>
      </c>
      <c r="Q143">
        <f t="shared" si="2"/>
        <v>5.7359999999999998</v>
      </c>
      <c r="S143" s="48"/>
      <c r="T143" s="73"/>
      <c r="U143" s="74"/>
    </row>
    <row r="144" spans="1:21" x14ac:dyDescent="0.35">
      <c r="B144" s="102"/>
      <c r="D144" s="37">
        <v>2.0590000000000002</v>
      </c>
      <c r="E144" s="69">
        <v>58.145357142857101</v>
      </c>
      <c r="F144" s="35" t="s">
        <v>231</v>
      </c>
      <c r="G144" s="35">
        <v>41</v>
      </c>
      <c r="H144" s="1" t="s">
        <v>1160</v>
      </c>
      <c r="I144" s="35">
        <v>19</v>
      </c>
      <c r="J144" s="46">
        <v>15</v>
      </c>
      <c r="K144" s="11" t="s">
        <v>676</v>
      </c>
      <c r="L144" s="27">
        <v>62</v>
      </c>
      <c r="M144" s="41" t="s">
        <v>702</v>
      </c>
      <c r="N144" s="41" t="s">
        <v>1554</v>
      </c>
      <c r="P144" t="s">
        <v>1227</v>
      </c>
      <c r="Q144">
        <f t="shared" si="2"/>
        <v>2.0590000000000002</v>
      </c>
      <c r="S144" s="48"/>
      <c r="T144" s="73"/>
    </row>
    <row r="145" spans="1:20" x14ac:dyDescent="0.35">
      <c r="B145" s="102"/>
      <c r="D145" s="37">
        <v>-4.1360000000000001</v>
      </c>
      <c r="E145" s="69">
        <v>76.882857142857148</v>
      </c>
      <c r="F145" s="35" t="s">
        <v>129</v>
      </c>
      <c r="G145" s="35">
        <v>60</v>
      </c>
      <c r="H145" s="1" t="s">
        <v>680</v>
      </c>
      <c r="I145" s="35">
        <v>21</v>
      </c>
      <c r="J145" s="46">
        <v>18</v>
      </c>
      <c r="K145" s="11" t="s">
        <v>666</v>
      </c>
      <c r="L145" s="27">
        <v>13</v>
      </c>
      <c r="M145" s="41" t="s">
        <v>699</v>
      </c>
      <c r="N145" s="41" t="s">
        <v>1555</v>
      </c>
      <c r="Q145">
        <f t="shared" si="2"/>
        <v>4.1360000000000001</v>
      </c>
      <c r="S145" s="48"/>
      <c r="T145" s="73"/>
    </row>
    <row r="146" spans="1:20" x14ac:dyDescent="0.35">
      <c r="B146" s="102"/>
      <c r="D146" s="71">
        <v>3.05</v>
      </c>
      <c r="E146" s="69">
        <v>69.607142857142861</v>
      </c>
      <c r="F146" s="72" t="s">
        <v>231</v>
      </c>
      <c r="G146" s="35">
        <v>22</v>
      </c>
      <c r="H146" s="1" t="s">
        <v>758</v>
      </c>
      <c r="I146" s="35">
        <v>24</v>
      </c>
      <c r="J146" s="46">
        <v>20</v>
      </c>
      <c r="K146" s="11" t="s">
        <v>641</v>
      </c>
      <c r="L146" s="27">
        <v>57</v>
      </c>
      <c r="M146" s="41" t="s">
        <v>851</v>
      </c>
      <c r="N146" s="41" t="s">
        <v>1556</v>
      </c>
      <c r="Q146">
        <f t="shared" si="2"/>
        <v>3.05</v>
      </c>
      <c r="S146" s="48"/>
      <c r="T146" s="73"/>
    </row>
    <row r="147" spans="1:20" x14ac:dyDescent="0.35">
      <c r="B147" s="102"/>
      <c r="D147" s="37">
        <v>-2.5150000000000001</v>
      </c>
      <c r="E147" s="69">
        <v>66.841071428571425</v>
      </c>
      <c r="F147" s="35" t="s">
        <v>129</v>
      </c>
      <c r="G147" s="35">
        <v>56</v>
      </c>
      <c r="H147" s="1" t="s">
        <v>648</v>
      </c>
      <c r="I147" s="35">
        <v>13</v>
      </c>
      <c r="J147" s="46">
        <v>12</v>
      </c>
      <c r="K147" s="11" t="s">
        <v>763</v>
      </c>
      <c r="L147" s="27">
        <v>31</v>
      </c>
      <c r="M147" s="41" t="s">
        <v>727</v>
      </c>
      <c r="N147" s="41" t="s">
        <v>1557</v>
      </c>
      <c r="Q147">
        <f t="shared" si="2"/>
        <v>2.5150000000000001</v>
      </c>
      <c r="S147" s="48"/>
      <c r="T147" s="73"/>
    </row>
    <row r="148" spans="1:20" x14ac:dyDescent="0.35">
      <c r="B148" s="102"/>
      <c r="D148" s="37">
        <v>-2.3359999999999999</v>
      </c>
      <c r="E148" s="69">
        <v>65.909642857142856</v>
      </c>
      <c r="F148" s="35" t="s">
        <v>129</v>
      </c>
      <c r="G148" s="35">
        <v>55</v>
      </c>
      <c r="H148" s="1" t="s">
        <v>765</v>
      </c>
      <c r="I148" s="35">
        <v>27</v>
      </c>
      <c r="J148" s="46">
        <v>21</v>
      </c>
      <c r="K148" s="11" t="s">
        <v>731</v>
      </c>
      <c r="L148" s="27">
        <v>34</v>
      </c>
      <c r="M148" s="41" t="s">
        <v>735</v>
      </c>
      <c r="N148" s="41" t="s">
        <v>1558</v>
      </c>
      <c r="Q148">
        <f t="shared" si="2"/>
        <v>2.3359999999999999</v>
      </c>
      <c r="S148" s="48"/>
      <c r="T148" s="73"/>
    </row>
    <row r="149" spans="1:20" x14ac:dyDescent="0.35">
      <c r="B149" s="102"/>
      <c r="D149" s="37">
        <v>3.944</v>
      </c>
      <c r="E149" s="69">
        <v>75.397142857142853</v>
      </c>
      <c r="F149" s="35" t="s">
        <v>231</v>
      </c>
      <c r="G149" s="35">
        <v>8</v>
      </c>
      <c r="H149" s="1" t="s">
        <v>245</v>
      </c>
      <c r="I149" s="35">
        <v>23</v>
      </c>
      <c r="J149" s="46">
        <v>10</v>
      </c>
      <c r="K149" s="11" t="s">
        <v>785</v>
      </c>
      <c r="L149" s="27">
        <v>53</v>
      </c>
      <c r="M149" s="41" t="s">
        <v>724</v>
      </c>
      <c r="N149" s="41" t="s">
        <v>1559</v>
      </c>
      <c r="Q149">
        <f t="shared" si="2"/>
        <v>3.944</v>
      </c>
      <c r="S149" s="48"/>
      <c r="T149" s="73"/>
    </row>
    <row r="150" spans="1:20" x14ac:dyDescent="0.35">
      <c r="B150" s="102"/>
      <c r="D150" s="37">
        <v>1.222</v>
      </c>
      <c r="E150" s="69">
        <v>60.153928571428573</v>
      </c>
      <c r="F150" s="35" t="s">
        <v>231</v>
      </c>
      <c r="G150" s="35">
        <v>45</v>
      </c>
      <c r="H150" s="1" t="s">
        <v>726</v>
      </c>
      <c r="I150" s="35">
        <v>13</v>
      </c>
      <c r="J150" s="46">
        <v>10</v>
      </c>
      <c r="K150" s="11" t="s">
        <v>1157</v>
      </c>
      <c r="L150" s="27">
        <v>52</v>
      </c>
      <c r="M150" s="41" t="s">
        <v>781</v>
      </c>
      <c r="N150" s="41" t="s">
        <v>1560</v>
      </c>
      <c r="Q150">
        <f t="shared" si="2"/>
        <v>1.222</v>
      </c>
      <c r="S150" s="48"/>
      <c r="T150" s="73"/>
    </row>
    <row r="151" spans="1:20" x14ac:dyDescent="0.35">
      <c r="B151" s="102"/>
      <c r="D151" s="37">
        <v>2.931</v>
      </c>
      <c r="E151" s="69">
        <v>74.97785714285709</v>
      </c>
      <c r="F151" s="35" t="s">
        <v>231</v>
      </c>
      <c r="G151" s="35">
        <v>17</v>
      </c>
      <c r="H151" s="1" t="s">
        <v>664</v>
      </c>
      <c r="I151" s="35">
        <v>21</v>
      </c>
      <c r="J151" s="46">
        <v>16</v>
      </c>
      <c r="K151" s="11" t="s">
        <v>764</v>
      </c>
      <c r="L151" s="27">
        <v>50</v>
      </c>
      <c r="M151" s="41" t="s">
        <v>806</v>
      </c>
      <c r="N151" s="41" t="s">
        <v>1561</v>
      </c>
      <c r="P151" t="s">
        <v>1231</v>
      </c>
      <c r="Q151">
        <f t="shared" si="2"/>
        <v>2.931</v>
      </c>
      <c r="S151" s="48"/>
      <c r="T151" s="73"/>
    </row>
    <row r="152" spans="1:20" x14ac:dyDescent="0.35">
      <c r="A152" s="2" t="s">
        <v>1562</v>
      </c>
      <c r="B152" s="102"/>
      <c r="D152" s="37">
        <v>-4.335</v>
      </c>
      <c r="E152" s="69">
        <v>83.810714285714283</v>
      </c>
      <c r="F152" s="35" t="s">
        <v>129</v>
      </c>
      <c r="G152" s="35">
        <v>49</v>
      </c>
      <c r="H152" s="1" t="s">
        <v>661</v>
      </c>
      <c r="I152" s="35">
        <v>15</v>
      </c>
      <c r="J152" s="46">
        <v>9</v>
      </c>
      <c r="K152" s="11" t="s">
        <v>632</v>
      </c>
      <c r="L152" s="27">
        <v>5</v>
      </c>
      <c r="M152" s="41" t="s">
        <v>730</v>
      </c>
      <c r="N152" s="41" t="s">
        <v>1563</v>
      </c>
      <c r="Q152">
        <f t="shared" si="2"/>
        <v>4.335</v>
      </c>
      <c r="S152" s="48"/>
      <c r="T152" s="73"/>
    </row>
    <row r="153" spans="1:20" x14ac:dyDescent="0.35">
      <c r="B153" s="102"/>
      <c r="D153" s="37">
        <v>-2.4260000000000002</v>
      </c>
      <c r="E153" s="69">
        <v>79.161428571428601</v>
      </c>
      <c r="F153" s="35" t="s">
        <v>129</v>
      </c>
      <c r="G153" s="35">
        <v>47</v>
      </c>
      <c r="H153" s="1" t="s">
        <v>633</v>
      </c>
      <c r="I153" s="35">
        <v>16</v>
      </c>
      <c r="J153" s="46">
        <v>15</v>
      </c>
      <c r="K153" s="11" t="s">
        <v>692</v>
      </c>
      <c r="L153" s="27">
        <v>19</v>
      </c>
      <c r="M153" s="41" t="s">
        <v>823</v>
      </c>
      <c r="N153" s="41" t="s">
        <v>1564</v>
      </c>
      <c r="P153" t="s">
        <v>1565</v>
      </c>
      <c r="Q153">
        <f t="shared" si="2"/>
        <v>2.4260000000000002</v>
      </c>
      <c r="S153" s="48"/>
      <c r="T153" s="73"/>
    </row>
    <row r="154" spans="1:20" x14ac:dyDescent="0.35">
      <c r="B154" s="102"/>
      <c r="D154" s="37">
        <v>-3.073</v>
      </c>
      <c r="E154" s="69">
        <v>80.409285714285716</v>
      </c>
      <c r="F154" s="35" t="s">
        <v>129</v>
      </c>
      <c r="G154" s="35">
        <v>46</v>
      </c>
      <c r="H154" s="1" t="s">
        <v>681</v>
      </c>
      <c r="I154" s="35">
        <v>19</v>
      </c>
      <c r="J154" s="46">
        <v>11</v>
      </c>
      <c r="K154" s="11" t="s">
        <v>713</v>
      </c>
      <c r="L154" s="27">
        <v>15</v>
      </c>
      <c r="M154" s="41" t="s">
        <v>759</v>
      </c>
      <c r="N154" s="41" t="s">
        <v>1566</v>
      </c>
      <c r="Q154">
        <f t="shared" si="2"/>
        <v>3.073</v>
      </c>
      <c r="S154" s="48"/>
      <c r="T154" s="73"/>
    </row>
    <row r="155" spans="1:20" x14ac:dyDescent="0.35">
      <c r="B155" s="102"/>
      <c r="D155" s="37">
        <v>-3.4159999999999999</v>
      </c>
      <c r="E155" s="69">
        <v>83.868571428571428</v>
      </c>
      <c r="F155" s="35" t="s">
        <v>129</v>
      </c>
      <c r="G155" s="35">
        <v>43</v>
      </c>
      <c r="H155" s="1" t="s">
        <v>718</v>
      </c>
      <c r="I155" s="35">
        <v>20</v>
      </c>
      <c r="J155" s="46">
        <v>13</v>
      </c>
      <c r="K155" s="11" t="s">
        <v>650</v>
      </c>
      <c r="L155" s="27">
        <v>9</v>
      </c>
      <c r="M155" s="41" t="s">
        <v>790</v>
      </c>
      <c r="N155" s="41" t="s">
        <v>1567</v>
      </c>
      <c r="Q155">
        <f t="shared" si="2"/>
        <v>3.4159999999999999</v>
      </c>
      <c r="S155" s="48"/>
      <c r="T155" s="73"/>
    </row>
    <row r="156" spans="1:20" x14ac:dyDescent="0.35">
      <c r="B156" s="102"/>
      <c r="D156" s="37">
        <v>3.0760000000000001</v>
      </c>
      <c r="E156" s="69">
        <v>78.517142857142858</v>
      </c>
      <c r="F156" s="35" t="s">
        <v>231</v>
      </c>
      <c r="G156" s="35">
        <v>12</v>
      </c>
      <c r="H156" s="1" t="s">
        <v>352</v>
      </c>
      <c r="I156" s="35">
        <v>12</v>
      </c>
      <c r="J156" s="46">
        <v>11</v>
      </c>
      <c r="K156" s="11" t="s">
        <v>755</v>
      </c>
      <c r="L156" s="27">
        <v>42</v>
      </c>
      <c r="M156" s="41" t="s">
        <v>710</v>
      </c>
      <c r="N156" s="41" t="s">
        <v>1568</v>
      </c>
      <c r="Q156">
        <f t="shared" si="2"/>
        <v>3.0760000000000001</v>
      </c>
      <c r="S156" s="48"/>
      <c r="T156" s="73"/>
    </row>
    <row r="157" spans="1:20" x14ac:dyDescent="0.35">
      <c r="B157" s="102"/>
      <c r="D157" s="71">
        <v>-2.74</v>
      </c>
      <c r="E157" s="69">
        <v>82.671428571428578</v>
      </c>
      <c r="F157" s="72" t="s">
        <v>129</v>
      </c>
      <c r="G157" s="35">
        <v>40</v>
      </c>
      <c r="H157" s="1" t="s">
        <v>742</v>
      </c>
      <c r="I157" s="35">
        <v>16</v>
      </c>
      <c r="J157" s="46">
        <v>7</v>
      </c>
      <c r="K157" s="11" t="s">
        <v>652</v>
      </c>
      <c r="L157" s="27">
        <v>14</v>
      </c>
      <c r="M157" s="41" t="s">
        <v>775</v>
      </c>
      <c r="N157" s="41" t="s">
        <v>1569</v>
      </c>
      <c r="Q157">
        <f t="shared" si="2"/>
        <v>2.74</v>
      </c>
      <c r="S157" s="48"/>
      <c r="T157" s="73"/>
    </row>
    <row r="158" spans="1:20" x14ac:dyDescent="0.35">
      <c r="B158" s="102"/>
      <c r="D158" s="37">
        <v>-2.2839999999999998</v>
      </c>
      <c r="E158" s="69">
        <v>81.27428571428571</v>
      </c>
      <c r="F158" s="35" t="s">
        <v>129</v>
      </c>
      <c r="G158" s="35">
        <v>39</v>
      </c>
      <c r="H158" s="1" t="s">
        <v>746</v>
      </c>
      <c r="I158" s="35">
        <v>19</v>
      </c>
      <c r="J158" s="46">
        <v>11</v>
      </c>
      <c r="K158" s="11" t="s">
        <v>334</v>
      </c>
      <c r="L158" s="27">
        <v>18</v>
      </c>
      <c r="M158" s="41" t="s">
        <v>820</v>
      </c>
      <c r="N158" s="41" t="s">
        <v>1570</v>
      </c>
      <c r="Q158">
        <f t="shared" si="2"/>
        <v>2.2839999999999998</v>
      </c>
      <c r="S158" s="48"/>
      <c r="T158" s="73"/>
    </row>
    <row r="159" spans="1:20" x14ac:dyDescent="0.35">
      <c r="B159" s="102"/>
      <c r="D159" s="37">
        <v>0.91400000000000003</v>
      </c>
      <c r="E159" s="69">
        <v>73.632857142857148</v>
      </c>
      <c r="F159" s="35" t="s">
        <v>231</v>
      </c>
      <c r="G159" s="35">
        <v>27</v>
      </c>
      <c r="H159" s="1" t="s">
        <v>670</v>
      </c>
      <c r="I159" s="35">
        <v>15</v>
      </c>
      <c r="J159" s="46">
        <v>11</v>
      </c>
      <c r="K159" s="11" t="s">
        <v>643</v>
      </c>
      <c r="L159" s="27">
        <v>37</v>
      </c>
      <c r="M159" s="41" t="s">
        <v>789</v>
      </c>
      <c r="N159" s="41" t="s">
        <v>1571</v>
      </c>
      <c r="Q159">
        <f t="shared" si="2"/>
        <v>0.91400000000000003</v>
      </c>
      <c r="S159" s="48"/>
      <c r="T159" s="73"/>
    </row>
    <row r="160" spans="1:20" x14ac:dyDescent="0.35">
      <c r="B160" s="102"/>
      <c r="D160" s="37">
        <v>-0.61599999999999999</v>
      </c>
      <c r="E160" s="69">
        <v>75.529285714285706</v>
      </c>
      <c r="F160" s="35" t="s">
        <v>129</v>
      </c>
      <c r="G160" s="35">
        <v>36</v>
      </c>
      <c r="H160" s="1" t="s">
        <v>465</v>
      </c>
      <c r="I160" s="35">
        <v>19</v>
      </c>
      <c r="J160" s="46">
        <v>8</v>
      </c>
      <c r="K160" s="11" t="s">
        <v>667</v>
      </c>
      <c r="L160" s="27">
        <v>26</v>
      </c>
      <c r="M160" s="41" t="s">
        <v>821</v>
      </c>
      <c r="N160" s="43" t="s">
        <v>1572</v>
      </c>
      <c r="O160" s="1" t="s">
        <v>1390</v>
      </c>
      <c r="Q160">
        <f t="shared" si="2"/>
        <v>0.61599999999999999</v>
      </c>
      <c r="S160" s="48"/>
      <c r="T160" s="73"/>
    </row>
    <row r="161" spans="1:21" x14ac:dyDescent="0.35">
      <c r="B161" s="102"/>
      <c r="D161" s="37">
        <v>3.6819999999999999</v>
      </c>
      <c r="E161" s="69">
        <v>84.155714285714282</v>
      </c>
      <c r="F161" s="35" t="s">
        <v>231</v>
      </c>
      <c r="G161" s="35">
        <v>2</v>
      </c>
      <c r="H161" s="1" t="s">
        <v>747</v>
      </c>
      <c r="I161" s="35">
        <v>18</v>
      </c>
      <c r="J161" s="46">
        <v>5</v>
      </c>
      <c r="K161" s="11" t="s">
        <v>660</v>
      </c>
      <c r="L161" s="27">
        <v>35</v>
      </c>
      <c r="M161" s="41" t="s">
        <v>762</v>
      </c>
      <c r="N161" s="41" t="s">
        <v>1573</v>
      </c>
      <c r="Q161">
        <f t="shared" si="2"/>
        <v>3.6819999999999999</v>
      </c>
      <c r="S161" s="48"/>
      <c r="T161" s="73"/>
      <c r="U161" s="74"/>
    </row>
    <row r="162" spans="1:21" x14ac:dyDescent="0.35">
      <c r="B162" s="102"/>
      <c r="D162" s="37">
        <v>0.47399999999999998</v>
      </c>
      <c r="E162" s="69">
        <v>74.348928571428573</v>
      </c>
      <c r="F162" s="35" t="s">
        <v>231</v>
      </c>
      <c r="G162" s="35">
        <v>30</v>
      </c>
      <c r="H162" s="1" t="s">
        <v>672</v>
      </c>
      <c r="I162" s="35">
        <v>10</v>
      </c>
      <c r="J162" s="46">
        <v>9</v>
      </c>
      <c r="K162" s="11" t="s">
        <v>629</v>
      </c>
      <c r="L162" s="27">
        <v>33</v>
      </c>
      <c r="M162" s="41" t="s">
        <v>714</v>
      </c>
      <c r="N162" s="41" t="s">
        <v>1574</v>
      </c>
      <c r="Q162">
        <f t="shared" si="2"/>
        <v>0.47399999999999998</v>
      </c>
      <c r="S162" s="48"/>
      <c r="T162" s="73"/>
      <c r="U162" s="74"/>
    </row>
    <row r="163" spans="1:21" x14ac:dyDescent="0.35">
      <c r="B163" s="102"/>
      <c r="D163" s="37">
        <v>-4.1740000000000004</v>
      </c>
      <c r="E163" s="69">
        <v>91.195714285714288</v>
      </c>
      <c r="F163" s="35" t="s">
        <v>129</v>
      </c>
      <c r="G163" s="35">
        <v>32</v>
      </c>
      <c r="H163" s="1" t="s">
        <v>468</v>
      </c>
      <c r="I163" s="35">
        <v>20</v>
      </c>
      <c r="J163" s="46">
        <v>13</v>
      </c>
      <c r="K163" s="11" t="s">
        <v>644</v>
      </c>
      <c r="L163" s="27">
        <v>1</v>
      </c>
      <c r="M163" s="41" t="s">
        <v>793</v>
      </c>
      <c r="N163" s="41" t="s">
        <v>1575</v>
      </c>
      <c r="Q163">
        <f t="shared" si="2"/>
        <v>4.1740000000000004</v>
      </c>
      <c r="S163" s="48"/>
      <c r="T163" s="73"/>
      <c r="U163" s="74"/>
    </row>
    <row r="164" spans="1:21" x14ac:dyDescent="0.35">
      <c r="B164" s="102"/>
      <c r="D164" s="71">
        <v>0.96</v>
      </c>
      <c r="E164" s="69">
        <v>81.457142857142856</v>
      </c>
      <c r="F164" s="72" t="s">
        <v>231</v>
      </c>
      <c r="G164" s="35">
        <v>21</v>
      </c>
      <c r="H164" s="1" t="s">
        <v>704</v>
      </c>
      <c r="I164" s="35">
        <v>24</v>
      </c>
      <c r="J164" s="46">
        <v>13</v>
      </c>
      <c r="K164" s="11" t="s">
        <v>1163</v>
      </c>
      <c r="L164" s="27">
        <v>29</v>
      </c>
      <c r="M164" s="41" t="s">
        <v>806</v>
      </c>
      <c r="N164" s="43" t="s">
        <v>1576</v>
      </c>
      <c r="O164" s="1" t="s">
        <v>1390</v>
      </c>
      <c r="Q164">
        <f t="shared" si="2"/>
        <v>0.96</v>
      </c>
      <c r="S164" s="48"/>
      <c r="T164" s="73"/>
      <c r="U164" s="74"/>
    </row>
    <row r="165" spans="1:21" x14ac:dyDescent="0.35">
      <c r="B165" s="102"/>
      <c r="D165" s="37">
        <v>2.0289999999999999</v>
      </c>
      <c r="E165" s="69">
        <v>84.622142857142862</v>
      </c>
      <c r="F165" s="35" t="s">
        <v>231</v>
      </c>
      <c r="G165" s="35">
        <v>11</v>
      </c>
      <c r="H165" s="1" t="s">
        <v>649</v>
      </c>
      <c r="I165" s="35">
        <v>18</v>
      </c>
      <c r="J165" s="46">
        <v>9</v>
      </c>
      <c r="K165" s="11" t="s">
        <v>642</v>
      </c>
      <c r="L165" s="27">
        <v>28</v>
      </c>
      <c r="M165" s="41" t="s">
        <v>799</v>
      </c>
      <c r="N165" s="41" t="s">
        <v>1577</v>
      </c>
      <c r="Q165">
        <f t="shared" si="2"/>
        <v>2.0289999999999999</v>
      </c>
      <c r="S165" s="48"/>
      <c r="T165" s="73"/>
      <c r="U165" s="74"/>
    </row>
    <row r="166" spans="1:21" x14ac:dyDescent="0.35">
      <c r="B166" s="102"/>
      <c r="D166" s="37">
        <v>-1.827</v>
      </c>
      <c r="E166" s="69">
        <v>91.305000000000007</v>
      </c>
      <c r="F166" s="35" t="s">
        <v>129</v>
      </c>
      <c r="G166" s="35">
        <v>25</v>
      </c>
      <c r="H166" s="1" t="s">
        <v>780</v>
      </c>
      <c r="I166" s="35">
        <v>17</v>
      </c>
      <c r="J166" s="46">
        <v>8</v>
      </c>
      <c r="K166" s="11" t="s">
        <v>663</v>
      </c>
      <c r="L166" s="27">
        <v>7</v>
      </c>
      <c r="M166" s="41" t="s">
        <v>748</v>
      </c>
      <c r="N166" s="41" t="s">
        <v>1578</v>
      </c>
      <c r="Q166">
        <f t="shared" si="2"/>
        <v>1.827</v>
      </c>
      <c r="S166" s="48"/>
      <c r="T166" s="73"/>
      <c r="U166" s="74"/>
    </row>
    <row r="167" spans="1:21" x14ac:dyDescent="0.35">
      <c r="B167" s="102"/>
      <c r="D167" s="71">
        <v>-1.7</v>
      </c>
      <c r="E167" s="69">
        <v>88.714285714285708</v>
      </c>
      <c r="F167" s="72" t="s">
        <v>129</v>
      </c>
      <c r="G167" s="35">
        <v>24</v>
      </c>
      <c r="H167" s="1" t="s">
        <v>328</v>
      </c>
      <c r="I167" s="35">
        <v>22</v>
      </c>
      <c r="J167" s="46">
        <v>11</v>
      </c>
      <c r="K167" s="11" t="s">
        <v>750</v>
      </c>
      <c r="L167" s="27">
        <v>16</v>
      </c>
      <c r="M167" s="41" t="s">
        <v>910</v>
      </c>
      <c r="N167" s="43" t="s">
        <v>1579</v>
      </c>
      <c r="O167" s="1" t="s">
        <v>1390</v>
      </c>
      <c r="Q167">
        <f t="shared" si="2"/>
        <v>1.7</v>
      </c>
      <c r="S167" s="48"/>
      <c r="T167" s="73"/>
      <c r="U167" s="74"/>
    </row>
    <row r="168" spans="1:21" x14ac:dyDescent="0.35">
      <c r="B168" s="102"/>
      <c r="D168" s="37">
        <v>1.8049999999999999</v>
      </c>
      <c r="E168" s="69">
        <v>88.398214285714289</v>
      </c>
      <c r="F168" s="35" t="s">
        <v>231</v>
      </c>
      <c r="G168" s="35">
        <v>10</v>
      </c>
      <c r="H168" s="1" t="s">
        <v>651</v>
      </c>
      <c r="I168" s="35">
        <v>16</v>
      </c>
      <c r="J168" s="46">
        <v>13</v>
      </c>
      <c r="K168" s="11" t="s">
        <v>640</v>
      </c>
      <c r="L168" s="27">
        <v>23</v>
      </c>
      <c r="M168" s="41" t="s">
        <v>724</v>
      </c>
      <c r="N168" s="41" t="s">
        <v>1580</v>
      </c>
      <c r="Q168">
        <f t="shared" si="2"/>
        <v>1.8049999999999999</v>
      </c>
      <c r="S168" s="48"/>
      <c r="T168" s="73"/>
      <c r="U168" s="74"/>
    </row>
    <row r="169" spans="1:21" ht="15" thickBot="1" x14ac:dyDescent="0.4">
      <c r="B169" s="102"/>
      <c r="C169" s="51"/>
      <c r="D169" s="75">
        <v>1.7929999999999999</v>
      </c>
      <c r="E169" s="76">
        <v>90.594285714285718</v>
      </c>
      <c r="F169" s="49" t="s">
        <v>231</v>
      </c>
      <c r="G169" s="49">
        <v>6</v>
      </c>
      <c r="H169" s="45" t="s">
        <v>466</v>
      </c>
      <c r="I169" s="49">
        <v>25</v>
      </c>
      <c r="J169" s="50">
        <v>9</v>
      </c>
      <c r="K169" s="51" t="s">
        <v>673</v>
      </c>
      <c r="L169" s="77">
        <v>20</v>
      </c>
      <c r="M169" s="40" t="s">
        <v>934</v>
      </c>
      <c r="N169" s="45" t="s">
        <v>1581</v>
      </c>
      <c r="O169" s="79" t="s">
        <v>1390</v>
      </c>
      <c r="P169" s="78"/>
      <c r="Q169">
        <f t="shared" si="2"/>
        <v>1.7929999999999999</v>
      </c>
      <c r="S169" s="48"/>
      <c r="T169" s="73"/>
      <c r="U169" s="74"/>
    </row>
    <row r="170" spans="1:21" x14ac:dyDescent="0.35">
      <c r="A170" s="2" t="s">
        <v>1582</v>
      </c>
      <c r="B170" s="102" t="s">
        <v>1101</v>
      </c>
      <c r="C170" s="11" t="s">
        <v>1583</v>
      </c>
      <c r="D170" s="37">
        <v>2.5920000000000001</v>
      </c>
      <c r="E170" s="69">
        <v>9.3092857142857195</v>
      </c>
      <c r="G170" s="35">
        <v>87</v>
      </c>
      <c r="H170" s="1" t="s">
        <v>729</v>
      </c>
      <c r="I170" s="35">
        <v>21</v>
      </c>
      <c r="J170" s="46">
        <v>10</v>
      </c>
      <c r="K170" s="11" t="s">
        <v>700</v>
      </c>
      <c r="L170" s="27">
        <v>112</v>
      </c>
      <c r="M170" s="41" t="s">
        <v>775</v>
      </c>
      <c r="N170" s="41" t="s">
        <v>1584</v>
      </c>
      <c r="Q170">
        <f t="shared" si="2"/>
        <v>2.5920000000000001</v>
      </c>
      <c r="S170" s="48"/>
      <c r="T170" s="73"/>
      <c r="U170" s="74"/>
    </row>
    <row r="171" spans="1:21" x14ac:dyDescent="0.35">
      <c r="B171" s="102"/>
      <c r="C171" s="37" t="s">
        <v>1585</v>
      </c>
      <c r="D171" s="37">
        <v>-6.9139999999999997</v>
      </c>
      <c r="E171" s="69">
        <v>45.072500000000005</v>
      </c>
      <c r="G171" s="35">
        <v>111</v>
      </c>
      <c r="H171" s="1" t="s">
        <v>1156</v>
      </c>
      <c r="I171" s="35">
        <v>21</v>
      </c>
      <c r="J171" s="46">
        <v>15</v>
      </c>
      <c r="K171" s="11" t="s">
        <v>1164</v>
      </c>
      <c r="L171" s="27">
        <v>38</v>
      </c>
      <c r="M171" s="41" t="s">
        <v>836</v>
      </c>
      <c r="N171" s="80" t="s">
        <v>1586</v>
      </c>
      <c r="Q171">
        <f t="shared" si="2"/>
        <v>6.9139999999999997</v>
      </c>
      <c r="S171" s="48"/>
      <c r="T171" s="73"/>
      <c r="U171" s="74"/>
    </row>
    <row r="172" spans="1:21" x14ac:dyDescent="0.35">
      <c r="A172" s="2" t="s">
        <v>1587</v>
      </c>
      <c r="B172" s="102"/>
      <c r="D172" s="37">
        <v>10.502000000000001</v>
      </c>
      <c r="E172" s="69">
        <v>52.141428571428584</v>
      </c>
      <c r="G172" s="35">
        <v>3</v>
      </c>
      <c r="H172" s="1" t="s">
        <v>466</v>
      </c>
      <c r="I172" s="35">
        <v>25</v>
      </c>
      <c r="J172" s="46">
        <v>11</v>
      </c>
      <c r="K172" s="11" t="s">
        <v>737</v>
      </c>
      <c r="L172" s="27">
        <v>110</v>
      </c>
      <c r="M172" s="41" t="s">
        <v>705</v>
      </c>
      <c r="N172" s="80" t="s">
        <v>1588</v>
      </c>
      <c r="P172" s="70" t="s">
        <v>1589</v>
      </c>
      <c r="Q172">
        <f t="shared" si="2"/>
        <v>10.502000000000001</v>
      </c>
      <c r="S172" s="48"/>
      <c r="T172" s="73"/>
      <c r="U172" s="74"/>
    </row>
    <row r="173" spans="1:21" x14ac:dyDescent="0.35">
      <c r="B173" s="102"/>
      <c r="D173" s="71">
        <v>11.18</v>
      </c>
      <c r="E173" s="69">
        <v>52.728571428571428</v>
      </c>
      <c r="F173" s="72"/>
      <c r="G173" s="35">
        <v>1</v>
      </c>
      <c r="H173" s="1" t="s">
        <v>242</v>
      </c>
      <c r="I173" s="35">
        <v>23</v>
      </c>
      <c r="J173" s="46">
        <v>14</v>
      </c>
      <c r="K173" s="11" t="s">
        <v>706</v>
      </c>
      <c r="L173" s="27">
        <v>109</v>
      </c>
      <c r="M173" s="41" t="s">
        <v>898</v>
      </c>
      <c r="N173" s="80" t="s">
        <v>1590</v>
      </c>
      <c r="P173" s="70" t="s">
        <v>1591</v>
      </c>
      <c r="Q173">
        <f t="shared" si="2"/>
        <v>11.18</v>
      </c>
      <c r="S173" s="48"/>
      <c r="T173" s="73"/>
      <c r="U173" s="74"/>
    </row>
    <row r="174" spans="1:21" x14ac:dyDescent="0.35">
      <c r="A174" s="2" t="s">
        <v>1592</v>
      </c>
      <c r="B174" s="102"/>
      <c r="D174" s="37">
        <v>-3.6230000000000002</v>
      </c>
      <c r="E174" s="69">
        <v>18.212857142857143</v>
      </c>
      <c r="G174" s="35">
        <v>108</v>
      </c>
      <c r="H174" s="1" t="s">
        <v>743</v>
      </c>
      <c r="I174" s="35">
        <v>15</v>
      </c>
      <c r="J174" s="46">
        <v>11</v>
      </c>
      <c r="K174" s="11" t="s">
        <v>582</v>
      </c>
      <c r="L174" s="27">
        <v>81</v>
      </c>
      <c r="M174" s="41" t="s">
        <v>741</v>
      </c>
      <c r="N174" s="80" t="s">
        <v>1593</v>
      </c>
      <c r="Q174">
        <f t="shared" si="2"/>
        <v>3.6230000000000002</v>
      </c>
      <c r="S174" s="48"/>
      <c r="T174" s="73"/>
      <c r="U174" s="74"/>
    </row>
    <row r="175" spans="1:21" x14ac:dyDescent="0.35">
      <c r="B175" s="102"/>
      <c r="D175" s="37">
        <v>1.135</v>
      </c>
      <c r="E175" s="69">
        <v>8.5642857142857238</v>
      </c>
      <c r="G175" s="35">
        <v>96</v>
      </c>
      <c r="H175" s="1" t="s">
        <v>638</v>
      </c>
      <c r="I175" s="35">
        <v>14</v>
      </c>
      <c r="J175" s="46">
        <v>12</v>
      </c>
      <c r="K175" s="11" t="s">
        <v>631</v>
      </c>
      <c r="L175" s="27">
        <v>107</v>
      </c>
      <c r="M175" s="41" t="s">
        <v>839</v>
      </c>
      <c r="N175" s="80" t="s">
        <v>1594</v>
      </c>
      <c r="Q175">
        <f t="shared" si="2"/>
        <v>1.135</v>
      </c>
      <c r="S175" s="48"/>
      <c r="T175" s="73"/>
      <c r="U175" s="74"/>
    </row>
    <row r="176" spans="1:21" x14ac:dyDescent="0.35">
      <c r="B176" s="102"/>
      <c r="D176" s="37">
        <v>-5.835</v>
      </c>
      <c r="E176" s="69">
        <v>41.891071428571422</v>
      </c>
      <c r="G176" s="35">
        <v>106</v>
      </c>
      <c r="H176" s="1" t="s">
        <v>784</v>
      </c>
      <c r="I176" s="35">
        <v>24</v>
      </c>
      <c r="J176" s="46">
        <v>23</v>
      </c>
      <c r="K176" s="11" t="s">
        <v>726</v>
      </c>
      <c r="L176" s="27">
        <v>49</v>
      </c>
      <c r="M176" s="41" t="s">
        <v>735</v>
      </c>
      <c r="N176" s="80" t="s">
        <v>1595</v>
      </c>
      <c r="Q176">
        <f t="shared" si="2"/>
        <v>5.835</v>
      </c>
      <c r="S176" s="48"/>
      <c r="T176" s="73"/>
      <c r="U176" s="74"/>
    </row>
    <row r="177" spans="1:21" x14ac:dyDescent="0.35">
      <c r="A177" s="2" t="s">
        <v>1596</v>
      </c>
      <c r="B177" s="102"/>
      <c r="D177" s="71">
        <v>-6.6</v>
      </c>
      <c r="E177" s="69">
        <v>49.267857142857139</v>
      </c>
      <c r="F177" s="72"/>
      <c r="G177" s="35">
        <v>105</v>
      </c>
      <c r="H177" s="1" t="s">
        <v>1158</v>
      </c>
      <c r="I177" s="35">
        <v>20</v>
      </c>
      <c r="J177" s="46">
        <v>19</v>
      </c>
      <c r="K177" s="11" t="s">
        <v>1160</v>
      </c>
      <c r="L177" s="27">
        <v>33</v>
      </c>
      <c r="M177" s="41" t="s">
        <v>987</v>
      </c>
      <c r="N177" s="80" t="s">
        <v>1597</v>
      </c>
      <c r="P177" s="70" t="s">
        <v>1598</v>
      </c>
      <c r="Q177">
        <f t="shared" si="2"/>
        <v>6.6</v>
      </c>
      <c r="S177" s="48"/>
      <c r="T177" s="73"/>
      <c r="U177" s="74"/>
    </row>
    <row r="178" spans="1:21" x14ac:dyDescent="0.35">
      <c r="B178" s="102"/>
      <c r="D178" s="37">
        <v>-0.28199999999999997</v>
      </c>
      <c r="E178" s="69">
        <v>7.7907142857142953</v>
      </c>
      <c r="G178" s="35">
        <v>103</v>
      </c>
      <c r="H178" s="1" t="s">
        <v>1155</v>
      </c>
      <c r="I178" s="35">
        <v>28</v>
      </c>
      <c r="J178" s="46">
        <v>10</v>
      </c>
      <c r="K178" s="11" t="s">
        <v>1165</v>
      </c>
      <c r="L178" s="27">
        <v>104</v>
      </c>
      <c r="M178" s="41" t="s">
        <v>790</v>
      </c>
      <c r="N178" s="43" t="s">
        <v>1599</v>
      </c>
      <c r="O178" s="1" t="s">
        <v>1390</v>
      </c>
      <c r="Q178">
        <f t="shared" si="2"/>
        <v>0.28199999999999997</v>
      </c>
      <c r="S178" s="48"/>
      <c r="T178" s="73"/>
      <c r="U178" s="74"/>
    </row>
    <row r="179" spans="1:21" x14ac:dyDescent="0.35">
      <c r="B179" s="102"/>
      <c r="D179" s="37">
        <v>-0.56200000000000006</v>
      </c>
      <c r="E179" s="69">
        <v>10.222857142857144</v>
      </c>
      <c r="G179" s="35">
        <v>100</v>
      </c>
      <c r="H179" s="1" t="s">
        <v>636</v>
      </c>
      <c r="I179" s="35">
        <v>23</v>
      </c>
      <c r="J179" s="46">
        <v>9</v>
      </c>
      <c r="K179" s="11" t="s">
        <v>639</v>
      </c>
      <c r="L179" s="27">
        <v>102</v>
      </c>
      <c r="M179" s="41" t="s">
        <v>820</v>
      </c>
      <c r="N179" s="80" t="s">
        <v>1600</v>
      </c>
      <c r="Q179">
        <f t="shared" si="2"/>
        <v>0.56200000000000006</v>
      </c>
      <c r="S179" s="48"/>
      <c r="T179" s="73"/>
      <c r="U179" s="74"/>
    </row>
    <row r="180" spans="1:21" x14ac:dyDescent="0.35">
      <c r="B180" s="102"/>
      <c r="D180" s="37">
        <v>5.577</v>
      </c>
      <c r="E180" s="69">
        <v>38.7575</v>
      </c>
      <c r="G180" s="35">
        <v>44</v>
      </c>
      <c r="H180" s="1" t="s">
        <v>680</v>
      </c>
      <c r="I180" s="35">
        <v>22</v>
      </c>
      <c r="J180" s="46">
        <v>21</v>
      </c>
      <c r="K180" s="11" t="s">
        <v>778</v>
      </c>
      <c r="L180" s="27">
        <v>101</v>
      </c>
      <c r="M180" s="41" t="s">
        <v>952</v>
      </c>
      <c r="N180" s="80" t="s">
        <v>1601</v>
      </c>
      <c r="O180" s="6" t="s">
        <v>1386</v>
      </c>
      <c r="P180" t="s">
        <v>1602</v>
      </c>
      <c r="Q180">
        <f t="shared" si="2"/>
        <v>5.577</v>
      </c>
      <c r="S180" s="48"/>
      <c r="T180" s="73"/>
    </row>
    <row r="181" spans="1:21" x14ac:dyDescent="0.35">
      <c r="B181" s="102"/>
      <c r="D181" s="37">
        <v>8.4160000000000004</v>
      </c>
      <c r="E181" s="69">
        <v>56.131428571428565</v>
      </c>
      <c r="G181" s="35">
        <v>7</v>
      </c>
      <c r="H181" s="1" t="s">
        <v>644</v>
      </c>
      <c r="I181" s="35">
        <v>19</v>
      </c>
      <c r="J181" s="46">
        <v>7</v>
      </c>
      <c r="K181" s="11" t="s">
        <v>776</v>
      </c>
      <c r="L181" s="27">
        <v>99</v>
      </c>
      <c r="M181" s="41" t="s">
        <v>741</v>
      </c>
      <c r="N181" s="80" t="s">
        <v>1603</v>
      </c>
      <c r="Q181">
        <f t="shared" si="2"/>
        <v>8.4160000000000004</v>
      </c>
      <c r="S181" s="48"/>
      <c r="T181" s="73"/>
    </row>
    <row r="182" spans="1:21" x14ac:dyDescent="0.35">
      <c r="A182" s="2" t="s">
        <v>1604</v>
      </c>
      <c r="B182" s="102"/>
      <c r="D182" s="37">
        <v>4.3470000000000004</v>
      </c>
      <c r="E182" s="69">
        <v>26.805714285714288</v>
      </c>
      <c r="G182" s="35">
        <v>59</v>
      </c>
      <c r="H182" s="1" t="s">
        <v>772</v>
      </c>
      <c r="I182" s="35">
        <v>16</v>
      </c>
      <c r="J182" s="46">
        <v>14</v>
      </c>
      <c r="K182" s="11" t="s">
        <v>768</v>
      </c>
      <c r="L182" s="27">
        <v>98</v>
      </c>
      <c r="M182" s="41" t="s">
        <v>717</v>
      </c>
      <c r="N182" s="80" t="s">
        <v>1605</v>
      </c>
      <c r="Q182">
        <f t="shared" si="2"/>
        <v>4.3470000000000004</v>
      </c>
      <c r="S182" s="48"/>
      <c r="T182" s="73"/>
    </row>
    <row r="183" spans="1:21" x14ac:dyDescent="0.35">
      <c r="B183" s="102"/>
      <c r="D183" s="37">
        <v>5.9320000000000004</v>
      </c>
      <c r="E183" s="69">
        <v>43.128928571428574</v>
      </c>
      <c r="G183" s="35">
        <v>34</v>
      </c>
      <c r="H183" s="1" t="s">
        <v>765</v>
      </c>
      <c r="I183" s="35">
        <v>27</v>
      </c>
      <c r="J183" s="46">
        <v>12</v>
      </c>
      <c r="K183" s="11" t="s">
        <v>701</v>
      </c>
      <c r="L183" s="27">
        <v>97</v>
      </c>
      <c r="M183" s="41" t="s">
        <v>934</v>
      </c>
      <c r="N183" s="80" t="s">
        <v>1606</v>
      </c>
      <c r="Q183">
        <f t="shared" si="2"/>
        <v>5.9320000000000004</v>
      </c>
      <c r="S183" s="48"/>
      <c r="T183" s="73"/>
    </row>
    <row r="184" spans="1:21" x14ac:dyDescent="0.35">
      <c r="B184" s="102"/>
      <c r="D184" s="37">
        <v>5.423</v>
      </c>
      <c r="E184" s="69">
        <v>55.412142857142854</v>
      </c>
      <c r="G184" s="35">
        <v>19</v>
      </c>
      <c r="H184" s="1" t="s">
        <v>746</v>
      </c>
      <c r="I184" s="35">
        <v>18</v>
      </c>
      <c r="J184" s="46">
        <v>11</v>
      </c>
      <c r="K184" s="11" t="s">
        <v>732</v>
      </c>
      <c r="L184" s="27">
        <v>95</v>
      </c>
      <c r="M184" s="41" t="s">
        <v>874</v>
      </c>
      <c r="N184" s="80" t="s">
        <v>1607</v>
      </c>
      <c r="Q184">
        <f t="shared" si="2"/>
        <v>5.423</v>
      </c>
      <c r="S184" s="48"/>
      <c r="T184" s="73"/>
    </row>
    <row r="185" spans="1:21" x14ac:dyDescent="0.35">
      <c r="B185" s="102"/>
      <c r="D185" s="37">
        <v>2.8780000000000001</v>
      </c>
      <c r="E185" s="69">
        <v>23.051428571428602</v>
      </c>
      <c r="G185" s="35">
        <v>76</v>
      </c>
      <c r="H185" s="1" t="s">
        <v>635</v>
      </c>
      <c r="I185" s="35">
        <v>18</v>
      </c>
      <c r="J185" s="46">
        <v>16</v>
      </c>
      <c r="K185" s="11" t="s">
        <v>637</v>
      </c>
      <c r="L185" s="27">
        <v>94</v>
      </c>
      <c r="M185" s="41" t="s">
        <v>831</v>
      </c>
      <c r="N185" s="80" t="s">
        <v>1608</v>
      </c>
      <c r="P185" t="s">
        <v>1609</v>
      </c>
      <c r="Q185">
        <f t="shared" si="2"/>
        <v>2.8780000000000001</v>
      </c>
      <c r="S185" s="48"/>
      <c r="T185" s="73"/>
    </row>
    <row r="186" spans="1:21" x14ac:dyDescent="0.35">
      <c r="B186" s="102"/>
      <c r="D186" s="37">
        <v>2.8180000000000001</v>
      </c>
      <c r="E186" s="69">
        <v>25.219285714285711</v>
      </c>
      <c r="G186" s="35">
        <v>70</v>
      </c>
      <c r="H186" s="1" t="s">
        <v>785</v>
      </c>
      <c r="I186" s="35">
        <v>16</v>
      </c>
      <c r="J186" s="46">
        <v>7</v>
      </c>
      <c r="K186" s="11" t="s">
        <v>760</v>
      </c>
      <c r="L186" s="27">
        <v>93</v>
      </c>
      <c r="M186" s="41" t="s">
        <v>874</v>
      </c>
      <c r="N186" s="80" t="s">
        <v>1610</v>
      </c>
      <c r="Q186">
        <f t="shared" si="2"/>
        <v>2.8180000000000001</v>
      </c>
      <c r="S186" s="48"/>
      <c r="T186" s="73"/>
    </row>
    <row r="187" spans="1:21" x14ac:dyDescent="0.35">
      <c r="B187" s="102"/>
      <c r="D187" s="37">
        <v>6.032</v>
      </c>
      <c r="E187" s="69">
        <v>55.334285714285713</v>
      </c>
      <c r="G187" s="35">
        <v>21</v>
      </c>
      <c r="H187" s="1" t="s">
        <v>672</v>
      </c>
      <c r="I187" s="35">
        <v>21</v>
      </c>
      <c r="J187" s="46">
        <v>20</v>
      </c>
      <c r="K187" s="11" t="s">
        <v>734</v>
      </c>
      <c r="L187" s="27">
        <v>92</v>
      </c>
      <c r="M187" s="41" t="s">
        <v>910</v>
      </c>
      <c r="N187" s="80" t="s">
        <v>1611</v>
      </c>
      <c r="O187" s="6" t="s">
        <v>1386</v>
      </c>
      <c r="Q187">
        <f t="shared" si="2"/>
        <v>6.032</v>
      </c>
      <c r="S187" s="48"/>
      <c r="T187" s="73"/>
    </row>
    <row r="188" spans="1:21" x14ac:dyDescent="0.35">
      <c r="A188" s="2" t="s">
        <v>1612</v>
      </c>
      <c r="B188" s="102"/>
      <c r="D188" s="37">
        <v>-2.7370000000000001</v>
      </c>
      <c r="E188" s="69">
        <v>33.7585714285714</v>
      </c>
      <c r="G188" s="35">
        <v>91</v>
      </c>
      <c r="H188" s="1" t="s">
        <v>774</v>
      </c>
      <c r="I188" s="35">
        <v>20</v>
      </c>
      <c r="J188" s="46">
        <v>16</v>
      </c>
      <c r="K188" s="11" t="s">
        <v>751</v>
      </c>
      <c r="L188" s="27">
        <v>64</v>
      </c>
      <c r="M188" s="41" t="s">
        <v>910</v>
      </c>
      <c r="N188" s="80" t="s">
        <v>1613</v>
      </c>
      <c r="P188" t="s">
        <v>1602</v>
      </c>
      <c r="Q188">
        <f t="shared" si="2"/>
        <v>2.7370000000000001</v>
      </c>
      <c r="S188" s="48"/>
      <c r="T188" s="73"/>
    </row>
    <row r="189" spans="1:21" x14ac:dyDescent="0.35">
      <c r="B189" s="102"/>
      <c r="D189" s="37">
        <v>3.7370000000000001</v>
      </c>
      <c r="E189" s="69">
        <v>49.116428571428571</v>
      </c>
      <c r="G189" s="35">
        <v>30</v>
      </c>
      <c r="H189" s="1" t="s">
        <v>640</v>
      </c>
      <c r="I189" s="35">
        <v>21</v>
      </c>
      <c r="J189" s="46">
        <v>15</v>
      </c>
      <c r="K189" s="11" t="s">
        <v>767</v>
      </c>
      <c r="L189" s="27">
        <v>90</v>
      </c>
      <c r="M189" s="41" t="s">
        <v>796</v>
      </c>
      <c r="N189" s="80" t="s">
        <v>1614</v>
      </c>
      <c r="Q189">
        <f t="shared" si="2"/>
        <v>3.7370000000000001</v>
      </c>
      <c r="S189" s="48"/>
      <c r="T189" s="73"/>
    </row>
    <row r="190" spans="1:21" x14ac:dyDescent="0.35">
      <c r="B190" s="102"/>
      <c r="D190" s="37">
        <v>3.7349999999999999</v>
      </c>
      <c r="E190" s="69">
        <v>49.117857142857147</v>
      </c>
      <c r="G190" s="35">
        <v>31</v>
      </c>
      <c r="H190" s="1" t="s">
        <v>692</v>
      </c>
      <c r="I190" s="35">
        <v>26</v>
      </c>
      <c r="J190" s="46">
        <v>22</v>
      </c>
      <c r="K190" s="11" t="s">
        <v>709</v>
      </c>
      <c r="L190" s="27">
        <v>89</v>
      </c>
      <c r="M190" s="41" t="s">
        <v>719</v>
      </c>
      <c r="N190" s="80" t="s">
        <v>1615</v>
      </c>
      <c r="O190" s="6" t="s">
        <v>1386</v>
      </c>
      <c r="Q190">
        <f t="shared" si="2"/>
        <v>3.7349999999999999</v>
      </c>
      <c r="S190" s="48"/>
      <c r="T190" s="73"/>
    </row>
    <row r="191" spans="1:21" x14ac:dyDescent="0.35">
      <c r="B191" s="102"/>
      <c r="D191" s="37">
        <v>6.327</v>
      </c>
      <c r="E191" s="69">
        <v>62.623571428571424</v>
      </c>
      <c r="G191" s="35">
        <v>4</v>
      </c>
      <c r="H191" s="1" t="s">
        <v>245</v>
      </c>
      <c r="I191" s="35">
        <v>26</v>
      </c>
      <c r="J191" s="46">
        <v>11</v>
      </c>
      <c r="K191" s="11" t="s">
        <v>720</v>
      </c>
      <c r="L191" s="27">
        <v>88</v>
      </c>
      <c r="M191" s="41" t="s">
        <v>786</v>
      </c>
      <c r="N191" s="80" t="s">
        <v>1616</v>
      </c>
      <c r="Q191">
        <f t="shared" si="2"/>
        <v>6.327</v>
      </c>
      <c r="S191" s="48"/>
      <c r="T191" s="73"/>
    </row>
    <row r="192" spans="1:21" x14ac:dyDescent="0.35">
      <c r="B192" s="102"/>
      <c r="D192" s="37">
        <v>1.423</v>
      </c>
      <c r="E192" s="69">
        <v>32.912142857142854</v>
      </c>
      <c r="G192" s="35">
        <v>62</v>
      </c>
      <c r="H192" s="1" t="s">
        <v>677</v>
      </c>
      <c r="I192" s="35">
        <v>17</v>
      </c>
      <c r="J192" s="46">
        <v>5</v>
      </c>
      <c r="K192" s="11" t="s">
        <v>716</v>
      </c>
      <c r="L192" s="27">
        <v>86</v>
      </c>
      <c r="M192" s="41" t="s">
        <v>1138</v>
      </c>
      <c r="N192" s="43" t="s">
        <v>1617</v>
      </c>
      <c r="O192" s="1" t="s">
        <v>1390</v>
      </c>
      <c r="Q192">
        <f t="shared" si="2"/>
        <v>1.423</v>
      </c>
      <c r="S192" s="48"/>
      <c r="T192" s="73"/>
    </row>
    <row r="193" spans="2:21" x14ac:dyDescent="0.35">
      <c r="B193" s="102"/>
      <c r="D193" s="37">
        <v>1.5640000000000001</v>
      </c>
      <c r="E193" s="69">
        <v>42.632857142857148</v>
      </c>
      <c r="G193" s="35">
        <v>55</v>
      </c>
      <c r="H193" s="1" t="s">
        <v>755</v>
      </c>
      <c r="I193" s="35">
        <v>20</v>
      </c>
      <c r="J193" s="46">
        <v>10</v>
      </c>
      <c r="K193" s="11" t="s">
        <v>777</v>
      </c>
      <c r="L193" s="27">
        <v>85</v>
      </c>
      <c r="M193" s="41" t="s">
        <v>910</v>
      </c>
      <c r="N193" s="80" t="s">
        <v>1618</v>
      </c>
      <c r="Q193">
        <f t="shared" si="2"/>
        <v>1.5640000000000001</v>
      </c>
      <c r="S193" s="48"/>
      <c r="T193" s="73"/>
    </row>
    <row r="194" spans="2:21" x14ac:dyDescent="0.35">
      <c r="B194" s="102"/>
      <c r="D194" s="37">
        <v>4.2569999999999997</v>
      </c>
      <c r="E194" s="69">
        <v>61.24499999999999</v>
      </c>
      <c r="G194" s="35">
        <v>16</v>
      </c>
      <c r="H194" s="1" t="s">
        <v>468</v>
      </c>
      <c r="I194" s="35">
        <v>17</v>
      </c>
      <c r="J194" s="46">
        <v>10</v>
      </c>
      <c r="K194" s="11" t="s">
        <v>1162</v>
      </c>
      <c r="L194" s="27">
        <v>84</v>
      </c>
      <c r="M194" s="41" t="s">
        <v>839</v>
      </c>
      <c r="N194" s="80" t="s">
        <v>1619</v>
      </c>
      <c r="Q194">
        <f t="shared" si="2"/>
        <v>4.2569999999999997</v>
      </c>
      <c r="S194" s="48"/>
      <c r="T194" s="73"/>
      <c r="U194" s="74"/>
    </row>
    <row r="195" spans="2:21" x14ac:dyDescent="0.35">
      <c r="B195" s="102"/>
      <c r="D195" s="37">
        <v>2.9430000000000001</v>
      </c>
      <c r="E195" s="69">
        <v>50.487142857142864</v>
      </c>
      <c r="G195" s="35">
        <v>35</v>
      </c>
      <c r="H195" s="1" t="s">
        <v>713</v>
      </c>
      <c r="I195" s="35">
        <v>22</v>
      </c>
      <c r="J195" s="46">
        <v>15</v>
      </c>
      <c r="K195" s="11" t="s">
        <v>761</v>
      </c>
      <c r="L195" s="27">
        <v>83</v>
      </c>
      <c r="M195" s="41" t="s">
        <v>987</v>
      </c>
      <c r="N195" s="80" t="s">
        <v>1620</v>
      </c>
      <c r="Q195">
        <f t="shared" ref="Q195:Q258" si="3">ABS(D195)</f>
        <v>2.9430000000000001</v>
      </c>
      <c r="S195" s="48"/>
      <c r="T195" s="73"/>
      <c r="U195" s="74"/>
    </row>
    <row r="196" spans="2:21" x14ac:dyDescent="0.35">
      <c r="B196" s="102"/>
      <c r="D196" s="37">
        <v>-4.8280000000000003</v>
      </c>
      <c r="E196" s="69">
        <v>70.948571428571427</v>
      </c>
      <c r="G196" s="35">
        <v>82</v>
      </c>
      <c r="H196" s="1" t="s">
        <v>723</v>
      </c>
      <c r="I196" s="35">
        <v>22</v>
      </c>
      <c r="J196" s="46">
        <v>21</v>
      </c>
      <c r="K196" s="11" t="s">
        <v>704</v>
      </c>
      <c r="L196" s="27">
        <v>9</v>
      </c>
      <c r="M196" s="41" t="s">
        <v>719</v>
      </c>
      <c r="N196" s="80" t="s">
        <v>1621</v>
      </c>
      <c r="Q196">
        <f t="shared" si="3"/>
        <v>4.8280000000000003</v>
      </c>
      <c r="S196" s="48"/>
      <c r="T196" s="73"/>
      <c r="U196" s="74"/>
    </row>
    <row r="197" spans="2:21" x14ac:dyDescent="0.35">
      <c r="B197" s="102"/>
      <c r="D197" s="37">
        <v>3.0230000000000001</v>
      </c>
      <c r="E197" s="69">
        <v>47.215714285714284</v>
      </c>
      <c r="G197" s="35">
        <v>46</v>
      </c>
      <c r="H197" s="1" t="s">
        <v>647</v>
      </c>
      <c r="I197" s="35">
        <v>17</v>
      </c>
      <c r="J197" s="46">
        <v>9</v>
      </c>
      <c r="K197" s="11" t="s">
        <v>722</v>
      </c>
      <c r="L197" s="27">
        <v>80</v>
      </c>
      <c r="M197" s="41" t="s">
        <v>748</v>
      </c>
      <c r="N197" s="80" t="s">
        <v>1622</v>
      </c>
      <c r="Q197">
        <f t="shared" si="3"/>
        <v>3.0230000000000001</v>
      </c>
      <c r="S197" s="48"/>
      <c r="T197" s="73"/>
      <c r="U197" s="74"/>
    </row>
    <row r="198" spans="2:21" x14ac:dyDescent="0.35">
      <c r="B198" s="102"/>
      <c r="D198" s="37">
        <v>-5.0119999999999996</v>
      </c>
      <c r="E198" s="69">
        <v>70.36571428571429</v>
      </c>
      <c r="G198" s="35">
        <v>79</v>
      </c>
      <c r="H198" s="1" t="s">
        <v>646</v>
      </c>
      <c r="I198" s="35">
        <v>15</v>
      </c>
      <c r="J198" s="46">
        <v>12</v>
      </c>
      <c r="K198" s="11" t="s">
        <v>758</v>
      </c>
      <c r="L198" s="27">
        <v>14</v>
      </c>
      <c r="M198" s="41" t="s">
        <v>934</v>
      </c>
      <c r="N198" s="80" t="s">
        <v>1623</v>
      </c>
      <c r="Q198">
        <f t="shared" si="3"/>
        <v>5.0119999999999996</v>
      </c>
      <c r="S198" s="48"/>
      <c r="T198" s="73"/>
      <c r="U198" s="74"/>
    </row>
    <row r="199" spans="2:21" x14ac:dyDescent="0.35">
      <c r="B199" s="102"/>
      <c r="D199" s="37">
        <v>-1.274</v>
      </c>
      <c r="E199" s="69">
        <v>36.624285714285719</v>
      </c>
      <c r="G199" s="35">
        <v>78</v>
      </c>
      <c r="H199" s="1" t="s">
        <v>771</v>
      </c>
      <c r="I199" s="35">
        <v>13</v>
      </c>
      <c r="J199" s="46">
        <v>10</v>
      </c>
      <c r="K199" s="11" t="s">
        <v>756</v>
      </c>
      <c r="L199" s="27">
        <v>66</v>
      </c>
      <c r="M199" s="41" t="s">
        <v>714</v>
      </c>
      <c r="N199" s="80" t="s">
        <v>1624</v>
      </c>
      <c r="Q199">
        <f t="shared" si="3"/>
        <v>1.274</v>
      </c>
      <c r="S199" s="48"/>
      <c r="T199" s="73"/>
      <c r="U199" s="74"/>
    </row>
    <row r="200" spans="2:21" x14ac:dyDescent="0.35">
      <c r="B200" s="102"/>
      <c r="D200" s="37">
        <v>-0.71599999999999997</v>
      </c>
      <c r="E200" s="69">
        <v>33.100714285714282</v>
      </c>
      <c r="G200" s="35">
        <v>77</v>
      </c>
      <c r="H200" s="1" t="s">
        <v>676</v>
      </c>
      <c r="I200" s="35">
        <v>18</v>
      </c>
      <c r="J200" s="46">
        <v>14</v>
      </c>
      <c r="K200" s="11" t="s">
        <v>738</v>
      </c>
      <c r="L200" s="27">
        <v>74</v>
      </c>
      <c r="M200" s="41" t="s">
        <v>972</v>
      </c>
      <c r="N200" s="80" t="s">
        <v>1625</v>
      </c>
      <c r="Q200">
        <f t="shared" si="3"/>
        <v>0.71599999999999997</v>
      </c>
      <c r="S200" s="48"/>
      <c r="T200" s="73"/>
      <c r="U200" s="74"/>
    </row>
    <row r="201" spans="2:21" x14ac:dyDescent="0.35">
      <c r="B201" s="102"/>
      <c r="D201" s="37">
        <v>-0.64400000000000002</v>
      </c>
      <c r="E201" s="69">
        <v>41.531428571428577</v>
      </c>
      <c r="G201" s="35">
        <v>75</v>
      </c>
      <c r="H201" s="1" t="s">
        <v>679</v>
      </c>
      <c r="I201" s="35">
        <v>14</v>
      </c>
      <c r="J201" s="46">
        <v>10</v>
      </c>
      <c r="K201" s="11" t="s">
        <v>757</v>
      </c>
      <c r="L201" s="27">
        <v>57</v>
      </c>
      <c r="M201" s="41" t="s">
        <v>789</v>
      </c>
      <c r="N201" s="80" t="s">
        <v>1626</v>
      </c>
      <c r="Q201">
        <f t="shared" si="3"/>
        <v>0.64400000000000002</v>
      </c>
      <c r="S201" s="48"/>
      <c r="T201" s="73"/>
      <c r="U201" s="74"/>
    </row>
    <row r="202" spans="2:21" x14ac:dyDescent="0.35">
      <c r="B202" s="102"/>
      <c r="D202" s="37">
        <v>-2.133</v>
      </c>
      <c r="E202" s="69">
        <v>60.541428571428568</v>
      </c>
      <c r="G202" s="35">
        <v>73</v>
      </c>
      <c r="H202" s="1" t="s">
        <v>1161</v>
      </c>
      <c r="I202" s="35">
        <v>16</v>
      </c>
      <c r="J202" s="46">
        <v>14</v>
      </c>
      <c r="K202" s="11" t="s">
        <v>645</v>
      </c>
      <c r="L202" s="27">
        <v>29</v>
      </c>
      <c r="M202" s="41" t="s">
        <v>796</v>
      </c>
      <c r="N202" s="80" t="s">
        <v>1627</v>
      </c>
      <c r="Q202">
        <f t="shared" si="3"/>
        <v>2.133</v>
      </c>
      <c r="S202" s="48"/>
      <c r="T202" s="73"/>
      <c r="U202" s="74"/>
    </row>
    <row r="203" spans="2:21" x14ac:dyDescent="0.35">
      <c r="B203" s="102"/>
      <c r="D203" s="37">
        <v>4.2060000000000004</v>
      </c>
      <c r="E203" s="69">
        <v>66.638571428571424</v>
      </c>
      <c r="G203" s="35">
        <v>13</v>
      </c>
      <c r="H203" s="1" t="s">
        <v>352</v>
      </c>
      <c r="I203" s="35">
        <v>31</v>
      </c>
      <c r="J203" s="46">
        <v>10</v>
      </c>
      <c r="K203" s="11" t="s">
        <v>634</v>
      </c>
      <c r="L203" s="27">
        <v>72</v>
      </c>
      <c r="M203" s="41" t="s">
        <v>820</v>
      </c>
      <c r="N203" s="43" t="s">
        <v>1628</v>
      </c>
      <c r="O203" s="1" t="s">
        <v>1390</v>
      </c>
      <c r="Q203">
        <f t="shared" si="3"/>
        <v>4.2060000000000004</v>
      </c>
      <c r="S203" s="48"/>
      <c r="T203" s="73"/>
      <c r="U203" s="74"/>
    </row>
    <row r="204" spans="2:21" x14ac:dyDescent="0.35">
      <c r="B204" s="102"/>
      <c r="D204" s="37">
        <v>-0.97199999999999998</v>
      </c>
      <c r="E204" s="69">
        <v>39.087142857142851</v>
      </c>
      <c r="G204" s="35">
        <v>71</v>
      </c>
      <c r="H204" s="1" t="s">
        <v>641</v>
      </c>
      <c r="I204" s="35">
        <v>19</v>
      </c>
      <c r="J204" s="46">
        <v>14</v>
      </c>
      <c r="K204" s="11" t="s">
        <v>783</v>
      </c>
      <c r="L204" s="27">
        <v>67</v>
      </c>
      <c r="M204" s="41" t="s">
        <v>754</v>
      </c>
      <c r="N204" s="80" t="s">
        <v>1629</v>
      </c>
      <c r="Q204">
        <f t="shared" si="3"/>
        <v>0.97199999999999998</v>
      </c>
      <c r="S204" s="48"/>
      <c r="T204" s="73"/>
      <c r="U204" s="74"/>
    </row>
    <row r="205" spans="2:21" x14ac:dyDescent="0.35">
      <c r="B205" s="102"/>
      <c r="D205" s="37">
        <v>2.2519999999999998</v>
      </c>
      <c r="E205" s="69">
        <v>65.534285714285716</v>
      </c>
      <c r="G205" s="35">
        <v>23</v>
      </c>
      <c r="H205" s="1" t="s">
        <v>663</v>
      </c>
      <c r="I205" s="35">
        <v>19</v>
      </c>
      <c r="J205" s="46">
        <v>11</v>
      </c>
      <c r="K205" s="11" t="s">
        <v>665</v>
      </c>
      <c r="L205" s="27">
        <v>69</v>
      </c>
      <c r="M205" s="41" t="s">
        <v>781</v>
      </c>
      <c r="N205" s="80" t="s">
        <v>1630</v>
      </c>
      <c r="Q205">
        <f t="shared" si="3"/>
        <v>2.2519999999999998</v>
      </c>
      <c r="S205" s="48"/>
      <c r="T205" s="73"/>
      <c r="U205" s="74"/>
    </row>
    <row r="206" spans="2:21" x14ac:dyDescent="0.35">
      <c r="B206" s="102"/>
      <c r="D206" s="37">
        <v>4.8010000000000002</v>
      </c>
      <c r="E206" s="69">
        <v>68.713571428571427</v>
      </c>
      <c r="G206" s="35">
        <v>10</v>
      </c>
      <c r="H206" s="1" t="s">
        <v>651</v>
      </c>
      <c r="I206" s="35">
        <v>19</v>
      </c>
      <c r="J206" s="46">
        <v>15</v>
      </c>
      <c r="K206" s="11" t="s">
        <v>1157</v>
      </c>
      <c r="L206" s="27">
        <v>68</v>
      </c>
      <c r="M206" s="41" t="s">
        <v>928</v>
      </c>
      <c r="N206" s="80" t="s">
        <v>1631</v>
      </c>
      <c r="O206" s="6" t="s">
        <v>1386</v>
      </c>
      <c r="Q206">
        <f t="shared" si="3"/>
        <v>4.8010000000000002</v>
      </c>
      <c r="S206" s="48"/>
      <c r="T206" s="73"/>
      <c r="U206" s="74"/>
    </row>
    <row r="207" spans="2:21" x14ac:dyDescent="0.35">
      <c r="B207" s="102"/>
      <c r="D207" s="37">
        <v>0.27900000000000003</v>
      </c>
      <c r="E207" s="69">
        <v>52.39</v>
      </c>
      <c r="G207" s="35">
        <v>53</v>
      </c>
      <c r="H207" s="1" t="s">
        <v>643</v>
      </c>
      <c r="I207" s="35">
        <v>19</v>
      </c>
      <c r="J207" s="46">
        <v>7</v>
      </c>
      <c r="K207" s="11" t="s">
        <v>792</v>
      </c>
      <c r="L207" s="27">
        <v>65</v>
      </c>
      <c r="M207" s="41" t="s">
        <v>748</v>
      </c>
      <c r="N207" s="43" t="s">
        <v>1632</v>
      </c>
      <c r="O207" s="1" t="s">
        <v>1390</v>
      </c>
      <c r="Q207">
        <f t="shared" si="3"/>
        <v>0.27900000000000003</v>
      </c>
      <c r="S207" s="48"/>
      <c r="T207" s="73"/>
      <c r="U207" s="74"/>
    </row>
    <row r="208" spans="2:21" x14ac:dyDescent="0.35">
      <c r="B208" s="102"/>
      <c r="D208" s="71">
        <v>-1.51</v>
      </c>
      <c r="E208" s="69">
        <v>59.292857142857144</v>
      </c>
      <c r="F208" s="72"/>
      <c r="G208" s="35">
        <v>63</v>
      </c>
      <c r="H208" s="1" t="s">
        <v>678</v>
      </c>
      <c r="I208" s="35">
        <v>14</v>
      </c>
      <c r="J208" s="46">
        <v>10</v>
      </c>
      <c r="K208" s="11" t="s">
        <v>648</v>
      </c>
      <c r="L208" s="27">
        <v>41</v>
      </c>
      <c r="M208" s="41" t="s">
        <v>793</v>
      </c>
      <c r="N208" s="80" t="s">
        <v>1633</v>
      </c>
      <c r="Q208">
        <f t="shared" si="3"/>
        <v>1.51</v>
      </c>
      <c r="S208" s="48"/>
      <c r="T208" s="73"/>
      <c r="U208" s="74"/>
    </row>
    <row r="209" spans="1:21" x14ac:dyDescent="0.35">
      <c r="B209" s="102"/>
      <c r="D209" s="37">
        <v>2.0110000000000001</v>
      </c>
      <c r="E209" s="69">
        <v>63.608214285714283</v>
      </c>
      <c r="G209" s="35">
        <v>26</v>
      </c>
      <c r="H209" s="1" t="s">
        <v>650</v>
      </c>
      <c r="I209" s="35">
        <v>25</v>
      </c>
      <c r="J209" s="46">
        <v>11</v>
      </c>
      <c r="K209" s="11" t="s">
        <v>764</v>
      </c>
      <c r="L209" s="27">
        <v>61</v>
      </c>
      <c r="M209" s="41" t="s">
        <v>1211</v>
      </c>
      <c r="N209" s="43" t="s">
        <v>1634</v>
      </c>
      <c r="O209" s="1" t="s">
        <v>1390</v>
      </c>
      <c r="Q209">
        <f t="shared" si="3"/>
        <v>2.0110000000000001</v>
      </c>
      <c r="S209" s="48"/>
      <c r="T209" s="73"/>
      <c r="U209" s="74"/>
    </row>
    <row r="210" spans="1:21" x14ac:dyDescent="0.35">
      <c r="B210" s="102"/>
      <c r="D210" s="37">
        <v>-3.3119999999999998</v>
      </c>
      <c r="E210" s="69">
        <v>74.86571428571429</v>
      </c>
      <c r="G210" s="35">
        <v>60</v>
      </c>
      <c r="H210" s="1" t="s">
        <v>753</v>
      </c>
      <c r="I210" s="35">
        <v>18</v>
      </c>
      <c r="J210" s="46">
        <v>9</v>
      </c>
      <c r="K210" s="11" t="s">
        <v>670</v>
      </c>
      <c r="L210" s="27">
        <v>17</v>
      </c>
      <c r="M210" s="41" t="s">
        <v>899</v>
      </c>
      <c r="N210" s="80" t="s">
        <v>1635</v>
      </c>
      <c r="Q210">
        <f t="shared" si="3"/>
        <v>3.3119999999999998</v>
      </c>
      <c r="S210" s="48"/>
      <c r="T210" s="73"/>
      <c r="U210" s="74"/>
    </row>
    <row r="211" spans="1:21" x14ac:dyDescent="0.35">
      <c r="B211" s="102"/>
      <c r="D211" s="37">
        <v>3.4740000000000002</v>
      </c>
      <c r="E211" s="69">
        <v>71.44714285714285</v>
      </c>
      <c r="G211" s="35">
        <v>15</v>
      </c>
      <c r="H211" s="1" t="s">
        <v>465</v>
      </c>
      <c r="I211" s="35">
        <v>19</v>
      </c>
      <c r="J211" s="46">
        <v>14</v>
      </c>
      <c r="K211" s="11" t="s">
        <v>779</v>
      </c>
      <c r="L211" s="27">
        <v>58</v>
      </c>
      <c r="M211" s="41" t="s">
        <v>806</v>
      </c>
      <c r="N211" s="80" t="s">
        <v>1636</v>
      </c>
      <c r="Q211">
        <f t="shared" si="3"/>
        <v>3.4740000000000002</v>
      </c>
      <c r="S211" s="48"/>
      <c r="T211" s="73"/>
      <c r="U211" s="74"/>
    </row>
    <row r="212" spans="1:21" x14ac:dyDescent="0.35">
      <c r="B212" s="102"/>
      <c r="D212" s="37">
        <v>-1.341</v>
      </c>
      <c r="E212" s="69">
        <v>59.172142857142852</v>
      </c>
      <c r="G212" s="35">
        <v>56</v>
      </c>
      <c r="H212" s="1" t="s">
        <v>693</v>
      </c>
      <c r="I212" s="35">
        <v>26</v>
      </c>
      <c r="J212" s="46">
        <v>9</v>
      </c>
      <c r="K212" s="11" t="s">
        <v>712</v>
      </c>
      <c r="L212" s="27">
        <v>48</v>
      </c>
      <c r="M212" s="41" t="s">
        <v>820</v>
      </c>
      <c r="N212" s="80" t="s">
        <v>1637</v>
      </c>
      <c r="Q212">
        <f t="shared" si="3"/>
        <v>1.341</v>
      </c>
      <c r="S212" s="48"/>
      <c r="T212" s="73"/>
      <c r="U212" s="74"/>
    </row>
    <row r="213" spans="1:21" x14ac:dyDescent="0.35">
      <c r="B213" s="102"/>
      <c r="D213" s="37">
        <v>-0.76300000000000001</v>
      </c>
      <c r="E213" s="69">
        <v>65.991428571428571</v>
      </c>
      <c r="G213" s="35">
        <v>54</v>
      </c>
      <c r="H213" s="1" t="s">
        <v>660</v>
      </c>
      <c r="I213" s="35">
        <v>20</v>
      </c>
      <c r="J213" s="46">
        <v>13</v>
      </c>
      <c r="K213" s="11" t="s">
        <v>671</v>
      </c>
      <c r="L213" s="27">
        <v>32</v>
      </c>
      <c r="M213" s="41" t="s">
        <v>806</v>
      </c>
      <c r="N213" s="80" t="s">
        <v>1638</v>
      </c>
      <c r="Q213">
        <f t="shared" si="3"/>
        <v>0.76300000000000001</v>
      </c>
      <c r="S213" s="48"/>
      <c r="T213" s="73"/>
      <c r="U213" s="74"/>
    </row>
    <row r="214" spans="1:21" x14ac:dyDescent="0.35">
      <c r="B214" s="102"/>
      <c r="D214" s="37">
        <v>2.2050000000000001</v>
      </c>
      <c r="E214" s="69">
        <v>71.282142857142858</v>
      </c>
      <c r="G214" s="35">
        <v>24</v>
      </c>
      <c r="H214" s="1" t="s">
        <v>661</v>
      </c>
      <c r="I214" s="35">
        <v>15</v>
      </c>
      <c r="J214" s="46">
        <v>5</v>
      </c>
      <c r="K214" s="11" t="s">
        <v>731</v>
      </c>
      <c r="L214" s="27">
        <v>52</v>
      </c>
      <c r="M214" s="41" t="s">
        <v>870</v>
      </c>
      <c r="N214" s="80" t="s">
        <v>1639</v>
      </c>
      <c r="Q214">
        <f t="shared" si="3"/>
        <v>2.2050000000000001</v>
      </c>
      <c r="S214" s="48"/>
      <c r="T214" s="73"/>
      <c r="U214" s="74"/>
    </row>
    <row r="215" spans="1:21" x14ac:dyDescent="0.35">
      <c r="B215" s="102"/>
      <c r="D215" s="37">
        <v>1.056</v>
      </c>
      <c r="E215" s="69">
        <v>67.504642857142855</v>
      </c>
      <c r="G215" s="35">
        <v>28</v>
      </c>
      <c r="H215" s="1" t="s">
        <v>666</v>
      </c>
      <c r="I215" s="35">
        <v>13</v>
      </c>
      <c r="J215" s="46">
        <v>11</v>
      </c>
      <c r="K215" s="11" t="s">
        <v>1163</v>
      </c>
      <c r="L215" s="27">
        <v>51</v>
      </c>
      <c r="M215" s="41" t="s">
        <v>710</v>
      </c>
      <c r="N215" s="80" t="s">
        <v>1640</v>
      </c>
      <c r="Q215">
        <f t="shared" si="3"/>
        <v>1.056</v>
      </c>
      <c r="S215" s="48"/>
      <c r="T215" s="73"/>
      <c r="U215" s="74"/>
    </row>
    <row r="216" spans="1:21" x14ac:dyDescent="0.35">
      <c r="B216" s="102"/>
      <c r="D216" s="37">
        <v>1.859</v>
      </c>
      <c r="E216" s="69">
        <v>71.886428571428567</v>
      </c>
      <c r="G216" s="35">
        <v>25</v>
      </c>
      <c r="H216" s="1" t="s">
        <v>718</v>
      </c>
      <c r="I216" s="35">
        <v>29</v>
      </c>
      <c r="J216" s="46">
        <v>18</v>
      </c>
      <c r="K216" s="11" t="s">
        <v>763</v>
      </c>
      <c r="L216" s="27">
        <v>50</v>
      </c>
      <c r="M216" s="41" t="s">
        <v>1641</v>
      </c>
      <c r="N216" s="80" t="s">
        <v>1642</v>
      </c>
      <c r="Q216">
        <f t="shared" si="3"/>
        <v>1.859</v>
      </c>
      <c r="S216" s="48"/>
      <c r="T216" s="73"/>
      <c r="U216" s="74"/>
    </row>
    <row r="217" spans="1:21" x14ac:dyDescent="0.35">
      <c r="B217" s="102"/>
      <c r="D217" s="71">
        <v>2.0699999999999998</v>
      </c>
      <c r="E217" s="69">
        <v>68.789285714285711</v>
      </c>
      <c r="F217" s="72"/>
      <c r="G217" s="35">
        <v>27</v>
      </c>
      <c r="H217" s="1" t="s">
        <v>630</v>
      </c>
      <c r="I217" s="35">
        <v>20</v>
      </c>
      <c r="J217" s="46">
        <v>10</v>
      </c>
      <c r="K217" s="11" t="s">
        <v>667</v>
      </c>
      <c r="L217" s="27">
        <v>47</v>
      </c>
      <c r="M217" s="41" t="s">
        <v>724</v>
      </c>
      <c r="N217" s="80" t="s">
        <v>1643</v>
      </c>
      <c r="Q217">
        <f t="shared" si="3"/>
        <v>2.0699999999999998</v>
      </c>
      <c r="S217" s="48"/>
      <c r="T217" s="73"/>
      <c r="U217" s="74"/>
    </row>
    <row r="218" spans="1:21" x14ac:dyDescent="0.35">
      <c r="B218" s="102"/>
      <c r="D218" s="37">
        <v>-0.69399999999999995</v>
      </c>
      <c r="E218" s="69">
        <v>65.540357142857147</v>
      </c>
      <c r="G218" s="35">
        <v>45</v>
      </c>
      <c r="H218" s="1" t="s">
        <v>629</v>
      </c>
      <c r="I218" s="35">
        <v>12</v>
      </c>
      <c r="J218" s="46">
        <v>10</v>
      </c>
      <c r="K218" s="11" t="s">
        <v>633</v>
      </c>
      <c r="L218" s="27">
        <v>42</v>
      </c>
      <c r="M218" s="41" t="s">
        <v>826</v>
      </c>
      <c r="N218" s="80" t="s">
        <v>1644</v>
      </c>
      <c r="Q218">
        <f t="shared" si="3"/>
        <v>0.69399999999999995</v>
      </c>
      <c r="S218" s="48"/>
      <c r="T218" s="73"/>
      <c r="U218" s="74"/>
    </row>
    <row r="219" spans="1:21" x14ac:dyDescent="0.35">
      <c r="B219" s="102"/>
      <c r="D219" s="37">
        <v>3.7829999999999999</v>
      </c>
      <c r="E219" s="69">
        <v>80.155000000000001</v>
      </c>
      <c r="G219" s="35">
        <v>5</v>
      </c>
      <c r="H219" s="1" t="s">
        <v>467</v>
      </c>
      <c r="I219" s="35">
        <v>16</v>
      </c>
      <c r="J219" s="46">
        <v>14</v>
      </c>
      <c r="K219" s="11" t="s">
        <v>673</v>
      </c>
      <c r="L219" s="27">
        <v>43</v>
      </c>
      <c r="M219" s="41" t="s">
        <v>831</v>
      </c>
      <c r="N219" s="80" t="s">
        <v>1645</v>
      </c>
      <c r="Q219">
        <f t="shared" si="3"/>
        <v>3.7829999999999999</v>
      </c>
      <c r="S219" s="48"/>
      <c r="T219" s="73"/>
      <c r="U219" s="74"/>
    </row>
    <row r="220" spans="1:21" x14ac:dyDescent="0.35">
      <c r="A220" s="2" t="s">
        <v>1646</v>
      </c>
      <c r="B220" s="102"/>
      <c r="D220" s="37">
        <v>0.315</v>
      </c>
      <c r="E220" s="69">
        <v>68.033928571428575</v>
      </c>
      <c r="G220" s="35">
        <v>39</v>
      </c>
      <c r="H220" s="1" t="s">
        <v>642</v>
      </c>
      <c r="I220" s="35">
        <v>20</v>
      </c>
      <c r="J220" s="46">
        <v>11</v>
      </c>
      <c r="K220" s="11" t="s">
        <v>750</v>
      </c>
      <c r="L220" s="27">
        <v>40</v>
      </c>
      <c r="M220" s="41" t="s">
        <v>759</v>
      </c>
      <c r="N220" s="43" t="s">
        <v>1647</v>
      </c>
      <c r="O220" s="1" t="s">
        <v>1390</v>
      </c>
      <c r="Q220">
        <f t="shared" si="3"/>
        <v>0.315</v>
      </c>
      <c r="S220" s="48"/>
      <c r="T220" s="73"/>
      <c r="U220" s="74"/>
    </row>
    <row r="221" spans="1:21" x14ac:dyDescent="0.35">
      <c r="B221" s="102"/>
      <c r="D221" s="37">
        <v>2.9969999999999999</v>
      </c>
      <c r="E221" s="69">
        <v>82.502142857142857</v>
      </c>
      <c r="G221" s="35">
        <v>6</v>
      </c>
      <c r="H221" s="1" t="s">
        <v>328</v>
      </c>
      <c r="I221" s="35">
        <v>11</v>
      </c>
      <c r="J221" s="46">
        <v>9</v>
      </c>
      <c r="K221" s="11" t="s">
        <v>652</v>
      </c>
      <c r="L221" s="27">
        <v>37</v>
      </c>
      <c r="M221" s="41" t="s">
        <v>1648</v>
      </c>
      <c r="N221" s="80" t="s">
        <v>1649</v>
      </c>
      <c r="Q221">
        <f t="shared" si="3"/>
        <v>2.9969999999999999</v>
      </c>
      <c r="S221" s="48"/>
      <c r="T221" s="73"/>
      <c r="U221" s="74"/>
    </row>
    <row r="222" spans="1:21" x14ac:dyDescent="0.35">
      <c r="B222" s="102"/>
      <c r="D222" s="37">
        <v>-0.66800000000000004</v>
      </c>
      <c r="E222" s="69">
        <v>81.191428571428574</v>
      </c>
      <c r="G222" s="35">
        <v>36</v>
      </c>
      <c r="H222" s="1" t="s">
        <v>334</v>
      </c>
      <c r="I222" s="35">
        <v>24</v>
      </c>
      <c r="J222" s="46">
        <v>10</v>
      </c>
      <c r="K222" s="11" t="s">
        <v>632</v>
      </c>
      <c r="L222" s="27">
        <v>18</v>
      </c>
      <c r="M222" s="41" t="s">
        <v>859</v>
      </c>
      <c r="N222" s="43" t="s">
        <v>1650</v>
      </c>
      <c r="O222" s="1" t="s">
        <v>1390</v>
      </c>
      <c r="Q222">
        <f t="shared" si="3"/>
        <v>0.66800000000000004</v>
      </c>
      <c r="S222" s="48"/>
      <c r="T222" s="73"/>
      <c r="U222" s="74"/>
    </row>
    <row r="223" spans="1:21" x14ac:dyDescent="0.35">
      <c r="B223" s="102"/>
      <c r="D223" s="37">
        <v>2.6139999999999999</v>
      </c>
      <c r="E223" s="69">
        <v>90.632857142857134</v>
      </c>
      <c r="G223" s="35">
        <v>2</v>
      </c>
      <c r="H223" s="1" t="s">
        <v>747</v>
      </c>
      <c r="I223" s="35">
        <v>18</v>
      </c>
      <c r="J223" s="46">
        <v>7</v>
      </c>
      <c r="K223" s="11" t="s">
        <v>742</v>
      </c>
      <c r="L223" s="27">
        <v>22</v>
      </c>
      <c r="M223" s="41" t="s">
        <v>724</v>
      </c>
      <c r="N223" s="43" t="s">
        <v>1651</v>
      </c>
      <c r="O223" s="1" t="s">
        <v>1390</v>
      </c>
      <c r="Q223">
        <f t="shared" si="3"/>
        <v>2.6139999999999999</v>
      </c>
      <c r="S223" s="48"/>
      <c r="T223" s="73"/>
      <c r="U223" s="74"/>
    </row>
    <row r="224" spans="1:21" x14ac:dyDescent="0.35">
      <c r="B224" s="102"/>
      <c r="D224" s="37">
        <v>0.441</v>
      </c>
      <c r="E224" s="69">
        <v>89.685000000000002</v>
      </c>
      <c r="G224" s="35">
        <v>12</v>
      </c>
      <c r="H224" s="1" t="s">
        <v>664</v>
      </c>
      <c r="I224" s="35">
        <v>22</v>
      </c>
      <c r="J224" s="46">
        <v>10</v>
      </c>
      <c r="K224" s="11" t="s">
        <v>681</v>
      </c>
      <c r="L224" s="27">
        <v>20</v>
      </c>
      <c r="M224" s="41" t="s">
        <v>820</v>
      </c>
      <c r="N224" s="43" t="s">
        <v>1652</v>
      </c>
      <c r="O224" s="1" t="s">
        <v>1390</v>
      </c>
      <c r="Q224">
        <f t="shared" si="3"/>
        <v>0.441</v>
      </c>
      <c r="S224" s="48"/>
      <c r="T224" s="73"/>
      <c r="U224" s="74"/>
    </row>
    <row r="225" spans="1:21" ht="15" thickBot="1" x14ac:dyDescent="0.4">
      <c r="B225" s="102"/>
      <c r="C225" s="51"/>
      <c r="D225" s="75">
        <v>2.3E-2</v>
      </c>
      <c r="E225" s="76">
        <v>94.046071428571437</v>
      </c>
      <c r="F225" s="49"/>
      <c r="G225" s="49">
        <v>8</v>
      </c>
      <c r="H225" s="45" t="s">
        <v>649</v>
      </c>
      <c r="I225" s="49">
        <v>14</v>
      </c>
      <c r="J225" s="50">
        <v>11</v>
      </c>
      <c r="K225" s="51" t="s">
        <v>780</v>
      </c>
      <c r="L225" s="77">
        <v>11</v>
      </c>
      <c r="M225" s="40" t="s">
        <v>839</v>
      </c>
      <c r="N225" s="40" t="s">
        <v>1653</v>
      </c>
      <c r="O225" s="78"/>
      <c r="P225" s="78" t="s">
        <v>1654</v>
      </c>
      <c r="Q225">
        <f t="shared" si="3"/>
        <v>2.3E-2</v>
      </c>
      <c r="S225" s="48"/>
      <c r="T225" s="73"/>
      <c r="U225" s="74"/>
    </row>
    <row r="226" spans="1:21" x14ac:dyDescent="0.35">
      <c r="A226" s="2" t="s">
        <v>1655</v>
      </c>
      <c r="B226" s="102" t="s">
        <v>1102</v>
      </c>
      <c r="C226" s="11" t="s">
        <v>1656</v>
      </c>
      <c r="D226" s="71">
        <v>4.0976923738486866</v>
      </c>
      <c r="E226" s="69">
        <v>59.312977977558745</v>
      </c>
      <c r="F226" s="72" t="s">
        <v>129</v>
      </c>
      <c r="G226" s="35">
        <v>25</v>
      </c>
      <c r="H226" s="1" t="s">
        <v>465</v>
      </c>
      <c r="I226" s="35">
        <v>20</v>
      </c>
      <c r="J226" s="46">
        <v>16</v>
      </c>
      <c r="K226" s="11" t="s">
        <v>743</v>
      </c>
      <c r="L226" s="27">
        <v>88</v>
      </c>
      <c r="M226" t="s">
        <v>910</v>
      </c>
      <c r="N226" t="s">
        <v>1657</v>
      </c>
      <c r="P226" s="81"/>
      <c r="Q226">
        <f t="shared" si="3"/>
        <v>4.0976923738486866</v>
      </c>
      <c r="S226" s="48"/>
      <c r="T226" s="73"/>
      <c r="U226" s="74"/>
    </row>
    <row r="227" spans="1:21" x14ac:dyDescent="0.35">
      <c r="B227" s="102"/>
      <c r="C227" s="11" t="s">
        <v>1656</v>
      </c>
      <c r="D227" s="71">
        <v>-2.4308867201537554</v>
      </c>
      <c r="E227" s="69">
        <v>42.714309654960367</v>
      </c>
      <c r="F227" s="72" t="s">
        <v>231</v>
      </c>
      <c r="G227" s="35">
        <v>100</v>
      </c>
      <c r="H227" s="1" t="s">
        <v>716</v>
      </c>
      <c r="I227" s="35">
        <v>15</v>
      </c>
      <c r="J227" s="46">
        <v>8</v>
      </c>
      <c r="K227" s="11" t="s">
        <v>645</v>
      </c>
      <c r="L227" s="27">
        <v>56</v>
      </c>
      <c r="M227" t="s">
        <v>821</v>
      </c>
      <c r="N227" t="s">
        <v>1658</v>
      </c>
      <c r="P227" s="81"/>
      <c r="Q227">
        <f t="shared" si="3"/>
        <v>2.4308867201537554</v>
      </c>
      <c r="S227" s="48"/>
      <c r="T227" s="73"/>
      <c r="U227" s="74"/>
    </row>
    <row r="228" spans="1:21" x14ac:dyDescent="0.35">
      <c r="B228" s="102"/>
      <c r="C228" s="11" t="s">
        <v>1656</v>
      </c>
      <c r="D228" s="71">
        <v>2.372355179816438</v>
      </c>
      <c r="E228" s="69">
        <v>26.648204379266105</v>
      </c>
      <c r="F228" s="72" t="s">
        <v>231</v>
      </c>
      <c r="G228" s="35">
        <v>75</v>
      </c>
      <c r="H228" s="1" t="s">
        <v>774</v>
      </c>
      <c r="I228" s="35">
        <v>23</v>
      </c>
      <c r="J228" s="46">
        <v>20</v>
      </c>
      <c r="K228" s="11" t="s">
        <v>722</v>
      </c>
      <c r="L228" s="27">
        <v>96</v>
      </c>
      <c r="M228" t="s">
        <v>851</v>
      </c>
      <c r="N228" t="s">
        <v>1659</v>
      </c>
      <c r="P228" s="81"/>
      <c r="Q228">
        <f t="shared" si="3"/>
        <v>2.372355179816438</v>
      </c>
      <c r="S228" s="48"/>
      <c r="T228" s="73"/>
      <c r="U228" s="74"/>
    </row>
    <row r="229" spans="1:21" x14ac:dyDescent="0.35">
      <c r="B229" s="102"/>
      <c r="C229" s="11" t="s">
        <v>1656</v>
      </c>
      <c r="D229" s="71">
        <v>6.5929569283100484</v>
      </c>
      <c r="E229" s="69">
        <v>40.432228919563265</v>
      </c>
      <c r="F229" s="72" t="s">
        <v>231</v>
      </c>
      <c r="G229" s="35">
        <v>38</v>
      </c>
      <c r="H229" s="1" t="s">
        <v>629</v>
      </c>
      <c r="I229" s="35">
        <v>26</v>
      </c>
      <c r="J229" s="46">
        <v>24</v>
      </c>
      <c r="K229" s="11" t="s">
        <v>776</v>
      </c>
      <c r="L229" s="27">
        <v>108</v>
      </c>
      <c r="M229" t="s">
        <v>1007</v>
      </c>
      <c r="N229" t="s">
        <v>1660</v>
      </c>
      <c r="O229" s="6" t="s">
        <v>1386</v>
      </c>
      <c r="P229" s="81" t="s">
        <v>1661</v>
      </c>
      <c r="Q229">
        <f t="shared" si="3"/>
        <v>6.5929569283100484</v>
      </c>
      <c r="S229" s="48"/>
      <c r="T229" s="73"/>
      <c r="U229" s="74"/>
    </row>
    <row r="230" spans="1:21" x14ac:dyDescent="0.35">
      <c r="B230" s="102"/>
      <c r="C230" s="11" t="s">
        <v>1656</v>
      </c>
      <c r="D230" s="71">
        <v>-0.40279740055741559</v>
      </c>
      <c r="E230" s="69">
        <v>9.6275925403742626</v>
      </c>
      <c r="F230" s="72" t="s">
        <v>231</v>
      </c>
      <c r="G230" s="35">
        <v>112</v>
      </c>
      <c r="H230" s="1" t="s">
        <v>737</v>
      </c>
      <c r="I230" s="35">
        <v>19</v>
      </c>
      <c r="J230" s="46">
        <v>8</v>
      </c>
      <c r="K230" s="11" t="s">
        <v>760</v>
      </c>
      <c r="L230" s="27">
        <v>104</v>
      </c>
      <c r="M230" t="s">
        <v>748</v>
      </c>
      <c r="N230" t="s">
        <v>1662</v>
      </c>
      <c r="P230" s="81"/>
      <c r="Q230">
        <f t="shared" si="3"/>
        <v>0.40279740055741559</v>
      </c>
      <c r="S230" s="48"/>
      <c r="T230" s="73"/>
      <c r="U230" s="74"/>
    </row>
    <row r="231" spans="1:21" x14ac:dyDescent="0.35">
      <c r="A231" s="2" t="s">
        <v>1663</v>
      </c>
      <c r="B231" s="102"/>
      <c r="C231" s="11" t="s">
        <v>1656</v>
      </c>
      <c r="D231" s="71">
        <v>-7.4594561461542502E-2</v>
      </c>
      <c r="E231" s="69">
        <v>55.106334919838474</v>
      </c>
      <c r="F231" s="72" t="s">
        <v>231</v>
      </c>
      <c r="G231" s="35">
        <v>67</v>
      </c>
      <c r="H231" s="1" t="s">
        <v>771</v>
      </c>
      <c r="I231" s="35">
        <v>18</v>
      </c>
      <c r="J231" s="46">
        <v>2</v>
      </c>
      <c r="K231" s="11" t="s">
        <v>678</v>
      </c>
      <c r="L231" s="27">
        <v>52</v>
      </c>
      <c r="M231" t="s">
        <v>1508</v>
      </c>
      <c r="N231" s="1" t="s">
        <v>1664</v>
      </c>
      <c r="O231" s="1" t="s">
        <v>1390</v>
      </c>
      <c r="P231" s="81"/>
      <c r="Q231">
        <f t="shared" si="3"/>
        <v>7.4594561461542502E-2</v>
      </c>
      <c r="S231" s="48"/>
      <c r="T231" s="73"/>
      <c r="U231" s="74"/>
    </row>
    <row r="232" spans="1:21" x14ac:dyDescent="0.35">
      <c r="B232" s="102"/>
      <c r="C232" s="11" t="s">
        <v>1656</v>
      </c>
      <c r="D232" s="71">
        <v>-1.6334021349186547</v>
      </c>
      <c r="E232" s="69">
        <v>22.203855719159669</v>
      </c>
      <c r="F232" s="72" t="s">
        <v>129</v>
      </c>
      <c r="G232" s="35">
        <v>99</v>
      </c>
      <c r="H232" s="1" t="s">
        <v>777</v>
      </c>
      <c r="I232" s="35">
        <v>20</v>
      </c>
      <c r="J232" s="46">
        <v>13</v>
      </c>
      <c r="K232" s="11" t="s">
        <v>1156</v>
      </c>
      <c r="L232" s="27">
        <v>89</v>
      </c>
      <c r="M232" t="s">
        <v>910</v>
      </c>
      <c r="N232" t="s">
        <v>1665</v>
      </c>
      <c r="P232" s="81"/>
      <c r="Q232">
        <f t="shared" si="3"/>
        <v>1.6334021349186547</v>
      </c>
      <c r="S232" s="48"/>
      <c r="T232" s="73"/>
      <c r="U232" s="74"/>
    </row>
    <row r="233" spans="1:21" x14ac:dyDescent="0.35">
      <c r="B233" s="102"/>
      <c r="C233" s="11" t="s">
        <v>1656</v>
      </c>
      <c r="D233" s="71">
        <v>-1.8229112471496807</v>
      </c>
      <c r="E233" s="69">
        <v>83.766811837371932</v>
      </c>
      <c r="F233" s="72" t="s">
        <v>231</v>
      </c>
      <c r="G233" s="35">
        <v>40</v>
      </c>
      <c r="H233" s="1" t="s">
        <v>660</v>
      </c>
      <c r="I233" s="35">
        <v>23</v>
      </c>
      <c r="J233" s="46">
        <v>6</v>
      </c>
      <c r="K233" s="11" t="s">
        <v>664</v>
      </c>
      <c r="L233" s="27">
        <v>12</v>
      </c>
      <c r="M233" t="s">
        <v>1006</v>
      </c>
      <c r="N233" s="1" t="s">
        <v>1666</v>
      </c>
      <c r="O233" s="1" t="s">
        <v>1390</v>
      </c>
      <c r="P233" s="81"/>
      <c r="Q233">
        <f t="shared" si="3"/>
        <v>1.8229112471496807</v>
      </c>
      <c r="S233" s="48"/>
      <c r="T233" s="73"/>
      <c r="U233" s="74"/>
    </row>
    <row r="234" spans="1:21" x14ac:dyDescent="0.35">
      <c r="B234" s="102"/>
      <c r="C234" s="11" t="s">
        <v>1656</v>
      </c>
      <c r="D234" s="71">
        <v>-0.96110796856701231</v>
      </c>
      <c r="E234" s="69">
        <v>30.145315350323564</v>
      </c>
      <c r="F234" s="72" t="s">
        <v>231</v>
      </c>
      <c r="G234" s="35">
        <v>97</v>
      </c>
      <c r="H234" s="1" t="s">
        <v>1162</v>
      </c>
      <c r="I234" s="35">
        <v>23</v>
      </c>
      <c r="J234" s="46">
        <v>13</v>
      </c>
      <c r="K234" s="11" t="s">
        <v>763</v>
      </c>
      <c r="L234" s="27">
        <v>71</v>
      </c>
      <c r="M234" t="s">
        <v>987</v>
      </c>
      <c r="N234" t="s">
        <v>1667</v>
      </c>
      <c r="P234" s="81"/>
      <c r="Q234">
        <f t="shared" si="3"/>
        <v>0.96110796856701231</v>
      </c>
      <c r="S234" s="48"/>
      <c r="T234" s="73"/>
      <c r="U234" s="74"/>
    </row>
    <row r="235" spans="1:21" x14ac:dyDescent="0.35">
      <c r="B235" s="102"/>
      <c r="C235" s="11" t="s">
        <v>1656</v>
      </c>
      <c r="D235" s="71">
        <v>0.53018551614390108</v>
      </c>
      <c r="E235" s="69">
        <v>27.465446867731956</v>
      </c>
      <c r="F235" s="72" t="s">
        <v>129</v>
      </c>
      <c r="G235" s="35">
        <v>78</v>
      </c>
      <c r="H235" s="1" t="s">
        <v>712</v>
      </c>
      <c r="I235" s="35">
        <v>17</v>
      </c>
      <c r="J235" s="46">
        <v>11</v>
      </c>
      <c r="K235" s="11" t="s">
        <v>582</v>
      </c>
      <c r="L235" s="27">
        <v>94</v>
      </c>
      <c r="M235" t="s">
        <v>705</v>
      </c>
      <c r="N235" t="s">
        <v>1668</v>
      </c>
      <c r="P235" s="81"/>
      <c r="Q235">
        <f t="shared" si="3"/>
        <v>0.53018551614390108</v>
      </c>
      <c r="S235" s="48"/>
      <c r="T235" s="73"/>
      <c r="U235" s="74"/>
    </row>
    <row r="236" spans="1:21" x14ac:dyDescent="0.35">
      <c r="B236" s="102"/>
      <c r="C236" s="11" t="s">
        <v>1656</v>
      </c>
      <c r="D236" s="71">
        <v>-0.9553679959634116</v>
      </c>
      <c r="E236" s="69">
        <v>61.740568511575432</v>
      </c>
      <c r="F236" s="72" t="s">
        <v>129</v>
      </c>
      <c r="G236" s="35">
        <v>46</v>
      </c>
      <c r="H236" s="1" t="s">
        <v>753</v>
      </c>
      <c r="I236" s="35">
        <v>15</v>
      </c>
      <c r="J236" s="46">
        <v>10</v>
      </c>
      <c r="K236" s="11" t="s">
        <v>742</v>
      </c>
      <c r="L236" s="27">
        <v>57</v>
      </c>
      <c r="M236" t="s">
        <v>839</v>
      </c>
      <c r="N236" t="s">
        <v>1669</v>
      </c>
      <c r="P236" s="81"/>
      <c r="Q236">
        <f t="shared" si="3"/>
        <v>0.9553679959634116</v>
      </c>
      <c r="S236" s="48"/>
      <c r="T236" s="73"/>
      <c r="U236" s="74"/>
    </row>
    <row r="237" spans="1:21" x14ac:dyDescent="0.35">
      <c r="B237" s="102"/>
      <c r="C237" s="11" t="s">
        <v>1656</v>
      </c>
      <c r="D237" s="71">
        <v>-2.1534292143470677</v>
      </c>
      <c r="E237" s="69">
        <v>35.981588186775895</v>
      </c>
      <c r="F237" s="72" t="s">
        <v>129</v>
      </c>
      <c r="G237" s="35">
        <v>86</v>
      </c>
      <c r="H237" s="1" t="s">
        <v>784</v>
      </c>
      <c r="I237" s="35">
        <v>12</v>
      </c>
      <c r="J237" s="46">
        <v>10</v>
      </c>
      <c r="K237" s="11" t="s">
        <v>646</v>
      </c>
      <c r="L237" s="27">
        <v>70</v>
      </c>
      <c r="M237" t="s">
        <v>870</v>
      </c>
      <c r="N237" t="s">
        <v>1670</v>
      </c>
      <c r="P237" s="81"/>
      <c r="Q237">
        <f t="shared" si="3"/>
        <v>2.1534292143470677</v>
      </c>
      <c r="S237" s="48"/>
      <c r="T237" s="73"/>
      <c r="U237" s="74"/>
    </row>
    <row r="238" spans="1:21" x14ac:dyDescent="0.35">
      <c r="B238" s="102"/>
      <c r="C238" s="11" t="s">
        <v>1656</v>
      </c>
      <c r="D238" s="71">
        <v>2.673535229184874</v>
      </c>
      <c r="E238" s="69">
        <v>47.595983488975868</v>
      </c>
      <c r="F238" s="72" t="s">
        <v>231</v>
      </c>
      <c r="G238" s="35">
        <v>53</v>
      </c>
      <c r="H238" s="1" t="s">
        <v>772</v>
      </c>
      <c r="I238" s="35">
        <v>19</v>
      </c>
      <c r="J238" s="46">
        <v>5</v>
      </c>
      <c r="K238" s="11" t="s">
        <v>756</v>
      </c>
      <c r="L238" s="27">
        <v>81</v>
      </c>
      <c r="M238" t="s">
        <v>775</v>
      </c>
      <c r="N238" s="1" t="s">
        <v>1671</v>
      </c>
      <c r="O238" s="1" t="s">
        <v>1390</v>
      </c>
      <c r="P238" s="81"/>
      <c r="Q238">
        <f t="shared" si="3"/>
        <v>2.673535229184874</v>
      </c>
      <c r="S238" s="48"/>
      <c r="T238" s="73"/>
      <c r="U238" s="74"/>
    </row>
    <row r="239" spans="1:21" x14ac:dyDescent="0.35">
      <c r="B239" s="102"/>
      <c r="C239" s="11" t="s">
        <v>1656</v>
      </c>
      <c r="D239" s="71">
        <v>0.25342601461465847</v>
      </c>
      <c r="E239" s="69">
        <v>71.12627110447302</v>
      </c>
      <c r="F239" s="72" t="s">
        <v>231</v>
      </c>
      <c r="G239" s="35">
        <v>41</v>
      </c>
      <c r="H239" s="1" t="s">
        <v>680</v>
      </c>
      <c r="I239" s="35">
        <v>17</v>
      </c>
      <c r="J239" s="46">
        <v>14</v>
      </c>
      <c r="K239" s="11" t="s">
        <v>693</v>
      </c>
      <c r="L239" s="27">
        <v>35</v>
      </c>
      <c r="M239" t="s">
        <v>928</v>
      </c>
      <c r="N239" t="s">
        <v>1672</v>
      </c>
      <c r="P239" s="81"/>
      <c r="Q239">
        <f t="shared" si="3"/>
        <v>0.25342601461465847</v>
      </c>
      <c r="S239" s="48"/>
      <c r="T239" s="73"/>
      <c r="U239" s="74"/>
    </row>
    <row r="240" spans="1:21" x14ac:dyDescent="0.35">
      <c r="B240" s="102"/>
      <c r="C240" s="11" t="s">
        <v>1656</v>
      </c>
      <c r="D240" s="71">
        <v>-1.7441537170456316</v>
      </c>
      <c r="E240" s="69">
        <v>42.840717495730651</v>
      </c>
      <c r="F240" s="72" t="s">
        <v>129</v>
      </c>
      <c r="G240" s="35">
        <v>77</v>
      </c>
      <c r="H240" s="1" t="s">
        <v>779</v>
      </c>
      <c r="I240" s="35">
        <v>23</v>
      </c>
      <c r="J240" s="46">
        <v>15</v>
      </c>
      <c r="K240" s="11" t="s">
        <v>673</v>
      </c>
      <c r="L240" s="27">
        <v>62</v>
      </c>
      <c r="M240" t="s">
        <v>920</v>
      </c>
      <c r="N240" t="s">
        <v>1673</v>
      </c>
      <c r="P240" s="81"/>
      <c r="Q240">
        <f t="shared" si="3"/>
        <v>1.7441537170456316</v>
      </c>
      <c r="S240" s="48"/>
      <c r="T240" s="73"/>
      <c r="U240" s="74"/>
    </row>
    <row r="241" spans="1:21" x14ac:dyDescent="0.35">
      <c r="B241" s="102"/>
      <c r="C241" s="11" t="s">
        <v>1656</v>
      </c>
      <c r="D241" s="71">
        <v>1.3793707795578676</v>
      </c>
      <c r="E241" s="69">
        <v>52.241708190868287</v>
      </c>
      <c r="F241" s="72" t="s">
        <v>129</v>
      </c>
      <c r="G241" s="35">
        <v>45</v>
      </c>
      <c r="H241" s="1" t="s">
        <v>677</v>
      </c>
      <c r="I241" s="35">
        <v>23</v>
      </c>
      <c r="J241" s="46">
        <v>11</v>
      </c>
      <c r="K241" s="11" t="s">
        <v>751</v>
      </c>
      <c r="L241" s="27">
        <v>79</v>
      </c>
      <c r="M241" t="s">
        <v>793</v>
      </c>
      <c r="N241" s="1" t="s">
        <v>1674</v>
      </c>
      <c r="O241" s="1" t="s">
        <v>1390</v>
      </c>
      <c r="P241" s="81"/>
      <c r="Q241">
        <f t="shared" si="3"/>
        <v>1.3793707795578676</v>
      </c>
      <c r="S241" s="48"/>
      <c r="T241" s="73"/>
      <c r="U241" s="74"/>
    </row>
    <row r="242" spans="1:21" x14ac:dyDescent="0.35">
      <c r="B242" s="102"/>
      <c r="C242" s="11" t="s">
        <v>1656</v>
      </c>
      <c r="D242" s="71">
        <v>-2.2261523821258851</v>
      </c>
      <c r="E242" s="69">
        <v>34.351845170855967</v>
      </c>
      <c r="F242" s="72" t="s">
        <v>129</v>
      </c>
      <c r="G242" s="35">
        <v>92</v>
      </c>
      <c r="H242" s="1" t="s">
        <v>634</v>
      </c>
      <c r="I242" s="35">
        <v>19</v>
      </c>
      <c r="J242" s="46">
        <v>15</v>
      </c>
      <c r="K242" s="11" t="s">
        <v>1163</v>
      </c>
      <c r="L242" s="27">
        <v>68</v>
      </c>
      <c r="M242" t="s">
        <v>702</v>
      </c>
      <c r="N242" t="s">
        <v>1675</v>
      </c>
      <c r="P242" s="81"/>
      <c r="Q242">
        <f t="shared" si="3"/>
        <v>2.2261523821258851</v>
      </c>
      <c r="S242" s="48"/>
      <c r="T242" s="73"/>
      <c r="U242" s="74"/>
    </row>
    <row r="243" spans="1:21" x14ac:dyDescent="0.35">
      <c r="B243" s="102"/>
      <c r="C243" s="11" t="s">
        <v>1656</v>
      </c>
      <c r="D243" s="71">
        <v>7.9622041244941375</v>
      </c>
      <c r="E243" s="69">
        <v>41.401270087839656</v>
      </c>
      <c r="F243" s="72" t="s">
        <v>231</v>
      </c>
      <c r="G243" s="35">
        <v>31</v>
      </c>
      <c r="H243" s="1" t="s">
        <v>672</v>
      </c>
      <c r="I243" s="35">
        <v>22</v>
      </c>
      <c r="J243" s="46">
        <v>15</v>
      </c>
      <c r="K243" s="11" t="s">
        <v>706</v>
      </c>
      <c r="L243" s="27">
        <v>110</v>
      </c>
      <c r="M243" t="s">
        <v>831</v>
      </c>
      <c r="N243" t="s">
        <v>1676</v>
      </c>
      <c r="P243" s="81"/>
      <c r="Q243">
        <f t="shared" si="3"/>
        <v>7.9622041244941375</v>
      </c>
      <c r="S243" s="48"/>
      <c r="T243" s="73"/>
      <c r="U243" s="74"/>
    </row>
    <row r="244" spans="1:21" x14ac:dyDescent="0.35">
      <c r="B244" s="102"/>
      <c r="C244" s="11" t="s">
        <v>1656</v>
      </c>
      <c r="D244" s="71">
        <v>-0.55362821880636903</v>
      </c>
      <c r="E244" s="69">
        <v>43.719936089769995</v>
      </c>
      <c r="F244" s="72" t="s">
        <v>129</v>
      </c>
      <c r="G244" s="35">
        <v>66</v>
      </c>
      <c r="H244" s="1" t="s">
        <v>635</v>
      </c>
      <c r="I244" s="35">
        <v>15</v>
      </c>
      <c r="J244" s="46">
        <v>9</v>
      </c>
      <c r="K244" s="11" t="s">
        <v>726</v>
      </c>
      <c r="L244" s="27">
        <v>69</v>
      </c>
      <c r="M244" t="s">
        <v>789</v>
      </c>
      <c r="N244" t="s">
        <v>1677</v>
      </c>
      <c r="P244" s="81"/>
      <c r="Q244">
        <f t="shared" si="3"/>
        <v>0.55362821880636903</v>
      </c>
      <c r="S244" s="48"/>
      <c r="T244" s="73"/>
      <c r="U244" s="74"/>
    </row>
    <row r="245" spans="1:21" ht="15" thickBot="1" x14ac:dyDescent="0.4">
      <c r="B245" s="102"/>
      <c r="C245" s="51" t="s">
        <v>1656</v>
      </c>
      <c r="D245" s="82">
        <v>-1.342812007506168</v>
      </c>
      <c r="E245" s="76">
        <v>8.5801737764684241</v>
      </c>
      <c r="F245" s="83" t="s">
        <v>129</v>
      </c>
      <c r="G245" s="49">
        <v>111</v>
      </c>
      <c r="H245" s="45" t="s">
        <v>700</v>
      </c>
      <c r="I245" s="49">
        <v>19</v>
      </c>
      <c r="J245" s="50">
        <v>11</v>
      </c>
      <c r="K245" s="51" t="s">
        <v>639</v>
      </c>
      <c r="L245" s="77">
        <v>109</v>
      </c>
      <c r="M245" s="40" t="s">
        <v>789</v>
      </c>
      <c r="N245" s="40" t="s">
        <v>1678</v>
      </c>
      <c r="O245" s="78"/>
      <c r="P245" s="84"/>
      <c r="Q245">
        <f t="shared" si="3"/>
        <v>1.342812007506168</v>
      </c>
      <c r="S245" s="48"/>
      <c r="T245" s="73"/>
      <c r="U245" s="74"/>
    </row>
    <row r="246" spans="1:21" x14ac:dyDescent="0.35">
      <c r="B246" s="102" t="s">
        <v>1103</v>
      </c>
      <c r="C246" s="11" t="s">
        <v>1679</v>
      </c>
      <c r="D246" s="37">
        <v>7.0519603630342367</v>
      </c>
      <c r="E246" s="69">
        <v>39.621512893919387</v>
      </c>
      <c r="G246" s="35">
        <v>39</v>
      </c>
      <c r="H246" s="1" t="s">
        <v>758</v>
      </c>
      <c r="I246" s="35">
        <v>27</v>
      </c>
      <c r="J246" s="46">
        <v>9</v>
      </c>
      <c r="K246" s="11" t="s">
        <v>701</v>
      </c>
      <c r="L246" s="27">
        <v>105</v>
      </c>
      <c r="M246" t="s">
        <v>986</v>
      </c>
      <c r="N246" t="s">
        <v>1680</v>
      </c>
      <c r="Q246">
        <f t="shared" si="3"/>
        <v>7.0519603630342367</v>
      </c>
      <c r="S246" s="48"/>
      <c r="T246" s="73"/>
      <c r="U246" s="74"/>
    </row>
    <row r="247" spans="1:21" x14ac:dyDescent="0.35">
      <c r="B247" s="102"/>
      <c r="C247" s="11" t="s">
        <v>1679</v>
      </c>
      <c r="D247" s="71">
        <v>1.9632901564194736</v>
      </c>
      <c r="E247" s="69">
        <v>48.125172464169509</v>
      </c>
      <c r="F247" s="72"/>
      <c r="G247" s="35">
        <v>40</v>
      </c>
      <c r="H247" s="1" t="s">
        <v>660</v>
      </c>
      <c r="I247" s="35">
        <v>12</v>
      </c>
      <c r="J247" s="46">
        <v>11</v>
      </c>
      <c r="K247" s="11" t="s">
        <v>738</v>
      </c>
      <c r="L247" s="27">
        <v>91</v>
      </c>
      <c r="M247" t="s">
        <v>826</v>
      </c>
      <c r="N247" t="s">
        <v>1681</v>
      </c>
      <c r="Q247">
        <f t="shared" si="3"/>
        <v>1.9632901564194736</v>
      </c>
      <c r="S247" s="48"/>
      <c r="T247" s="73"/>
      <c r="U247" s="74"/>
    </row>
    <row r="248" spans="1:21" x14ac:dyDescent="0.35">
      <c r="B248" s="102"/>
      <c r="C248" s="11" t="s">
        <v>1679</v>
      </c>
      <c r="D248" s="71">
        <v>3.7490102009635349</v>
      </c>
      <c r="E248" s="69">
        <v>63.486393005053579</v>
      </c>
      <c r="F248" s="72"/>
      <c r="G248" s="35">
        <v>27</v>
      </c>
      <c r="H248" s="1" t="s">
        <v>765</v>
      </c>
      <c r="I248" s="35">
        <v>24</v>
      </c>
      <c r="J248" s="46">
        <v>9</v>
      </c>
      <c r="K248" s="11" t="s">
        <v>723</v>
      </c>
      <c r="L248" s="27">
        <v>61</v>
      </c>
      <c r="M248" t="s">
        <v>823</v>
      </c>
      <c r="N248" s="1" t="s">
        <v>1682</v>
      </c>
      <c r="O248" s="1" t="s">
        <v>1390</v>
      </c>
      <c r="Q248">
        <f t="shared" si="3"/>
        <v>3.7490102009635349</v>
      </c>
      <c r="S248" s="48"/>
      <c r="T248" s="73"/>
      <c r="U248" s="74"/>
    </row>
    <row r="249" spans="1:21" x14ac:dyDescent="0.35">
      <c r="B249" s="102"/>
      <c r="C249" s="11" t="s">
        <v>1679</v>
      </c>
      <c r="D249" s="71">
        <v>5.6625461948066009</v>
      </c>
      <c r="E249" s="69">
        <v>18.974254037846904</v>
      </c>
      <c r="F249" s="72"/>
      <c r="G249" s="35">
        <v>70</v>
      </c>
      <c r="H249" s="1" t="s">
        <v>646</v>
      </c>
      <c r="I249" s="35">
        <v>25</v>
      </c>
      <c r="J249" s="46">
        <v>14</v>
      </c>
      <c r="K249" s="11" t="s">
        <v>706</v>
      </c>
      <c r="L249" s="27">
        <v>110</v>
      </c>
      <c r="M249" t="s">
        <v>972</v>
      </c>
      <c r="N249" t="s">
        <v>1683</v>
      </c>
      <c r="Q249">
        <f t="shared" si="3"/>
        <v>5.6625461948066009</v>
      </c>
      <c r="S249" s="48"/>
      <c r="T249" s="73"/>
      <c r="U249" s="74"/>
    </row>
    <row r="250" spans="1:21" x14ac:dyDescent="0.35">
      <c r="B250" s="102"/>
      <c r="C250" s="11" t="s">
        <v>1684</v>
      </c>
      <c r="D250" s="71">
        <v>6.9805915595202972</v>
      </c>
      <c r="E250" s="69">
        <v>23.213308644900376</v>
      </c>
      <c r="F250" s="72"/>
      <c r="G250" s="35">
        <v>57</v>
      </c>
      <c r="H250" s="1" t="s">
        <v>742</v>
      </c>
      <c r="I250" s="35">
        <v>26</v>
      </c>
      <c r="J250" s="46">
        <v>20</v>
      </c>
      <c r="K250" s="11" t="s">
        <v>700</v>
      </c>
      <c r="L250" s="27">
        <v>111</v>
      </c>
      <c r="M250" t="s">
        <v>952</v>
      </c>
      <c r="N250" t="s">
        <v>1685</v>
      </c>
      <c r="Q250">
        <f t="shared" si="3"/>
        <v>6.9805915595202972</v>
      </c>
      <c r="S250" s="48"/>
      <c r="T250" s="73"/>
      <c r="U250" s="74"/>
    </row>
    <row r="251" spans="1:21" x14ac:dyDescent="0.35">
      <c r="B251" s="102"/>
      <c r="C251" s="11" t="s">
        <v>1684</v>
      </c>
      <c r="D251" s="71">
        <v>3.9651778214575191</v>
      </c>
      <c r="E251" s="69">
        <v>55.795306636714848</v>
      </c>
      <c r="F251" s="72"/>
      <c r="G251" s="35">
        <v>25</v>
      </c>
      <c r="H251" s="1" t="s">
        <v>465</v>
      </c>
      <c r="I251" s="35">
        <v>24</v>
      </c>
      <c r="J251" s="46">
        <v>13</v>
      </c>
      <c r="K251" s="11" t="s">
        <v>722</v>
      </c>
      <c r="L251" s="27">
        <v>96</v>
      </c>
      <c r="M251" t="s">
        <v>910</v>
      </c>
      <c r="N251" t="s">
        <v>1686</v>
      </c>
      <c r="Q251">
        <f t="shared" si="3"/>
        <v>3.9651778214575191</v>
      </c>
      <c r="S251" s="48"/>
      <c r="T251" s="73"/>
      <c r="U251" s="74"/>
    </row>
    <row r="252" spans="1:21" x14ac:dyDescent="0.35">
      <c r="B252" s="102"/>
      <c r="C252" s="11" t="s">
        <v>1684</v>
      </c>
      <c r="D252" s="71">
        <v>-3.4150476317119454</v>
      </c>
      <c r="E252" s="69">
        <v>26.484604090316754</v>
      </c>
      <c r="F252" s="72"/>
      <c r="G252" s="35">
        <v>100</v>
      </c>
      <c r="H252" s="1" t="s">
        <v>716</v>
      </c>
      <c r="I252" s="35">
        <v>24</v>
      </c>
      <c r="J252" s="46">
        <v>13</v>
      </c>
      <c r="K252" s="11" t="s">
        <v>779</v>
      </c>
      <c r="L252" s="27">
        <v>77</v>
      </c>
      <c r="M252" t="s">
        <v>844</v>
      </c>
      <c r="N252" t="s">
        <v>1687</v>
      </c>
      <c r="Q252">
        <f t="shared" si="3"/>
        <v>3.4150476317119454</v>
      </c>
      <c r="S252" s="48"/>
      <c r="T252" s="73"/>
      <c r="U252" s="74"/>
    </row>
    <row r="253" spans="1:21" x14ac:dyDescent="0.35">
      <c r="B253" s="102"/>
      <c r="C253" s="11" t="s">
        <v>1684</v>
      </c>
      <c r="D253" s="71">
        <v>-2.4812553081274138</v>
      </c>
      <c r="E253" s="69">
        <v>72.387146497001666</v>
      </c>
      <c r="F253" s="72"/>
      <c r="G253" s="35">
        <v>45</v>
      </c>
      <c r="H253" s="1" t="s">
        <v>677</v>
      </c>
      <c r="I253" s="35">
        <v>29</v>
      </c>
      <c r="J253" s="46">
        <v>12</v>
      </c>
      <c r="K253" s="11" t="s">
        <v>672</v>
      </c>
      <c r="L253" s="27">
        <v>31</v>
      </c>
      <c r="M253" t="s">
        <v>881</v>
      </c>
      <c r="N253" s="1" t="s">
        <v>1688</v>
      </c>
      <c r="O253" s="1" t="s">
        <v>1390</v>
      </c>
      <c r="Q253">
        <f t="shared" si="3"/>
        <v>2.4812553081274138</v>
      </c>
      <c r="S253" s="48"/>
      <c r="T253" s="73"/>
      <c r="U253" s="74"/>
    </row>
    <row r="254" spans="1:21" x14ac:dyDescent="0.35">
      <c r="A254" s="2" t="s">
        <v>1689</v>
      </c>
      <c r="B254" s="102"/>
      <c r="C254" s="11" t="s">
        <v>1690</v>
      </c>
      <c r="D254" s="71">
        <v>4.3284937762396662</v>
      </c>
      <c r="E254" s="69">
        <v>33.774747124864227</v>
      </c>
      <c r="F254" s="72"/>
      <c r="G254" s="35">
        <v>52</v>
      </c>
      <c r="H254" s="1" t="s">
        <v>678</v>
      </c>
      <c r="I254" s="35">
        <v>18</v>
      </c>
      <c r="J254" s="46">
        <v>8</v>
      </c>
      <c r="K254" s="11" t="s">
        <v>737</v>
      </c>
      <c r="L254" s="27">
        <v>112</v>
      </c>
      <c r="M254" t="s">
        <v>775</v>
      </c>
      <c r="N254" t="s">
        <v>1691</v>
      </c>
      <c r="Q254">
        <f t="shared" si="3"/>
        <v>4.3284937762396662</v>
      </c>
      <c r="S254" s="48"/>
      <c r="T254" s="73"/>
      <c r="U254" s="74"/>
    </row>
    <row r="255" spans="1:21" x14ac:dyDescent="0.35">
      <c r="B255" s="102"/>
      <c r="C255" s="11" t="s">
        <v>1690</v>
      </c>
      <c r="D255" s="71">
        <v>2.0651389925791319</v>
      </c>
      <c r="E255" s="69">
        <v>18.441047547945733</v>
      </c>
      <c r="F255" s="72"/>
      <c r="G255" s="35">
        <v>88</v>
      </c>
      <c r="H255" s="1" t="s">
        <v>743</v>
      </c>
      <c r="I255" s="35">
        <v>16</v>
      </c>
      <c r="J255" s="46">
        <v>12</v>
      </c>
      <c r="K255" s="11" t="s">
        <v>777</v>
      </c>
      <c r="L255" s="27">
        <v>99</v>
      </c>
      <c r="M255" t="s">
        <v>796</v>
      </c>
      <c r="N255" t="s">
        <v>1692</v>
      </c>
      <c r="Q255">
        <f t="shared" si="3"/>
        <v>2.0651389925791319</v>
      </c>
      <c r="S255" s="48"/>
      <c r="T255" s="73"/>
      <c r="U255" s="74"/>
    </row>
    <row r="256" spans="1:21" x14ac:dyDescent="0.35">
      <c r="B256" s="102"/>
      <c r="C256" s="11" t="s">
        <v>1690</v>
      </c>
      <c r="D256" s="71">
        <v>1.7106766942105927</v>
      </c>
      <c r="E256" s="69">
        <v>44.441250266827026</v>
      </c>
      <c r="F256" s="72"/>
      <c r="G256" s="35">
        <v>46</v>
      </c>
      <c r="H256" s="1" t="s">
        <v>753</v>
      </c>
      <c r="I256" s="35">
        <v>21</v>
      </c>
      <c r="J256" s="46">
        <v>17</v>
      </c>
      <c r="K256" s="11" t="s">
        <v>709</v>
      </c>
      <c r="L256" s="27">
        <v>95</v>
      </c>
      <c r="M256" t="s">
        <v>735</v>
      </c>
      <c r="N256" t="s">
        <v>1693</v>
      </c>
      <c r="Q256">
        <f t="shared" si="3"/>
        <v>1.7106766942105927</v>
      </c>
      <c r="S256" s="48"/>
      <c r="T256" s="73"/>
      <c r="U256" s="74"/>
    </row>
    <row r="257" spans="1:21" x14ac:dyDescent="0.35">
      <c r="B257" s="102"/>
      <c r="C257" s="11" t="s">
        <v>1690</v>
      </c>
      <c r="D257" s="71">
        <v>-0.13584825091264327</v>
      </c>
      <c r="E257" s="69">
        <v>15.664581657768672</v>
      </c>
      <c r="F257" s="72"/>
      <c r="G257" s="35">
        <v>103</v>
      </c>
      <c r="H257" s="1" t="s">
        <v>732</v>
      </c>
      <c r="I257" s="35">
        <v>20</v>
      </c>
      <c r="J257" s="46">
        <v>7</v>
      </c>
      <c r="K257" s="11" t="s">
        <v>582</v>
      </c>
      <c r="L257" s="27">
        <v>94</v>
      </c>
      <c r="M257" t="s">
        <v>790</v>
      </c>
      <c r="N257" s="1" t="s">
        <v>1694</v>
      </c>
      <c r="O257" s="1" t="s">
        <v>1390</v>
      </c>
      <c r="P257" s="70" t="s">
        <v>1695</v>
      </c>
      <c r="Q257">
        <f t="shared" si="3"/>
        <v>0.13584825091264327</v>
      </c>
      <c r="S257" s="48"/>
      <c r="T257" s="73"/>
      <c r="U257" s="74"/>
    </row>
    <row r="258" spans="1:21" x14ac:dyDescent="0.35">
      <c r="B258" s="102"/>
      <c r="C258" s="11" t="s">
        <v>1696</v>
      </c>
      <c r="D258" s="71">
        <v>4.3885254718949289</v>
      </c>
      <c r="E258" s="69">
        <v>51.090725390700634</v>
      </c>
      <c r="F258" s="72"/>
      <c r="G258" s="35">
        <v>35</v>
      </c>
      <c r="H258" s="1" t="s">
        <v>693</v>
      </c>
      <c r="I258" s="35">
        <v>22</v>
      </c>
      <c r="J258" s="46">
        <v>13</v>
      </c>
      <c r="K258" s="11" t="s">
        <v>792</v>
      </c>
      <c r="L258" s="27">
        <v>84</v>
      </c>
      <c r="M258" t="s">
        <v>759</v>
      </c>
      <c r="N258" t="s">
        <v>1697</v>
      </c>
      <c r="Q258">
        <f t="shared" si="3"/>
        <v>4.3885254718949289</v>
      </c>
      <c r="S258" s="48"/>
      <c r="T258" s="73"/>
      <c r="U258" s="74"/>
    </row>
    <row r="259" spans="1:21" x14ac:dyDescent="0.35">
      <c r="B259" s="102"/>
      <c r="C259" s="11" t="s">
        <v>1696</v>
      </c>
      <c r="D259" s="71">
        <v>1.8103602144849424</v>
      </c>
      <c r="E259" s="69">
        <v>41.758610138638893</v>
      </c>
      <c r="F259" s="72"/>
      <c r="G259" s="35">
        <v>62</v>
      </c>
      <c r="H259" s="1" t="s">
        <v>673</v>
      </c>
      <c r="I259" s="35">
        <v>21</v>
      </c>
      <c r="J259" s="46">
        <v>11</v>
      </c>
      <c r="K259" s="11" t="s">
        <v>763</v>
      </c>
      <c r="L259" s="27">
        <v>71</v>
      </c>
      <c r="M259" t="s">
        <v>793</v>
      </c>
      <c r="N259" t="s">
        <v>1698</v>
      </c>
      <c r="Q259">
        <f t="shared" ref="Q259:Q322" si="4">ABS(D259)</f>
        <v>1.8103602144849424</v>
      </c>
      <c r="S259" s="48"/>
      <c r="T259" s="73"/>
      <c r="U259" s="74"/>
    </row>
    <row r="260" spans="1:21" x14ac:dyDescent="0.35">
      <c r="B260" s="102"/>
      <c r="C260" s="11" t="s">
        <v>1696</v>
      </c>
      <c r="D260" s="71">
        <v>2.6391695661554073</v>
      </c>
      <c r="E260" s="69">
        <v>47.66171229749343</v>
      </c>
      <c r="F260" s="72"/>
      <c r="G260" s="35">
        <v>53</v>
      </c>
      <c r="H260" s="1" t="s">
        <v>772</v>
      </c>
      <c r="I260" s="35">
        <v>19</v>
      </c>
      <c r="J260" s="46">
        <v>17</v>
      </c>
      <c r="K260" s="11" t="s">
        <v>712</v>
      </c>
      <c r="L260" s="27">
        <v>78</v>
      </c>
      <c r="M260" t="s">
        <v>705</v>
      </c>
      <c r="N260" t="s">
        <v>1699</v>
      </c>
      <c r="P260" s="70" t="s">
        <v>1700</v>
      </c>
      <c r="Q260">
        <f t="shared" si="4"/>
        <v>2.6391695661554073</v>
      </c>
      <c r="S260" s="48"/>
      <c r="T260" s="73"/>
      <c r="U260" s="74"/>
    </row>
    <row r="261" spans="1:21" x14ac:dyDescent="0.35">
      <c r="B261" s="102"/>
      <c r="C261" s="11" t="s">
        <v>1696</v>
      </c>
      <c r="D261" s="71">
        <v>-4.640583482352965</v>
      </c>
      <c r="E261" s="69">
        <v>26.039257245042037</v>
      </c>
      <c r="F261" s="72"/>
      <c r="G261" s="35">
        <v>104</v>
      </c>
      <c r="H261" s="1" t="s">
        <v>760</v>
      </c>
      <c r="I261" s="35">
        <v>19</v>
      </c>
      <c r="J261" s="46">
        <v>14</v>
      </c>
      <c r="K261" s="11" t="s">
        <v>757</v>
      </c>
      <c r="L261" s="27">
        <v>76</v>
      </c>
      <c r="M261" t="s">
        <v>790</v>
      </c>
      <c r="N261" t="s">
        <v>1701</v>
      </c>
      <c r="Q261">
        <f t="shared" si="4"/>
        <v>4.640583482352965</v>
      </c>
      <c r="S261" s="48"/>
      <c r="T261" s="73"/>
      <c r="U261" s="74"/>
    </row>
    <row r="262" spans="1:21" x14ac:dyDescent="0.35">
      <c r="B262" s="102"/>
      <c r="C262" s="11" t="s">
        <v>1702</v>
      </c>
      <c r="D262" s="71">
        <v>-1.2672847805713652</v>
      </c>
      <c r="E262" s="69">
        <v>34.440423849534639</v>
      </c>
      <c r="F262" s="72"/>
      <c r="G262" s="35">
        <v>75</v>
      </c>
      <c r="H262" s="1" t="s">
        <v>774</v>
      </c>
      <c r="I262" s="35">
        <v>14</v>
      </c>
      <c r="J262" s="46">
        <v>12</v>
      </c>
      <c r="K262" s="11" t="s">
        <v>764</v>
      </c>
      <c r="L262" s="27">
        <v>80</v>
      </c>
      <c r="M262" t="s">
        <v>721</v>
      </c>
      <c r="N262" t="s">
        <v>1703</v>
      </c>
      <c r="Q262">
        <f t="shared" si="4"/>
        <v>1.2672847805713652</v>
      </c>
      <c r="S262" s="48"/>
      <c r="T262" s="73"/>
      <c r="U262" s="74"/>
    </row>
    <row r="263" spans="1:21" x14ac:dyDescent="0.35">
      <c r="B263" s="102"/>
      <c r="C263" s="11" t="s">
        <v>1702</v>
      </c>
      <c r="D263" s="71">
        <v>-4.3172901315310668</v>
      </c>
      <c r="E263" s="69">
        <v>21.96042751876416</v>
      </c>
      <c r="F263" s="72"/>
      <c r="G263" s="35">
        <v>108</v>
      </c>
      <c r="H263" s="1" t="s">
        <v>776</v>
      </c>
      <c r="I263" s="35">
        <v>18</v>
      </c>
      <c r="J263" s="46">
        <v>14</v>
      </c>
      <c r="K263" s="11" t="s">
        <v>756</v>
      </c>
      <c r="L263" s="27">
        <v>81</v>
      </c>
      <c r="M263" t="s">
        <v>796</v>
      </c>
      <c r="N263" t="s">
        <v>1704</v>
      </c>
      <c r="Q263">
        <f t="shared" si="4"/>
        <v>4.3172901315310668</v>
      </c>
      <c r="S263" s="48"/>
      <c r="T263" s="73"/>
    </row>
    <row r="264" spans="1:21" x14ac:dyDescent="0.35">
      <c r="A264" s="2" t="s">
        <v>1705</v>
      </c>
      <c r="B264" s="102"/>
      <c r="C264" s="11" t="s">
        <v>1702</v>
      </c>
      <c r="D264" s="71">
        <v>-2.8809570001100195</v>
      </c>
      <c r="E264" s="69">
        <v>60.318370514361149</v>
      </c>
      <c r="F264" s="72"/>
      <c r="G264" s="35">
        <v>67</v>
      </c>
      <c r="H264" s="1" t="s">
        <v>771</v>
      </c>
      <c r="I264" s="35">
        <v>17</v>
      </c>
      <c r="J264" s="46">
        <v>15</v>
      </c>
      <c r="K264" s="11" t="s">
        <v>680</v>
      </c>
      <c r="L264" s="27">
        <v>41</v>
      </c>
      <c r="M264" t="s">
        <v>770</v>
      </c>
      <c r="N264" t="s">
        <v>1706</v>
      </c>
      <c r="Q264">
        <f t="shared" si="4"/>
        <v>2.8809570001100195</v>
      </c>
      <c r="S264" s="48"/>
      <c r="T264" s="73"/>
    </row>
    <row r="265" spans="1:21" x14ac:dyDescent="0.35">
      <c r="B265" s="102"/>
      <c r="C265" s="11" t="s">
        <v>1702</v>
      </c>
      <c r="D265" s="71">
        <v>-5.1050555545862769E-2</v>
      </c>
      <c r="E265" s="69">
        <v>34.60643466666</v>
      </c>
      <c r="F265" s="72"/>
      <c r="G265" s="35">
        <v>69</v>
      </c>
      <c r="H265" s="1" t="s">
        <v>726</v>
      </c>
      <c r="I265" s="35">
        <v>11</v>
      </c>
      <c r="J265" s="46">
        <v>10</v>
      </c>
      <c r="K265" s="11" t="s">
        <v>784</v>
      </c>
      <c r="L265" s="27">
        <v>86</v>
      </c>
      <c r="M265" t="s">
        <v>857</v>
      </c>
      <c r="N265" t="s">
        <v>1707</v>
      </c>
      <c r="P265" t="s">
        <v>1708</v>
      </c>
      <c r="Q265">
        <f t="shared" si="4"/>
        <v>5.1050555545862769E-2</v>
      </c>
      <c r="S265" s="48"/>
      <c r="T265" s="73"/>
    </row>
    <row r="266" spans="1:21" x14ac:dyDescent="0.35">
      <c r="B266" s="102"/>
      <c r="C266" s="11" t="s">
        <v>1709</v>
      </c>
      <c r="D266" s="71">
        <v>1.4762950367576162</v>
      </c>
      <c r="E266" s="69">
        <v>31.701969117651927</v>
      </c>
      <c r="F266" s="72"/>
      <c r="G266" s="35">
        <v>60</v>
      </c>
      <c r="H266" s="1" t="s">
        <v>1160</v>
      </c>
      <c r="I266" s="35">
        <v>23</v>
      </c>
      <c r="J266" s="46">
        <v>12</v>
      </c>
      <c r="K266" s="11" t="s">
        <v>1162</v>
      </c>
      <c r="L266" s="27">
        <v>97</v>
      </c>
      <c r="M266" t="s">
        <v>823</v>
      </c>
      <c r="N266" t="s">
        <v>1710</v>
      </c>
      <c r="Q266">
        <f t="shared" si="4"/>
        <v>1.4762950367576162</v>
      </c>
      <c r="S266" s="48"/>
      <c r="T266" s="73"/>
    </row>
    <row r="267" spans="1:21" x14ac:dyDescent="0.35">
      <c r="B267" s="102"/>
      <c r="C267" s="11" t="s">
        <v>1709</v>
      </c>
      <c r="D267" s="71">
        <v>-4.5605289330360677</v>
      </c>
      <c r="E267" s="69">
        <v>66.09864841122473</v>
      </c>
      <c r="F267" s="72"/>
      <c r="G267" s="35">
        <v>68</v>
      </c>
      <c r="H267" s="1" t="s">
        <v>1163</v>
      </c>
      <c r="I267" s="35">
        <v>29</v>
      </c>
      <c r="J267" s="46">
        <v>16</v>
      </c>
      <c r="K267" s="11" t="s">
        <v>666</v>
      </c>
      <c r="L267" s="27">
        <v>28</v>
      </c>
      <c r="M267" t="s">
        <v>1416</v>
      </c>
      <c r="N267" s="1" t="s">
        <v>1711</v>
      </c>
      <c r="O267" s="1" t="s">
        <v>1390</v>
      </c>
      <c r="Q267">
        <f t="shared" si="4"/>
        <v>4.5605289330360677</v>
      </c>
      <c r="S267" s="48"/>
      <c r="T267" s="73"/>
    </row>
    <row r="268" spans="1:21" x14ac:dyDescent="0.35">
      <c r="B268" s="102"/>
      <c r="C268" s="11" t="s">
        <v>1709</v>
      </c>
      <c r="D268" s="71">
        <v>4.9006879038798843</v>
      </c>
      <c r="E268" s="69">
        <v>73.325242580196658</v>
      </c>
      <c r="F268" s="72"/>
      <c r="G268" s="35">
        <v>12</v>
      </c>
      <c r="H268" s="1" t="s">
        <v>664</v>
      </c>
      <c r="I268" s="35">
        <v>24</v>
      </c>
      <c r="J268" s="46">
        <v>12</v>
      </c>
      <c r="K268" s="11" t="s">
        <v>645</v>
      </c>
      <c r="L268" s="27">
        <v>56</v>
      </c>
      <c r="M268" t="s">
        <v>702</v>
      </c>
      <c r="N268" t="s">
        <v>1712</v>
      </c>
      <c r="Q268">
        <f t="shared" si="4"/>
        <v>4.9006879038798843</v>
      </c>
      <c r="S268" s="48"/>
      <c r="T268" s="73"/>
    </row>
    <row r="269" spans="1:21" x14ac:dyDescent="0.35">
      <c r="B269" s="102"/>
      <c r="C269" s="11" t="s">
        <v>1709</v>
      </c>
      <c r="D269" s="71">
        <v>-3.7304474565540211</v>
      </c>
      <c r="E269" s="69">
        <v>40.129449684494197</v>
      </c>
      <c r="F269" s="72"/>
      <c r="G269" s="35">
        <v>89</v>
      </c>
      <c r="H269" s="1" t="s">
        <v>1156</v>
      </c>
      <c r="I269" s="35">
        <v>20</v>
      </c>
      <c r="J269" s="46">
        <v>19</v>
      </c>
      <c r="K269" s="11" t="s">
        <v>1161</v>
      </c>
      <c r="L269" s="27">
        <v>59</v>
      </c>
      <c r="M269" t="s">
        <v>744</v>
      </c>
      <c r="N269" t="s">
        <v>1713</v>
      </c>
      <c r="P269" t="s">
        <v>1714</v>
      </c>
      <c r="Q269">
        <f t="shared" si="4"/>
        <v>3.7304474565540211</v>
      </c>
      <c r="S269" s="48"/>
      <c r="T269" s="73"/>
    </row>
    <row r="270" spans="1:21" x14ac:dyDescent="0.35">
      <c r="B270" s="102"/>
      <c r="C270" s="11" t="s">
        <v>1715</v>
      </c>
      <c r="D270" s="71">
        <v>7.6407121703116907</v>
      </c>
      <c r="E270" s="69">
        <v>59.789225940357703</v>
      </c>
      <c r="F270" s="72"/>
      <c r="G270" s="35">
        <v>10</v>
      </c>
      <c r="H270" s="1" t="s">
        <v>352</v>
      </c>
      <c r="I270" s="35">
        <v>31</v>
      </c>
      <c r="J270" s="46">
        <v>16</v>
      </c>
      <c r="K270" s="11" t="s">
        <v>634</v>
      </c>
      <c r="L270" s="27">
        <v>92</v>
      </c>
      <c r="M270" t="s">
        <v>820</v>
      </c>
      <c r="N270" t="s">
        <v>1716</v>
      </c>
      <c r="Q270">
        <f t="shared" si="4"/>
        <v>7.6407121703116907</v>
      </c>
      <c r="S270" s="48"/>
      <c r="T270" s="73"/>
    </row>
    <row r="271" spans="1:21" x14ac:dyDescent="0.35">
      <c r="B271" s="102"/>
      <c r="C271" s="11" t="s">
        <v>1715</v>
      </c>
      <c r="D271" s="71">
        <v>-1.6643167274723896</v>
      </c>
      <c r="E271" s="69">
        <v>8.5698171845525088</v>
      </c>
      <c r="F271" s="72"/>
      <c r="G271" s="35">
        <v>109</v>
      </c>
      <c r="H271" s="1" t="s">
        <v>639</v>
      </c>
      <c r="I271" s="35">
        <v>11</v>
      </c>
      <c r="J271" s="46">
        <v>4</v>
      </c>
      <c r="K271" s="11" t="s">
        <v>631</v>
      </c>
      <c r="L271" s="27">
        <v>107</v>
      </c>
      <c r="M271" t="s">
        <v>874</v>
      </c>
      <c r="N271" t="s">
        <v>1717</v>
      </c>
      <c r="Q271">
        <f t="shared" si="4"/>
        <v>1.6643167274723896</v>
      </c>
      <c r="S271" s="48"/>
      <c r="T271" s="73"/>
    </row>
    <row r="272" spans="1:21" x14ac:dyDescent="0.35">
      <c r="B272" s="102"/>
      <c r="C272" s="11" t="s">
        <v>1715</v>
      </c>
      <c r="D272" s="71">
        <v>-1.5184864399485849</v>
      </c>
      <c r="E272" s="69">
        <v>45.326962130250458</v>
      </c>
      <c r="F272" s="72"/>
      <c r="G272" s="35">
        <v>66</v>
      </c>
      <c r="H272" s="1" t="s">
        <v>635</v>
      </c>
      <c r="I272" s="35">
        <v>16</v>
      </c>
      <c r="J272" s="46">
        <v>11</v>
      </c>
      <c r="K272" s="11" t="s">
        <v>633</v>
      </c>
      <c r="L272" s="27">
        <v>64</v>
      </c>
      <c r="M272" t="s">
        <v>793</v>
      </c>
      <c r="N272" t="s">
        <v>1718</v>
      </c>
      <c r="Q272">
        <f t="shared" si="4"/>
        <v>1.5184864399485849</v>
      </c>
      <c r="S272" s="48"/>
      <c r="T272" s="73"/>
    </row>
    <row r="273" spans="1:21" ht="15" thickBot="1" x14ac:dyDescent="0.4">
      <c r="B273" s="102"/>
      <c r="C273" s="51" t="s">
        <v>1715</v>
      </c>
      <c r="D273" s="82">
        <v>0.38918664441475631</v>
      </c>
      <c r="E273" s="76">
        <v>65.404557729544166</v>
      </c>
      <c r="F273" s="83"/>
      <c r="G273" s="49">
        <v>51</v>
      </c>
      <c r="H273" s="45" t="s">
        <v>652</v>
      </c>
      <c r="I273" s="49">
        <v>24</v>
      </c>
      <c r="J273" s="50">
        <v>7</v>
      </c>
      <c r="K273" s="51" t="s">
        <v>629</v>
      </c>
      <c r="L273" s="77">
        <v>38</v>
      </c>
      <c r="M273" s="40" t="s">
        <v>821</v>
      </c>
      <c r="N273" s="45" t="s">
        <v>1719</v>
      </c>
      <c r="O273" s="79" t="s">
        <v>1390</v>
      </c>
      <c r="P273" s="78"/>
      <c r="Q273">
        <f t="shared" si="4"/>
        <v>0.38918664441475631</v>
      </c>
      <c r="S273" s="48"/>
      <c r="T273" s="73"/>
    </row>
    <row r="274" spans="1:21" x14ac:dyDescent="0.35">
      <c r="A274" s="2" t="s">
        <v>1720</v>
      </c>
      <c r="B274" s="102" t="s">
        <v>1104</v>
      </c>
      <c r="C274" s="11" t="s">
        <v>1721</v>
      </c>
      <c r="D274" s="71">
        <v>7.1024998277843636</v>
      </c>
      <c r="E274" s="69">
        <v>37.069642980154029</v>
      </c>
      <c r="F274" s="72"/>
      <c r="G274" s="35">
        <v>32</v>
      </c>
      <c r="H274" s="1" t="s">
        <v>670</v>
      </c>
      <c r="I274" s="35">
        <v>25</v>
      </c>
      <c r="J274" s="46">
        <v>8</v>
      </c>
      <c r="K274" s="11" t="s">
        <v>737</v>
      </c>
      <c r="L274" s="27">
        <v>112</v>
      </c>
      <c r="M274" t="s">
        <v>881</v>
      </c>
      <c r="N274" t="s">
        <v>1722</v>
      </c>
      <c r="Q274">
        <f t="shared" si="4"/>
        <v>7.1024998277843636</v>
      </c>
      <c r="S274" s="48"/>
      <c r="T274" s="73"/>
      <c r="U274" s="74"/>
    </row>
    <row r="275" spans="1:21" x14ac:dyDescent="0.35">
      <c r="B275" s="102"/>
      <c r="D275" s="71">
        <v>-4.6574527312879956</v>
      </c>
      <c r="E275" s="69">
        <v>14.933894808062853</v>
      </c>
      <c r="F275" s="72"/>
      <c r="G275" s="35">
        <v>111</v>
      </c>
      <c r="H275" s="1" t="s">
        <v>700</v>
      </c>
      <c r="I275" s="35">
        <v>20</v>
      </c>
      <c r="J275" s="46">
        <v>13</v>
      </c>
      <c r="K275" s="11" t="s">
        <v>734</v>
      </c>
      <c r="L275" s="27">
        <v>87</v>
      </c>
      <c r="M275" t="s">
        <v>844</v>
      </c>
      <c r="N275" t="s">
        <v>1723</v>
      </c>
      <c r="Q275">
        <f t="shared" si="4"/>
        <v>4.6574527312879956</v>
      </c>
      <c r="S275" s="48"/>
      <c r="T275" s="73"/>
      <c r="U275" s="74"/>
    </row>
    <row r="276" spans="1:21" x14ac:dyDescent="0.35">
      <c r="B276" s="102"/>
      <c r="D276" s="71">
        <v>1.9997709902865919</v>
      </c>
      <c r="E276" s="69">
        <v>9.2858778640810051</v>
      </c>
      <c r="F276" s="72"/>
      <c r="G276" s="35">
        <v>90</v>
      </c>
      <c r="H276" s="1" t="s">
        <v>761</v>
      </c>
      <c r="I276" s="35">
        <v>29</v>
      </c>
      <c r="J276" s="46">
        <v>13</v>
      </c>
      <c r="K276" s="11" t="s">
        <v>706</v>
      </c>
      <c r="L276" s="27">
        <v>110</v>
      </c>
      <c r="M276" t="s">
        <v>920</v>
      </c>
      <c r="N276" s="1" t="s">
        <v>1724</v>
      </c>
      <c r="O276" s="1" t="s">
        <v>1390</v>
      </c>
      <c r="Q276">
        <f t="shared" si="4"/>
        <v>1.9997709902865919</v>
      </c>
      <c r="S276" s="48"/>
      <c r="T276" s="73"/>
      <c r="U276" s="74"/>
    </row>
    <row r="277" spans="1:21" x14ac:dyDescent="0.35">
      <c r="B277" s="102"/>
      <c r="D277" s="71">
        <v>6.4055366264599325</v>
      </c>
      <c r="E277" s="69">
        <v>31.138902409671477</v>
      </c>
      <c r="F277" s="72"/>
      <c r="G277" s="35">
        <v>51</v>
      </c>
      <c r="H277" s="1" t="s">
        <v>652</v>
      </c>
      <c r="I277" s="35">
        <v>20</v>
      </c>
      <c r="J277" s="46">
        <v>14</v>
      </c>
      <c r="K277" s="11" t="s">
        <v>639</v>
      </c>
      <c r="L277" s="27">
        <v>109</v>
      </c>
      <c r="M277" t="s">
        <v>928</v>
      </c>
      <c r="N277" t="s">
        <v>1725</v>
      </c>
      <c r="Q277">
        <f t="shared" si="4"/>
        <v>6.4055366264599325</v>
      </c>
      <c r="S277" s="48"/>
      <c r="T277" s="73"/>
      <c r="U277" s="74"/>
    </row>
    <row r="278" spans="1:21" x14ac:dyDescent="0.35">
      <c r="B278" s="102"/>
      <c r="D278" s="71">
        <v>1.6044544918796799</v>
      </c>
      <c r="E278" s="69">
        <v>13.586103934371662</v>
      </c>
      <c r="F278" s="72"/>
      <c r="G278" s="35">
        <v>83</v>
      </c>
      <c r="H278" s="1" t="s">
        <v>665</v>
      </c>
      <c r="I278" s="35">
        <v>17</v>
      </c>
      <c r="J278" s="46">
        <v>13</v>
      </c>
      <c r="K278" s="11" t="s">
        <v>776</v>
      </c>
      <c r="L278" s="27">
        <v>108</v>
      </c>
      <c r="M278" t="s">
        <v>702</v>
      </c>
      <c r="N278" t="s">
        <v>1726</v>
      </c>
      <c r="Q278">
        <f t="shared" si="4"/>
        <v>1.6044544918796799</v>
      </c>
      <c r="S278" s="48"/>
      <c r="T278" s="73"/>
      <c r="U278" s="74"/>
    </row>
    <row r="279" spans="1:21" x14ac:dyDescent="0.35">
      <c r="A279" s="2" t="s">
        <v>1727</v>
      </c>
      <c r="B279" s="102"/>
      <c r="D279" s="71">
        <v>-7.0840649293981297</v>
      </c>
      <c r="E279" s="69">
        <v>60.060046378141529</v>
      </c>
      <c r="F279" s="72"/>
      <c r="G279" s="35">
        <v>107</v>
      </c>
      <c r="H279" s="1" t="s">
        <v>631</v>
      </c>
      <c r="I279" s="35">
        <v>15</v>
      </c>
      <c r="J279" s="46">
        <v>12</v>
      </c>
      <c r="K279" s="11" t="s">
        <v>630</v>
      </c>
      <c r="L279" s="27">
        <v>19</v>
      </c>
      <c r="M279" t="s">
        <v>924</v>
      </c>
      <c r="N279" t="s">
        <v>1728</v>
      </c>
      <c r="P279" s="70" t="s">
        <v>1729</v>
      </c>
      <c r="Q279">
        <f t="shared" si="4"/>
        <v>7.0840649293981297</v>
      </c>
      <c r="S279" s="48"/>
      <c r="T279" s="73"/>
      <c r="U279" s="74"/>
    </row>
    <row r="280" spans="1:21" x14ac:dyDescent="0.35">
      <c r="B280" s="102"/>
      <c r="D280" s="71">
        <v>-5.0501825742988711</v>
      </c>
      <c r="E280" s="69">
        <v>38.517987553070618</v>
      </c>
      <c r="F280" s="72"/>
      <c r="G280" s="35">
        <v>106</v>
      </c>
      <c r="H280" s="1" t="s">
        <v>1165</v>
      </c>
      <c r="I280" s="35">
        <v>22</v>
      </c>
      <c r="J280" s="46">
        <v>15</v>
      </c>
      <c r="K280" s="11" t="s">
        <v>645</v>
      </c>
      <c r="L280" s="27">
        <v>56</v>
      </c>
      <c r="M280" t="s">
        <v>934</v>
      </c>
      <c r="N280" t="s">
        <v>1730</v>
      </c>
      <c r="Q280">
        <f t="shared" si="4"/>
        <v>5.0501825742988711</v>
      </c>
      <c r="S280" s="48"/>
      <c r="T280" s="73"/>
      <c r="U280" s="74"/>
    </row>
    <row r="281" spans="1:21" x14ac:dyDescent="0.35">
      <c r="B281" s="102"/>
      <c r="D281" s="71">
        <v>-4.1183293225407711</v>
      </c>
      <c r="E281" s="69">
        <v>44.682735230386271</v>
      </c>
      <c r="F281" s="72"/>
      <c r="G281" s="35">
        <v>105</v>
      </c>
      <c r="H281" s="1" t="s">
        <v>701</v>
      </c>
      <c r="I281" s="35">
        <v>26</v>
      </c>
      <c r="J281" s="46">
        <v>18</v>
      </c>
      <c r="K281" s="11" t="s">
        <v>660</v>
      </c>
      <c r="L281" s="27">
        <v>40</v>
      </c>
      <c r="M281" t="s">
        <v>1211</v>
      </c>
      <c r="N281" t="s">
        <v>1731</v>
      </c>
      <c r="Q281">
        <f t="shared" si="4"/>
        <v>4.1183293225407711</v>
      </c>
      <c r="S281" s="48"/>
      <c r="T281" s="73"/>
      <c r="U281" s="74"/>
    </row>
    <row r="282" spans="1:21" x14ac:dyDescent="0.35">
      <c r="B282" s="102"/>
      <c r="D282" s="71">
        <v>-2.2381816820224052</v>
      </c>
      <c r="E282" s="69">
        <v>20.348701201444573</v>
      </c>
      <c r="F282" s="72"/>
      <c r="G282" s="35">
        <v>104</v>
      </c>
      <c r="H282" s="1" t="s">
        <v>760</v>
      </c>
      <c r="I282" s="35">
        <v>16</v>
      </c>
      <c r="J282" s="46">
        <v>14</v>
      </c>
      <c r="K282" s="11" t="s">
        <v>712</v>
      </c>
      <c r="L282" s="27">
        <v>78</v>
      </c>
      <c r="M282" t="s">
        <v>857</v>
      </c>
      <c r="N282" t="s">
        <v>1732</v>
      </c>
      <c r="Q282">
        <f t="shared" si="4"/>
        <v>2.2381816820224052</v>
      </c>
      <c r="S282" s="48"/>
      <c r="T282" s="73"/>
      <c r="U282" s="74"/>
    </row>
    <row r="283" spans="1:21" x14ac:dyDescent="0.35">
      <c r="B283" s="102"/>
      <c r="D283" s="71">
        <v>5.5921942937529527</v>
      </c>
      <c r="E283" s="69">
        <v>37.344861218747894</v>
      </c>
      <c r="F283" s="72"/>
      <c r="G283" s="35">
        <v>43</v>
      </c>
      <c r="H283" s="1" t="s">
        <v>750</v>
      </c>
      <c r="I283" s="35">
        <v>19</v>
      </c>
      <c r="J283" s="46">
        <v>7</v>
      </c>
      <c r="K283" s="11" t="s">
        <v>732</v>
      </c>
      <c r="L283" s="27">
        <v>103</v>
      </c>
      <c r="M283" t="s">
        <v>721</v>
      </c>
      <c r="N283" t="s">
        <v>1733</v>
      </c>
      <c r="Q283">
        <f t="shared" si="4"/>
        <v>5.5921942937529527</v>
      </c>
      <c r="S283" s="48"/>
      <c r="T283" s="73"/>
      <c r="U283" s="74"/>
    </row>
    <row r="284" spans="1:21" x14ac:dyDescent="0.35">
      <c r="B284" s="102"/>
      <c r="D284" s="71">
        <v>-7.7002779890363025</v>
      </c>
      <c r="E284" s="69">
        <v>67.643055706454504</v>
      </c>
      <c r="F284" s="72"/>
      <c r="G284" s="35">
        <v>102</v>
      </c>
      <c r="H284" s="1" t="s">
        <v>768</v>
      </c>
      <c r="I284" s="35">
        <v>25</v>
      </c>
      <c r="J284" s="46">
        <v>12</v>
      </c>
      <c r="K284" s="11" t="s">
        <v>467</v>
      </c>
      <c r="L284" s="27">
        <v>4</v>
      </c>
      <c r="M284" t="s">
        <v>794</v>
      </c>
      <c r="N284" s="1" t="s">
        <v>1734</v>
      </c>
      <c r="O284" s="1" t="s">
        <v>1390</v>
      </c>
      <c r="Q284">
        <f t="shared" si="4"/>
        <v>7.7002779890363025</v>
      </c>
      <c r="S284" s="48"/>
      <c r="T284" s="73"/>
      <c r="U284" s="74"/>
    </row>
    <row r="285" spans="1:21" x14ac:dyDescent="0.35">
      <c r="B285" s="102"/>
      <c r="D285" s="71">
        <v>8.5175596886512744E-2</v>
      </c>
      <c r="E285" s="69">
        <v>13.33201743079535</v>
      </c>
      <c r="F285" s="72"/>
      <c r="G285" s="35">
        <v>101</v>
      </c>
      <c r="H285" s="1" t="s">
        <v>778</v>
      </c>
      <c r="I285" s="35">
        <v>12</v>
      </c>
      <c r="J285" s="46">
        <v>11</v>
      </c>
      <c r="K285" s="11" t="s">
        <v>720</v>
      </c>
      <c r="L285" s="27">
        <v>93</v>
      </c>
      <c r="M285" t="s">
        <v>770</v>
      </c>
      <c r="N285" t="s">
        <v>1735</v>
      </c>
      <c r="Q285">
        <f t="shared" si="4"/>
        <v>8.5175596886512744E-2</v>
      </c>
      <c r="S285" s="48"/>
      <c r="T285" s="73"/>
      <c r="U285" s="74"/>
    </row>
    <row r="286" spans="1:21" x14ac:dyDescent="0.35">
      <c r="B286" s="102"/>
      <c r="D286" s="71">
        <v>4.8229628890252911</v>
      </c>
      <c r="E286" s="69">
        <v>36.68895507926765</v>
      </c>
      <c r="F286" s="72"/>
      <c r="G286" s="35">
        <v>49</v>
      </c>
      <c r="H286" s="1" t="s">
        <v>731</v>
      </c>
      <c r="I286" s="35">
        <v>27</v>
      </c>
      <c r="J286" s="46">
        <v>12</v>
      </c>
      <c r="K286" s="11" t="s">
        <v>716</v>
      </c>
      <c r="L286" s="27">
        <v>100</v>
      </c>
      <c r="M286" t="s">
        <v>920</v>
      </c>
      <c r="N286" t="s">
        <v>1736</v>
      </c>
      <c r="P286" s="70" t="s">
        <v>1737</v>
      </c>
      <c r="Q286">
        <f t="shared" si="4"/>
        <v>4.8229628890252911</v>
      </c>
      <c r="S286" s="48"/>
      <c r="T286" s="73"/>
      <c r="U286" s="74"/>
    </row>
    <row r="287" spans="1:21" x14ac:dyDescent="0.35">
      <c r="B287" s="102"/>
      <c r="D287" s="71">
        <v>6.9500865333162754</v>
      </c>
      <c r="E287" s="69">
        <v>51.107081047631219</v>
      </c>
      <c r="F287" s="72"/>
      <c r="G287" s="35">
        <v>24</v>
      </c>
      <c r="H287" s="1" t="s">
        <v>692</v>
      </c>
      <c r="I287" s="35">
        <v>17</v>
      </c>
      <c r="J287" s="46">
        <v>7</v>
      </c>
      <c r="K287" s="11" t="s">
        <v>777</v>
      </c>
      <c r="L287" s="27">
        <v>99</v>
      </c>
      <c r="M287" t="s">
        <v>707</v>
      </c>
      <c r="N287" t="s">
        <v>1738</v>
      </c>
      <c r="Q287">
        <f t="shared" si="4"/>
        <v>6.9500865333162754</v>
      </c>
      <c r="S287" s="48"/>
      <c r="T287" s="73"/>
      <c r="U287" s="74"/>
    </row>
    <row r="288" spans="1:21" x14ac:dyDescent="0.35">
      <c r="B288" s="102"/>
      <c r="D288" s="71">
        <v>5.5087545387162598</v>
      </c>
      <c r="E288" s="69">
        <v>55.708032472345522</v>
      </c>
      <c r="F288" s="72"/>
      <c r="G288" s="35">
        <v>15</v>
      </c>
      <c r="H288" s="1" t="s">
        <v>334</v>
      </c>
      <c r="I288" s="35">
        <v>23</v>
      </c>
      <c r="J288" s="46">
        <v>11</v>
      </c>
      <c r="K288" s="11" t="s">
        <v>637</v>
      </c>
      <c r="L288" s="27">
        <v>98</v>
      </c>
      <c r="M288" t="s">
        <v>759</v>
      </c>
      <c r="N288" t="s">
        <v>1739</v>
      </c>
      <c r="Q288">
        <f t="shared" si="4"/>
        <v>5.5087545387162598</v>
      </c>
      <c r="S288" s="48"/>
      <c r="T288" s="73"/>
      <c r="U288" s="74"/>
    </row>
    <row r="289" spans="1:21" x14ac:dyDescent="0.35">
      <c r="B289" s="102"/>
      <c r="D289" s="71">
        <v>-3.4628369787477045</v>
      </c>
      <c r="E289" s="69">
        <v>31.044883556248358</v>
      </c>
      <c r="F289" s="72"/>
      <c r="G289" s="35">
        <v>97</v>
      </c>
      <c r="H289" s="1" t="s">
        <v>1162</v>
      </c>
      <c r="I289" s="35">
        <v>17</v>
      </c>
      <c r="J289" s="46">
        <v>15</v>
      </c>
      <c r="K289" s="11" t="s">
        <v>1157</v>
      </c>
      <c r="L289" s="27">
        <v>63</v>
      </c>
      <c r="M289" t="s">
        <v>699</v>
      </c>
      <c r="N289" t="s">
        <v>1740</v>
      </c>
      <c r="Q289">
        <f t="shared" si="4"/>
        <v>3.4628369787477045</v>
      </c>
      <c r="S289" s="48"/>
      <c r="T289" s="73"/>
      <c r="U289" s="74"/>
    </row>
    <row r="290" spans="1:21" x14ac:dyDescent="0.35">
      <c r="B290" s="102"/>
      <c r="D290" s="71">
        <v>-4.5485111547908526</v>
      </c>
      <c r="E290" s="69">
        <v>60.034650824850608</v>
      </c>
      <c r="F290" s="72"/>
      <c r="G290" s="35">
        <v>96</v>
      </c>
      <c r="H290" s="1" t="s">
        <v>722</v>
      </c>
      <c r="I290" s="35">
        <v>16</v>
      </c>
      <c r="J290" s="46">
        <v>12</v>
      </c>
      <c r="K290" s="11" t="s">
        <v>465</v>
      </c>
      <c r="L290" s="27">
        <v>25</v>
      </c>
      <c r="M290" t="s">
        <v>796</v>
      </c>
      <c r="N290" t="s">
        <v>1741</v>
      </c>
      <c r="Q290">
        <f t="shared" si="4"/>
        <v>4.5485111547908526</v>
      </c>
      <c r="S290" s="48"/>
      <c r="T290" s="73"/>
      <c r="U290" s="74"/>
    </row>
    <row r="291" spans="1:21" x14ac:dyDescent="0.35">
      <c r="A291" s="2" t="s">
        <v>1742</v>
      </c>
      <c r="B291" s="102"/>
      <c r="D291" s="71">
        <v>6.0468877704564958</v>
      </c>
      <c r="E291" s="69">
        <v>47.064723021102509</v>
      </c>
      <c r="F291" s="72"/>
      <c r="G291" s="35">
        <v>26</v>
      </c>
      <c r="H291" s="1" t="s">
        <v>755</v>
      </c>
      <c r="I291" s="35">
        <v>23</v>
      </c>
      <c r="J291" s="46">
        <v>7</v>
      </c>
      <c r="K291" s="11" t="s">
        <v>709</v>
      </c>
      <c r="L291" s="27">
        <v>95</v>
      </c>
      <c r="M291" t="s">
        <v>799</v>
      </c>
      <c r="N291" s="1" t="s">
        <v>1743</v>
      </c>
      <c r="O291" s="1" t="s">
        <v>1390</v>
      </c>
      <c r="Q291">
        <f t="shared" si="4"/>
        <v>6.0468877704564958</v>
      </c>
      <c r="S291" s="48"/>
      <c r="T291" s="73"/>
      <c r="U291" s="74"/>
    </row>
    <row r="292" spans="1:21" x14ac:dyDescent="0.35">
      <c r="B292" s="102"/>
      <c r="D292" s="71">
        <v>3.7177002098037475</v>
      </c>
      <c r="E292" s="69">
        <v>38.683785564425889</v>
      </c>
      <c r="F292" s="72"/>
      <c r="G292" s="35">
        <v>52</v>
      </c>
      <c r="H292" s="1" t="s">
        <v>678</v>
      </c>
      <c r="I292" s="35">
        <v>16</v>
      </c>
      <c r="J292" s="46">
        <v>15</v>
      </c>
      <c r="K292" s="11" t="s">
        <v>582</v>
      </c>
      <c r="L292" s="27">
        <v>94</v>
      </c>
      <c r="M292" t="s">
        <v>878</v>
      </c>
      <c r="N292" t="s">
        <v>1744</v>
      </c>
      <c r="Q292">
        <f t="shared" si="4"/>
        <v>3.7177002098037475</v>
      </c>
      <c r="S292" s="48"/>
      <c r="T292" s="73"/>
      <c r="U292" s="74"/>
    </row>
    <row r="293" spans="1:21" x14ac:dyDescent="0.35">
      <c r="B293" s="102"/>
      <c r="D293" s="71">
        <v>-0.99850642448137816</v>
      </c>
      <c r="E293" s="69">
        <v>31.070361731772412</v>
      </c>
      <c r="F293" s="72"/>
      <c r="G293" s="35">
        <v>92</v>
      </c>
      <c r="H293" s="1" t="s">
        <v>634</v>
      </c>
      <c r="I293" s="35">
        <v>23</v>
      </c>
      <c r="J293" s="46">
        <v>13</v>
      </c>
      <c r="K293" s="11" t="s">
        <v>633</v>
      </c>
      <c r="L293" s="27">
        <v>64</v>
      </c>
      <c r="M293" t="s">
        <v>820</v>
      </c>
      <c r="N293" t="s">
        <v>1745</v>
      </c>
      <c r="Q293">
        <f t="shared" si="4"/>
        <v>0.99850642448137816</v>
      </c>
      <c r="S293" s="48"/>
      <c r="T293" s="73"/>
      <c r="U293" s="74"/>
    </row>
    <row r="294" spans="1:21" x14ac:dyDescent="0.35">
      <c r="B294" s="102"/>
      <c r="D294" s="71">
        <v>5.860350773441553</v>
      </c>
      <c r="E294" s="69">
        <v>47.599749447541754</v>
      </c>
      <c r="F294" s="72"/>
      <c r="G294" s="35">
        <v>29</v>
      </c>
      <c r="H294" s="1" t="s">
        <v>704</v>
      </c>
      <c r="I294" s="35">
        <v>24</v>
      </c>
      <c r="J294" s="46">
        <v>15</v>
      </c>
      <c r="K294" s="11" t="s">
        <v>738</v>
      </c>
      <c r="L294" s="27">
        <v>91</v>
      </c>
      <c r="M294" t="s">
        <v>806</v>
      </c>
      <c r="N294" t="s">
        <v>1746</v>
      </c>
      <c r="Q294">
        <f t="shared" si="4"/>
        <v>5.860350773441553</v>
      </c>
      <c r="S294" s="48"/>
      <c r="T294" s="73"/>
      <c r="U294" s="74"/>
    </row>
    <row r="295" spans="1:21" x14ac:dyDescent="0.35">
      <c r="B295" s="102"/>
      <c r="D295" s="71">
        <v>2.8645065998311092</v>
      </c>
      <c r="E295" s="69">
        <v>47.328923857263497</v>
      </c>
      <c r="F295" s="72"/>
      <c r="G295" s="35">
        <v>37</v>
      </c>
      <c r="H295" s="1" t="s">
        <v>681</v>
      </c>
      <c r="I295" s="35">
        <v>20</v>
      </c>
      <c r="J295" s="46">
        <v>8</v>
      </c>
      <c r="K295" s="11" t="s">
        <v>1156</v>
      </c>
      <c r="L295" s="27">
        <v>89</v>
      </c>
      <c r="M295" t="s">
        <v>793</v>
      </c>
      <c r="N295" t="s">
        <v>1747</v>
      </c>
      <c r="Q295">
        <f t="shared" si="4"/>
        <v>2.8645065998311092</v>
      </c>
      <c r="S295" s="48"/>
      <c r="T295" s="73"/>
      <c r="U295" s="74"/>
    </row>
    <row r="296" spans="1:21" x14ac:dyDescent="0.35">
      <c r="B296" s="102"/>
      <c r="D296" s="71">
        <v>1.4867948711899783</v>
      </c>
      <c r="E296" s="69">
        <v>41.884432234864313</v>
      </c>
      <c r="F296" s="72"/>
      <c r="G296" s="35">
        <v>54</v>
      </c>
      <c r="H296" s="1" t="s">
        <v>648</v>
      </c>
      <c r="I296" s="35">
        <v>15</v>
      </c>
      <c r="J296" s="46">
        <v>12</v>
      </c>
      <c r="K296" s="11" t="s">
        <v>743</v>
      </c>
      <c r="L296" s="27">
        <v>88</v>
      </c>
      <c r="M296" t="s">
        <v>796</v>
      </c>
      <c r="N296" t="s">
        <v>1748</v>
      </c>
      <c r="Q296">
        <f t="shared" si="4"/>
        <v>1.4867948711899783</v>
      </c>
      <c r="S296" s="48"/>
      <c r="T296" s="73"/>
      <c r="U296" s="74"/>
    </row>
    <row r="297" spans="1:21" x14ac:dyDescent="0.35">
      <c r="B297" s="102"/>
      <c r="D297" s="71">
        <v>-8.3689774245921722E-2</v>
      </c>
      <c r="E297" s="69">
        <v>26.399064124461379</v>
      </c>
      <c r="F297" s="72"/>
      <c r="G297" s="35">
        <v>79</v>
      </c>
      <c r="H297" s="1" t="s">
        <v>751</v>
      </c>
      <c r="I297" s="35">
        <v>13</v>
      </c>
      <c r="J297" s="46">
        <v>12</v>
      </c>
      <c r="K297" s="11" t="s">
        <v>784</v>
      </c>
      <c r="L297" s="27">
        <v>86</v>
      </c>
      <c r="M297" t="s">
        <v>769</v>
      </c>
      <c r="N297" t="s">
        <v>1749</v>
      </c>
      <c r="Q297">
        <f t="shared" si="4"/>
        <v>8.3689774245921722E-2</v>
      </c>
      <c r="S297" s="48"/>
      <c r="T297" s="73"/>
      <c r="U297" s="74"/>
    </row>
    <row r="298" spans="1:21" x14ac:dyDescent="0.35">
      <c r="B298" s="102"/>
      <c r="D298" s="71">
        <v>1.9812107056482811</v>
      </c>
      <c r="E298" s="69">
        <v>29.388420924536941</v>
      </c>
      <c r="F298" s="72"/>
      <c r="G298" s="35">
        <v>70</v>
      </c>
      <c r="H298" s="1" t="s">
        <v>646</v>
      </c>
      <c r="I298" s="35">
        <v>21</v>
      </c>
      <c r="J298" s="46">
        <v>10</v>
      </c>
      <c r="K298" s="11" t="s">
        <v>767</v>
      </c>
      <c r="L298" s="27">
        <v>85</v>
      </c>
      <c r="M298" t="s">
        <v>790</v>
      </c>
      <c r="N298" t="s">
        <v>1750</v>
      </c>
      <c r="Q298">
        <f t="shared" si="4"/>
        <v>1.9812107056482811</v>
      </c>
      <c r="S298" s="48"/>
      <c r="T298" s="73"/>
      <c r="U298" s="74"/>
    </row>
    <row r="299" spans="1:21" x14ac:dyDescent="0.35">
      <c r="B299" s="102"/>
      <c r="D299" s="71">
        <v>7.0645369278135881</v>
      </c>
      <c r="E299" s="69">
        <v>62.096759337276012</v>
      </c>
      <c r="F299" s="72"/>
      <c r="G299" s="35">
        <v>8</v>
      </c>
      <c r="H299" s="1" t="s">
        <v>649</v>
      </c>
      <c r="I299" s="35">
        <v>23</v>
      </c>
      <c r="J299" s="46">
        <v>9</v>
      </c>
      <c r="K299" s="11" t="s">
        <v>792</v>
      </c>
      <c r="L299" s="27">
        <v>84</v>
      </c>
      <c r="M299" t="s">
        <v>775</v>
      </c>
      <c r="N299" t="s">
        <v>1751</v>
      </c>
      <c r="Q299">
        <f t="shared" si="4"/>
        <v>7.0645369278135881</v>
      </c>
      <c r="S299" s="48"/>
      <c r="T299" s="73"/>
      <c r="U299" s="74"/>
    </row>
    <row r="300" spans="1:21" x14ac:dyDescent="0.35">
      <c r="B300" s="102"/>
      <c r="D300" s="71">
        <v>-0.17836456962366026</v>
      </c>
      <c r="E300" s="69">
        <v>33.163117549731183</v>
      </c>
      <c r="F300" s="72"/>
      <c r="G300" s="35">
        <v>82</v>
      </c>
      <c r="H300" s="1" t="s">
        <v>1158</v>
      </c>
      <c r="I300" s="35">
        <v>20</v>
      </c>
      <c r="J300" s="46">
        <v>17</v>
      </c>
      <c r="K300" s="11" t="s">
        <v>1163</v>
      </c>
      <c r="L300" s="27">
        <v>68</v>
      </c>
      <c r="M300" t="s">
        <v>806</v>
      </c>
      <c r="N300" t="s">
        <v>1752</v>
      </c>
      <c r="Q300">
        <f t="shared" si="4"/>
        <v>0.17836456962366026</v>
      </c>
      <c r="S300" s="48"/>
      <c r="T300" s="73"/>
      <c r="U300" s="74"/>
    </row>
    <row r="301" spans="1:21" x14ac:dyDescent="0.35">
      <c r="B301" s="102"/>
      <c r="D301" s="71">
        <v>6.6140943543678832</v>
      </c>
      <c r="E301" s="69">
        <v>60.275646889737224</v>
      </c>
      <c r="F301" s="72"/>
      <c r="G301" s="35">
        <v>17</v>
      </c>
      <c r="H301" s="1" t="s">
        <v>650</v>
      </c>
      <c r="I301" s="35">
        <v>19</v>
      </c>
      <c r="J301" s="46">
        <v>15</v>
      </c>
      <c r="K301" s="11" t="s">
        <v>756</v>
      </c>
      <c r="L301" s="27">
        <v>81</v>
      </c>
      <c r="M301" t="s">
        <v>878</v>
      </c>
      <c r="N301" t="s">
        <v>1753</v>
      </c>
      <c r="Q301">
        <f t="shared" si="4"/>
        <v>6.6140943543678832</v>
      </c>
      <c r="S301" s="48"/>
      <c r="T301" s="73"/>
      <c r="U301" s="74"/>
    </row>
    <row r="302" spans="1:21" x14ac:dyDescent="0.35">
      <c r="B302" s="102"/>
      <c r="D302" s="71">
        <v>-2.1700467342711587</v>
      </c>
      <c r="E302" s="69">
        <v>35.925033381622249</v>
      </c>
      <c r="F302" s="72"/>
      <c r="G302" s="35">
        <v>80</v>
      </c>
      <c r="H302" s="1" t="s">
        <v>764</v>
      </c>
      <c r="I302" s="35">
        <v>23</v>
      </c>
      <c r="J302" s="46">
        <v>15</v>
      </c>
      <c r="K302" s="11" t="s">
        <v>771</v>
      </c>
      <c r="L302" s="27">
        <v>67</v>
      </c>
      <c r="M302" t="s">
        <v>759</v>
      </c>
      <c r="N302" t="s">
        <v>1754</v>
      </c>
      <c r="Q302">
        <f t="shared" si="4"/>
        <v>2.1700467342711587</v>
      </c>
      <c r="S302" s="48"/>
      <c r="T302" s="73"/>
      <c r="U302" s="74"/>
    </row>
    <row r="303" spans="1:21" x14ac:dyDescent="0.35">
      <c r="B303" s="102"/>
      <c r="D303" s="71">
        <v>2.5370371646631455</v>
      </c>
      <c r="E303" s="69">
        <v>55.196759168097756</v>
      </c>
      <c r="F303" s="72"/>
      <c r="G303" s="35">
        <v>30</v>
      </c>
      <c r="H303" s="1" t="s">
        <v>647</v>
      </c>
      <c r="I303" s="35">
        <v>33</v>
      </c>
      <c r="J303" s="46">
        <v>6</v>
      </c>
      <c r="K303" s="11" t="s">
        <v>779</v>
      </c>
      <c r="L303" s="27">
        <v>77</v>
      </c>
      <c r="M303" t="s">
        <v>1755</v>
      </c>
      <c r="N303" s="1" t="s">
        <v>1756</v>
      </c>
      <c r="O303" s="1" t="s">
        <v>1390</v>
      </c>
      <c r="Q303">
        <f t="shared" si="4"/>
        <v>2.5370371646631455</v>
      </c>
      <c r="S303" s="48"/>
      <c r="T303" s="73"/>
      <c r="U303" s="74"/>
    </row>
    <row r="304" spans="1:21" x14ac:dyDescent="0.35">
      <c r="B304" s="102"/>
      <c r="D304" s="71">
        <v>3.6384986811006246</v>
      </c>
      <c r="E304" s="69">
        <v>64.543929513499549</v>
      </c>
      <c r="F304" s="72"/>
      <c r="G304" s="35">
        <v>16</v>
      </c>
      <c r="H304" s="1" t="s">
        <v>718</v>
      </c>
      <c r="I304" s="35">
        <v>22</v>
      </c>
      <c r="J304" s="46">
        <v>17</v>
      </c>
      <c r="K304" s="11" t="s">
        <v>757</v>
      </c>
      <c r="L304" s="27">
        <v>76</v>
      </c>
      <c r="M304" t="s">
        <v>781</v>
      </c>
      <c r="N304" t="s">
        <v>1757</v>
      </c>
      <c r="Q304">
        <f t="shared" si="4"/>
        <v>3.6384986811006246</v>
      </c>
      <c r="S304" s="48"/>
      <c r="T304" s="73"/>
      <c r="U304" s="74"/>
    </row>
    <row r="305" spans="1:21" x14ac:dyDescent="0.35">
      <c r="B305" s="102"/>
      <c r="D305" s="71">
        <v>0.56830701257452509</v>
      </c>
      <c r="E305" s="69">
        <v>35.308352133875346</v>
      </c>
      <c r="F305" s="72"/>
      <c r="G305" s="35">
        <v>75</v>
      </c>
      <c r="H305" s="1" t="s">
        <v>774</v>
      </c>
      <c r="I305" s="35">
        <v>14</v>
      </c>
      <c r="J305" s="46">
        <v>10</v>
      </c>
      <c r="K305" s="11" t="s">
        <v>726</v>
      </c>
      <c r="L305" s="27">
        <v>69</v>
      </c>
      <c r="M305" t="s">
        <v>799</v>
      </c>
      <c r="N305" t="s">
        <v>1758</v>
      </c>
      <c r="Q305">
        <f t="shared" si="4"/>
        <v>0.56830701257452509</v>
      </c>
      <c r="S305" s="48"/>
      <c r="T305" s="73"/>
      <c r="U305" s="74"/>
    </row>
    <row r="306" spans="1:21" x14ac:dyDescent="0.35">
      <c r="B306" s="102"/>
      <c r="D306" s="71">
        <v>4.6757421127418826E-2</v>
      </c>
      <c r="E306" s="69">
        <v>40.591601842051837</v>
      </c>
      <c r="F306" s="72"/>
      <c r="G306" s="35">
        <v>74</v>
      </c>
      <c r="H306" s="1" t="s">
        <v>1155</v>
      </c>
      <c r="I306" s="35">
        <v>17</v>
      </c>
      <c r="J306" s="46">
        <v>13</v>
      </c>
      <c r="K306" s="11" t="s">
        <v>1161</v>
      </c>
      <c r="L306" s="27">
        <v>59</v>
      </c>
      <c r="M306" t="s">
        <v>719</v>
      </c>
      <c r="N306" t="s">
        <v>1759</v>
      </c>
      <c r="Q306">
        <f t="shared" si="4"/>
        <v>4.6757421127418826E-2</v>
      </c>
      <c r="S306" s="48"/>
      <c r="T306" s="73"/>
      <c r="U306" s="74"/>
    </row>
    <row r="307" spans="1:21" x14ac:dyDescent="0.35">
      <c r="A307" s="2" t="s">
        <v>1760</v>
      </c>
      <c r="B307" s="102"/>
      <c r="D307" s="71">
        <v>-7.6572960192759227</v>
      </c>
      <c r="E307" s="69">
        <v>78.683782870911372</v>
      </c>
      <c r="F307" s="72"/>
      <c r="G307" s="35">
        <v>73</v>
      </c>
      <c r="H307" s="1" t="s">
        <v>783</v>
      </c>
      <c r="I307" s="35">
        <v>25</v>
      </c>
      <c r="J307" s="46">
        <v>14</v>
      </c>
      <c r="K307" s="11" t="s">
        <v>747</v>
      </c>
      <c r="L307" s="27">
        <v>2</v>
      </c>
      <c r="M307" t="s">
        <v>836</v>
      </c>
      <c r="N307" t="s">
        <v>1761</v>
      </c>
      <c r="Q307">
        <f t="shared" si="4"/>
        <v>7.6572960192759227</v>
      </c>
      <c r="S307" s="48"/>
      <c r="T307" s="73"/>
      <c r="U307" s="74"/>
    </row>
    <row r="308" spans="1:21" x14ac:dyDescent="0.35">
      <c r="B308" s="102"/>
      <c r="D308" s="71">
        <v>1.8853006100690664</v>
      </c>
      <c r="E308" s="69">
        <v>47.626570992807814</v>
      </c>
      <c r="F308" s="72"/>
      <c r="G308" s="35">
        <v>55</v>
      </c>
      <c r="H308" s="1" t="s">
        <v>667</v>
      </c>
      <c r="I308" s="35">
        <v>17</v>
      </c>
      <c r="J308" s="46">
        <v>8</v>
      </c>
      <c r="K308" s="11" t="s">
        <v>638</v>
      </c>
      <c r="L308" s="27">
        <v>72</v>
      </c>
      <c r="M308" t="s">
        <v>748</v>
      </c>
      <c r="N308" t="s">
        <v>1762</v>
      </c>
      <c r="Q308">
        <f t="shared" si="4"/>
        <v>1.8853006100690664</v>
      </c>
      <c r="S308" s="48"/>
      <c r="T308" s="73"/>
      <c r="U308" s="74"/>
    </row>
    <row r="309" spans="1:21" x14ac:dyDescent="0.35">
      <c r="B309" s="102"/>
      <c r="D309" s="71">
        <v>-0.57696775377540133</v>
      </c>
      <c r="E309" s="69">
        <v>54.206762681268138</v>
      </c>
      <c r="F309" s="72"/>
      <c r="G309" s="35">
        <v>71</v>
      </c>
      <c r="H309" s="1" t="s">
        <v>763</v>
      </c>
      <c r="I309" s="35">
        <v>13</v>
      </c>
      <c r="J309" s="46">
        <v>9</v>
      </c>
      <c r="K309" s="11" t="s">
        <v>679</v>
      </c>
      <c r="L309" s="27">
        <v>44</v>
      </c>
      <c r="M309" t="s">
        <v>770</v>
      </c>
      <c r="N309" t="s">
        <v>1763</v>
      </c>
      <c r="Q309">
        <f t="shared" si="4"/>
        <v>0.57696775377540133</v>
      </c>
      <c r="S309" s="48"/>
      <c r="T309" s="73"/>
      <c r="U309" s="74"/>
    </row>
    <row r="310" spans="1:21" x14ac:dyDescent="0.35">
      <c r="B310" s="102"/>
      <c r="D310" s="71">
        <v>3.1487828354382481</v>
      </c>
      <c r="E310" s="69">
        <v>57.572297974686968</v>
      </c>
      <c r="F310" s="72"/>
      <c r="G310" s="35">
        <v>34</v>
      </c>
      <c r="H310" s="1" t="s">
        <v>632</v>
      </c>
      <c r="I310" s="35">
        <v>14</v>
      </c>
      <c r="J310" s="46">
        <v>7</v>
      </c>
      <c r="K310" s="11" t="s">
        <v>635</v>
      </c>
      <c r="L310" s="27">
        <v>66</v>
      </c>
      <c r="M310" t="s">
        <v>714</v>
      </c>
      <c r="N310" t="s">
        <v>1764</v>
      </c>
      <c r="Q310">
        <f t="shared" si="4"/>
        <v>3.1487828354382481</v>
      </c>
      <c r="S310" s="48"/>
      <c r="T310" s="73"/>
      <c r="U310" s="74"/>
    </row>
    <row r="311" spans="1:21" x14ac:dyDescent="0.35">
      <c r="B311" s="102"/>
      <c r="D311" s="71">
        <v>4.0657222898547687</v>
      </c>
      <c r="E311" s="69">
        <v>71.381626935818019</v>
      </c>
      <c r="F311" s="72"/>
      <c r="G311" s="35">
        <v>7</v>
      </c>
      <c r="H311" s="1" t="s">
        <v>328</v>
      </c>
      <c r="I311" s="35">
        <v>18</v>
      </c>
      <c r="J311" s="46">
        <v>11</v>
      </c>
      <c r="K311" s="11" t="s">
        <v>636</v>
      </c>
      <c r="L311" s="27">
        <v>65</v>
      </c>
      <c r="M311" t="s">
        <v>789</v>
      </c>
      <c r="N311" t="s">
        <v>1765</v>
      </c>
      <c r="Q311">
        <f t="shared" si="4"/>
        <v>4.0657222898547687</v>
      </c>
      <c r="S311" s="48"/>
      <c r="T311" s="73"/>
      <c r="U311" s="74"/>
    </row>
    <row r="312" spans="1:21" x14ac:dyDescent="0.35">
      <c r="B312" s="102"/>
      <c r="D312" s="71">
        <v>0.39413006950508389</v>
      </c>
      <c r="E312" s="69">
        <v>53.513121378924943</v>
      </c>
      <c r="F312" s="72"/>
      <c r="G312" s="35">
        <v>62</v>
      </c>
      <c r="H312" s="1" t="s">
        <v>673</v>
      </c>
      <c r="I312" s="35">
        <v>11</v>
      </c>
      <c r="J312" s="46">
        <v>5</v>
      </c>
      <c r="K312" s="11" t="s">
        <v>772</v>
      </c>
      <c r="L312" s="27">
        <v>53</v>
      </c>
      <c r="M312" t="s">
        <v>1190</v>
      </c>
      <c r="N312" t="s">
        <v>1766</v>
      </c>
      <c r="Q312">
        <f t="shared" si="4"/>
        <v>0.39413006950508389</v>
      </c>
      <c r="S312" s="48"/>
      <c r="T312" s="73"/>
      <c r="U312" s="74"/>
    </row>
    <row r="313" spans="1:21" x14ac:dyDescent="0.35">
      <c r="B313" s="102"/>
      <c r="D313" s="71">
        <v>1.3881430261183185</v>
      </c>
      <c r="E313" s="69">
        <v>54.410254981344067</v>
      </c>
      <c r="F313" s="72"/>
      <c r="G313" s="35">
        <v>50</v>
      </c>
      <c r="H313" s="1" t="s">
        <v>676</v>
      </c>
      <c r="I313" s="35">
        <v>14</v>
      </c>
      <c r="J313" s="46">
        <v>13</v>
      </c>
      <c r="K313" s="11" t="s">
        <v>723</v>
      </c>
      <c r="L313" s="27">
        <v>61</v>
      </c>
      <c r="M313" t="s">
        <v>705</v>
      </c>
      <c r="N313" t="s">
        <v>1767</v>
      </c>
      <c r="Q313">
        <f t="shared" si="4"/>
        <v>1.3881430261183185</v>
      </c>
      <c r="S313" s="48"/>
      <c r="T313" s="73"/>
      <c r="U313" s="74"/>
    </row>
    <row r="314" spans="1:21" x14ac:dyDescent="0.35">
      <c r="B314" s="102"/>
      <c r="C314" s="37" t="s">
        <v>1768</v>
      </c>
      <c r="D314" s="71">
        <v>3.2994706794216691</v>
      </c>
      <c r="E314" s="69">
        <v>62.286092371841661</v>
      </c>
      <c r="F314" s="72"/>
      <c r="G314" s="35">
        <v>28</v>
      </c>
      <c r="H314" s="1" t="s">
        <v>666</v>
      </c>
      <c r="I314" s="35">
        <v>13</v>
      </c>
      <c r="J314" s="46">
        <v>12</v>
      </c>
      <c r="K314" s="11" t="s">
        <v>1160</v>
      </c>
      <c r="L314" s="27">
        <v>60</v>
      </c>
      <c r="M314" t="s">
        <v>769</v>
      </c>
      <c r="N314" t="s">
        <v>1769</v>
      </c>
      <c r="Q314">
        <f t="shared" si="4"/>
        <v>3.2994706794216691</v>
      </c>
      <c r="S314" s="48"/>
      <c r="T314" s="73"/>
      <c r="U314" s="74"/>
    </row>
    <row r="315" spans="1:21" x14ac:dyDescent="0.35">
      <c r="B315" s="102"/>
      <c r="D315" s="71">
        <v>0.9779713806963195</v>
      </c>
      <c r="E315" s="69">
        <v>63.542520442359773</v>
      </c>
      <c r="F315" s="72"/>
      <c r="G315" s="35">
        <v>31</v>
      </c>
      <c r="H315" s="1" t="s">
        <v>672</v>
      </c>
      <c r="I315" s="35">
        <v>18</v>
      </c>
      <c r="J315" s="46">
        <v>13</v>
      </c>
      <c r="K315" s="11" t="s">
        <v>729</v>
      </c>
      <c r="L315" s="27">
        <v>58</v>
      </c>
      <c r="M315" t="s">
        <v>744</v>
      </c>
      <c r="N315" t="s">
        <v>1770</v>
      </c>
      <c r="Q315">
        <f t="shared" si="4"/>
        <v>0.9779713806963195</v>
      </c>
      <c r="S315" s="48"/>
      <c r="T315" s="73"/>
      <c r="U315" s="74"/>
    </row>
    <row r="316" spans="1:21" x14ac:dyDescent="0.35">
      <c r="B316" s="102"/>
      <c r="D316" s="71">
        <v>1.3600555965411885</v>
      </c>
      <c r="E316" s="69">
        <v>56.841031716756298</v>
      </c>
      <c r="F316" s="72"/>
      <c r="G316" s="35">
        <v>48</v>
      </c>
      <c r="H316" s="1" t="s">
        <v>641</v>
      </c>
      <c r="I316" s="35">
        <v>13</v>
      </c>
      <c r="J316" s="46">
        <v>12</v>
      </c>
      <c r="K316" s="11" t="s">
        <v>742</v>
      </c>
      <c r="L316" s="27">
        <v>57</v>
      </c>
      <c r="M316" t="s">
        <v>839</v>
      </c>
      <c r="N316" t="s">
        <v>1771</v>
      </c>
      <c r="O316" s="6" t="s">
        <v>1386</v>
      </c>
      <c r="P316" s="70" t="s">
        <v>1772</v>
      </c>
      <c r="Q316">
        <f t="shared" si="4"/>
        <v>1.3600555965411885</v>
      </c>
      <c r="S316" s="48"/>
      <c r="T316" s="73"/>
      <c r="U316" s="74"/>
    </row>
    <row r="317" spans="1:21" x14ac:dyDescent="0.35">
      <c r="B317" s="102"/>
      <c r="D317" s="71">
        <v>3.603261680070442</v>
      </c>
      <c r="E317" s="69">
        <v>76.354813085663977</v>
      </c>
      <c r="F317" s="72"/>
      <c r="G317" s="35">
        <v>12</v>
      </c>
      <c r="H317" s="1" t="s">
        <v>664</v>
      </c>
      <c r="I317" s="35">
        <v>20</v>
      </c>
      <c r="J317" s="46">
        <v>9</v>
      </c>
      <c r="K317" s="11" t="s">
        <v>1164</v>
      </c>
      <c r="L317" s="27">
        <v>47</v>
      </c>
      <c r="M317" t="s">
        <v>773</v>
      </c>
      <c r="N317" s="1" t="s">
        <v>1773</v>
      </c>
      <c r="O317" s="1" t="s">
        <v>1390</v>
      </c>
      <c r="Q317">
        <f t="shared" si="4"/>
        <v>3.603261680070442</v>
      </c>
      <c r="S317" s="48"/>
      <c r="T317" s="73"/>
      <c r="U317" s="74"/>
    </row>
    <row r="318" spans="1:21" x14ac:dyDescent="0.35">
      <c r="B318" s="102"/>
      <c r="D318" s="71">
        <v>3.6651982645971048</v>
      </c>
      <c r="E318" s="69">
        <v>79.16771552528779</v>
      </c>
      <c r="F318" s="72"/>
      <c r="G318" s="35">
        <v>5</v>
      </c>
      <c r="H318" s="1" t="s">
        <v>466</v>
      </c>
      <c r="I318" s="35">
        <v>19</v>
      </c>
      <c r="J318" s="46">
        <v>18</v>
      </c>
      <c r="K318" s="11" t="s">
        <v>753</v>
      </c>
      <c r="L318" s="27">
        <v>46</v>
      </c>
      <c r="M318" t="s">
        <v>866</v>
      </c>
      <c r="N318" t="s">
        <v>1774</v>
      </c>
      <c r="O318" s="6" t="s">
        <v>1386</v>
      </c>
      <c r="P318" s="70" t="s">
        <v>1775</v>
      </c>
      <c r="Q318">
        <f t="shared" si="4"/>
        <v>3.6651982645971048</v>
      </c>
      <c r="S318" s="48"/>
      <c r="T318" s="73"/>
      <c r="U318" s="74"/>
    </row>
    <row r="319" spans="1:21" x14ac:dyDescent="0.35">
      <c r="B319" s="102"/>
      <c r="D319" s="71">
        <v>1.3603259047253564</v>
      </c>
      <c r="E319" s="69">
        <v>76.528338639481888</v>
      </c>
      <c r="F319" s="72"/>
      <c r="G319" s="35">
        <v>18</v>
      </c>
      <c r="H319" s="1" t="s">
        <v>661</v>
      </c>
      <c r="I319" s="35">
        <v>21</v>
      </c>
      <c r="J319" s="46">
        <v>15</v>
      </c>
      <c r="K319" s="11" t="s">
        <v>677</v>
      </c>
      <c r="L319" s="27">
        <v>45</v>
      </c>
      <c r="M319" t="s">
        <v>786</v>
      </c>
      <c r="N319" t="s">
        <v>1776</v>
      </c>
      <c r="Q319">
        <f t="shared" si="4"/>
        <v>1.3603259047253564</v>
      </c>
      <c r="S319" s="48"/>
      <c r="T319" s="73"/>
      <c r="U319" s="74"/>
    </row>
    <row r="320" spans="1:21" x14ac:dyDescent="0.35">
      <c r="B320" s="102"/>
      <c r="D320" s="71">
        <v>-0.67556066070309051</v>
      </c>
      <c r="E320" s="69">
        <v>72.759329043359358</v>
      </c>
      <c r="F320" s="72"/>
      <c r="G320" s="35">
        <v>42</v>
      </c>
      <c r="H320" s="1" t="s">
        <v>671</v>
      </c>
      <c r="I320" s="35">
        <v>11</v>
      </c>
      <c r="J320" s="46">
        <v>9</v>
      </c>
      <c r="K320" s="11" t="s">
        <v>765</v>
      </c>
      <c r="L320" s="27">
        <v>27</v>
      </c>
      <c r="M320" t="s">
        <v>707</v>
      </c>
      <c r="N320" t="s">
        <v>1777</v>
      </c>
      <c r="Q320">
        <f t="shared" si="4"/>
        <v>0.67556066070309051</v>
      </c>
      <c r="S320" s="48"/>
      <c r="T320" s="73"/>
      <c r="U320" s="74"/>
    </row>
    <row r="321" spans="1:21" x14ac:dyDescent="0.35">
      <c r="B321" s="102"/>
      <c r="D321" s="71">
        <v>6.4361228854417085</v>
      </c>
      <c r="E321" s="69">
        <v>79.688483653255929</v>
      </c>
      <c r="F321" s="72"/>
      <c r="G321" s="35">
        <v>3</v>
      </c>
      <c r="H321" s="1" t="s">
        <v>245</v>
      </c>
      <c r="I321" s="35">
        <v>28</v>
      </c>
      <c r="J321" s="46">
        <v>15</v>
      </c>
      <c r="K321" s="11" t="s">
        <v>680</v>
      </c>
      <c r="L321" s="27">
        <v>41</v>
      </c>
      <c r="M321" t="s">
        <v>1179</v>
      </c>
      <c r="N321" t="s">
        <v>1778</v>
      </c>
      <c r="Q321">
        <f t="shared" si="4"/>
        <v>6.4361228854417085</v>
      </c>
      <c r="S321" s="48"/>
      <c r="T321" s="73"/>
      <c r="U321" s="74"/>
    </row>
    <row r="322" spans="1:21" x14ac:dyDescent="0.35">
      <c r="B322" s="102"/>
      <c r="D322" s="71">
        <v>2.2356388816185695</v>
      </c>
      <c r="E322" s="69">
        <v>76.617400798843889</v>
      </c>
      <c r="F322" s="72"/>
      <c r="G322" s="35">
        <v>22</v>
      </c>
      <c r="H322" s="1" t="s">
        <v>640</v>
      </c>
      <c r="I322" s="35">
        <v>20</v>
      </c>
      <c r="J322" s="46">
        <v>10</v>
      </c>
      <c r="K322" s="11" t="s">
        <v>758</v>
      </c>
      <c r="L322" s="27">
        <v>39</v>
      </c>
      <c r="M322" t="s">
        <v>793</v>
      </c>
      <c r="N322" t="s">
        <v>1779</v>
      </c>
      <c r="Q322">
        <f t="shared" si="4"/>
        <v>2.2356388816185695</v>
      </c>
      <c r="S322" s="48"/>
      <c r="T322" s="73"/>
      <c r="U322" s="74"/>
    </row>
    <row r="323" spans="1:21" x14ac:dyDescent="0.35">
      <c r="B323" s="102"/>
      <c r="D323" s="71">
        <v>1.8550193209957855</v>
      </c>
      <c r="E323" s="69">
        <v>81.532129056431586</v>
      </c>
      <c r="F323" s="72"/>
      <c r="G323" s="35">
        <v>10</v>
      </c>
      <c r="H323" s="1" t="s">
        <v>352</v>
      </c>
      <c r="I323" s="35">
        <v>12</v>
      </c>
      <c r="J323" s="46">
        <v>9</v>
      </c>
      <c r="K323" s="11" t="s">
        <v>629</v>
      </c>
      <c r="L323" s="27">
        <v>38</v>
      </c>
      <c r="M323" t="s">
        <v>710</v>
      </c>
      <c r="N323" t="s">
        <v>1780</v>
      </c>
      <c r="Q323">
        <f t="shared" ref="Q323:Q386" si="5">ABS(D323)</f>
        <v>1.8550193209957855</v>
      </c>
      <c r="S323" s="48"/>
      <c r="T323" s="73"/>
      <c r="U323" s="74"/>
    </row>
    <row r="324" spans="1:21" x14ac:dyDescent="0.35">
      <c r="B324" s="102"/>
      <c r="D324" s="71">
        <v>0.95226843196731681</v>
      </c>
      <c r="E324" s="69">
        <v>70.793022548594763</v>
      </c>
      <c r="F324" s="72"/>
      <c r="G324" s="35">
        <v>35</v>
      </c>
      <c r="H324" s="1" t="s">
        <v>693</v>
      </c>
      <c r="I324" s="35">
        <v>19</v>
      </c>
      <c r="J324" s="46">
        <v>18</v>
      </c>
      <c r="K324" s="11" t="s">
        <v>785</v>
      </c>
      <c r="L324" s="27">
        <v>36</v>
      </c>
      <c r="M324" t="s">
        <v>1781</v>
      </c>
      <c r="N324" t="s">
        <v>1782</v>
      </c>
      <c r="Q324">
        <f t="shared" si="5"/>
        <v>0.95226843196731681</v>
      </c>
      <c r="S324" s="48"/>
      <c r="T324" s="73"/>
      <c r="U324" s="74"/>
    </row>
    <row r="325" spans="1:21" x14ac:dyDescent="0.35">
      <c r="B325" s="102"/>
      <c r="D325" s="71">
        <v>2.279425985222689</v>
      </c>
      <c r="E325" s="69">
        <v>79.443267153412364</v>
      </c>
      <c r="F325" s="72"/>
      <c r="G325" s="35">
        <v>20</v>
      </c>
      <c r="H325" s="1" t="s">
        <v>643</v>
      </c>
      <c r="I325" s="35">
        <v>21</v>
      </c>
      <c r="J325" s="46">
        <v>12</v>
      </c>
      <c r="K325" s="11" t="s">
        <v>780</v>
      </c>
      <c r="L325" s="27">
        <v>33</v>
      </c>
      <c r="M325" t="s">
        <v>796</v>
      </c>
      <c r="N325" t="s">
        <v>1783</v>
      </c>
      <c r="Q325">
        <f t="shared" si="5"/>
        <v>2.279425985222689</v>
      </c>
      <c r="S325" s="48"/>
      <c r="T325" s="73"/>
      <c r="U325" s="74"/>
    </row>
    <row r="326" spans="1:21" x14ac:dyDescent="0.35">
      <c r="B326" s="102"/>
      <c r="D326" s="71">
        <v>-1.8009081807704532</v>
      </c>
      <c r="E326" s="69">
        <v>90.661362986264606</v>
      </c>
      <c r="F326" s="72"/>
      <c r="G326" s="35">
        <v>23</v>
      </c>
      <c r="H326" s="1" t="s">
        <v>642</v>
      </c>
      <c r="I326" s="35">
        <v>13</v>
      </c>
      <c r="J326" s="46">
        <v>12</v>
      </c>
      <c r="K326" s="11" t="s">
        <v>746</v>
      </c>
      <c r="L326" s="27">
        <v>11</v>
      </c>
      <c r="M326" t="s">
        <v>770</v>
      </c>
      <c r="N326" t="s">
        <v>1784</v>
      </c>
      <c r="Q326">
        <f t="shared" si="5"/>
        <v>1.8009081807704532</v>
      </c>
      <c r="S326" s="48"/>
      <c r="T326" s="73"/>
      <c r="U326" s="74"/>
    </row>
    <row r="327" spans="1:21" x14ac:dyDescent="0.35">
      <c r="B327" s="102"/>
      <c r="D327" s="71">
        <v>2.2738865519701803</v>
      </c>
      <c r="E327" s="69">
        <v>91.500795320021297</v>
      </c>
      <c r="F327" s="72"/>
      <c r="G327" s="35">
        <v>1</v>
      </c>
      <c r="H327" s="1" t="s">
        <v>242</v>
      </c>
      <c r="I327" s="35">
        <v>18</v>
      </c>
      <c r="J327" s="46">
        <v>14</v>
      </c>
      <c r="K327" s="11" t="s">
        <v>713</v>
      </c>
      <c r="L327" s="27">
        <v>21</v>
      </c>
      <c r="M327" t="s">
        <v>719</v>
      </c>
      <c r="N327" t="s">
        <v>1785</v>
      </c>
      <c r="Q327">
        <f t="shared" si="5"/>
        <v>2.2738865519701803</v>
      </c>
      <c r="S327" s="48"/>
      <c r="T327" s="73"/>
      <c r="U327" s="74"/>
    </row>
    <row r="328" spans="1:21" x14ac:dyDescent="0.35">
      <c r="B328" s="102"/>
      <c r="D328" s="71">
        <v>0.99796657474526052</v>
      </c>
      <c r="E328" s="69">
        <v>90.84966673232482</v>
      </c>
      <c r="F328" s="72"/>
      <c r="G328" s="35">
        <v>13</v>
      </c>
      <c r="H328" s="1" t="s">
        <v>468</v>
      </c>
      <c r="I328" s="35">
        <v>13</v>
      </c>
      <c r="J328" s="46">
        <v>8</v>
      </c>
      <c r="K328" s="11" t="s">
        <v>651</v>
      </c>
      <c r="L328" s="27">
        <v>14</v>
      </c>
      <c r="M328" t="s">
        <v>826</v>
      </c>
      <c r="N328" t="s">
        <v>1786</v>
      </c>
      <c r="Q328">
        <f t="shared" si="5"/>
        <v>0.99796657474526052</v>
      </c>
      <c r="S328" s="48"/>
      <c r="T328" s="73"/>
    </row>
    <row r="329" spans="1:21" ht="15" thickBot="1" x14ac:dyDescent="0.4">
      <c r="B329" s="102"/>
      <c r="C329" s="51"/>
      <c r="D329" s="82">
        <v>0.36376997056960886</v>
      </c>
      <c r="E329" s="76">
        <v>95.052664306735991</v>
      </c>
      <c r="F329" s="83"/>
      <c r="G329" s="49">
        <v>6</v>
      </c>
      <c r="H329" s="45" t="s">
        <v>644</v>
      </c>
      <c r="I329" s="49">
        <v>15</v>
      </c>
      <c r="J329" s="50">
        <v>10</v>
      </c>
      <c r="K329" s="51" t="s">
        <v>663</v>
      </c>
      <c r="L329" s="77">
        <v>9</v>
      </c>
      <c r="M329" s="40" t="s">
        <v>789</v>
      </c>
      <c r="N329" s="40" t="s">
        <v>1787</v>
      </c>
      <c r="O329" s="78"/>
      <c r="P329" s="78"/>
      <c r="Q329">
        <f t="shared" si="5"/>
        <v>0.36376997056960886</v>
      </c>
      <c r="S329" s="48"/>
      <c r="T329" s="73"/>
    </row>
    <row r="330" spans="1:21" x14ac:dyDescent="0.35">
      <c r="B330" s="102" t="s">
        <v>1105</v>
      </c>
      <c r="C330" s="11" t="s">
        <v>1788</v>
      </c>
      <c r="D330" s="71">
        <v>-0.76534877381968114</v>
      </c>
      <c r="E330" s="69">
        <v>20.1031627481361</v>
      </c>
      <c r="F330" s="72" t="s">
        <v>129</v>
      </c>
      <c r="G330" s="35">
        <v>99</v>
      </c>
      <c r="H330" s="1" t="s">
        <v>792</v>
      </c>
      <c r="I330" s="35">
        <v>25</v>
      </c>
      <c r="J330" s="46">
        <v>22</v>
      </c>
      <c r="K330" s="11" t="s">
        <v>700</v>
      </c>
      <c r="L330" s="27">
        <v>95</v>
      </c>
      <c r="M330" t="s">
        <v>1007</v>
      </c>
      <c r="N330" t="s">
        <v>1789</v>
      </c>
      <c r="O330" s="6" t="s">
        <v>1386</v>
      </c>
      <c r="P330" t="s">
        <v>1790</v>
      </c>
      <c r="Q330">
        <f t="shared" si="5"/>
        <v>0.76534877381968114</v>
      </c>
      <c r="S330" s="48"/>
      <c r="T330" s="73"/>
    </row>
    <row r="331" spans="1:21" x14ac:dyDescent="0.35">
      <c r="B331" s="102"/>
      <c r="C331" s="11" t="s">
        <v>1788</v>
      </c>
      <c r="D331" s="71">
        <v>-3.6572999462142048</v>
      </c>
      <c r="E331" s="69">
        <v>69.219901392458098</v>
      </c>
      <c r="F331" s="72" t="s">
        <v>129</v>
      </c>
      <c r="G331" s="35">
        <v>59</v>
      </c>
      <c r="H331" s="1" t="s">
        <v>774</v>
      </c>
      <c r="I331" s="35">
        <v>30</v>
      </c>
      <c r="J331" s="46">
        <v>17</v>
      </c>
      <c r="K331" s="11" t="s">
        <v>651</v>
      </c>
      <c r="L331" s="27">
        <v>29</v>
      </c>
      <c r="M331" t="s">
        <v>1791</v>
      </c>
      <c r="N331" t="s">
        <v>1792</v>
      </c>
      <c r="Q331">
        <f t="shared" si="5"/>
        <v>3.6572999462142048</v>
      </c>
      <c r="S331" s="48"/>
      <c r="T331" s="73"/>
    </row>
    <row r="332" spans="1:21" x14ac:dyDescent="0.35">
      <c r="A332" s="2" t="s">
        <v>1793</v>
      </c>
      <c r="B332" s="102"/>
      <c r="C332" s="11" t="s">
        <v>1788</v>
      </c>
      <c r="D332" s="71">
        <v>-0.49011950457119424</v>
      </c>
      <c r="E332" s="69">
        <v>43.67729452449781</v>
      </c>
      <c r="F332" s="72" t="s">
        <v>129</v>
      </c>
      <c r="G332" s="35">
        <v>61</v>
      </c>
      <c r="H332" s="1" t="s">
        <v>629</v>
      </c>
      <c r="I332" s="35">
        <v>15</v>
      </c>
      <c r="J332" s="46">
        <v>8</v>
      </c>
      <c r="K332" s="11" t="s">
        <v>1158</v>
      </c>
      <c r="L332" s="27">
        <v>74</v>
      </c>
      <c r="M332" t="s">
        <v>773</v>
      </c>
      <c r="N332" t="s">
        <v>1794</v>
      </c>
      <c r="Q332">
        <f t="shared" si="5"/>
        <v>0.49011950457119424</v>
      </c>
      <c r="S332" s="48"/>
      <c r="T332" s="73"/>
    </row>
    <row r="333" spans="1:21" x14ac:dyDescent="0.35">
      <c r="B333" s="102"/>
      <c r="C333" s="11" t="s">
        <v>1788</v>
      </c>
      <c r="D333" s="71">
        <v>6.4552178875347339</v>
      </c>
      <c r="E333" s="69">
        <v>34.3488179897981</v>
      </c>
      <c r="F333" s="72" t="s">
        <v>231</v>
      </c>
      <c r="G333" s="35">
        <v>54</v>
      </c>
      <c r="H333" s="1" t="s">
        <v>1160</v>
      </c>
      <c r="I333" s="35">
        <v>25</v>
      </c>
      <c r="J333" s="46">
        <v>16</v>
      </c>
      <c r="K333" s="11" t="s">
        <v>737</v>
      </c>
      <c r="L333" s="27">
        <v>111</v>
      </c>
      <c r="M333" t="s">
        <v>987</v>
      </c>
      <c r="N333" t="s">
        <v>1795</v>
      </c>
      <c r="P333" t="s">
        <v>1796</v>
      </c>
      <c r="Q333">
        <f t="shared" si="5"/>
        <v>6.4552178875347339</v>
      </c>
      <c r="S333" s="48"/>
      <c r="T333" s="73"/>
    </row>
    <row r="334" spans="1:21" x14ac:dyDescent="0.35">
      <c r="B334" s="102"/>
      <c r="C334" s="11" t="s">
        <v>1788</v>
      </c>
      <c r="D334" s="71">
        <v>0.23168543075638262</v>
      </c>
      <c r="E334" s="69">
        <v>24.728368353634998</v>
      </c>
      <c r="F334" s="72" t="s">
        <v>129</v>
      </c>
      <c r="G334" s="35">
        <v>79</v>
      </c>
      <c r="H334" s="1" t="s">
        <v>1162</v>
      </c>
      <c r="I334" s="35">
        <v>16</v>
      </c>
      <c r="J334" s="46">
        <v>6</v>
      </c>
      <c r="K334" s="11" t="s">
        <v>631</v>
      </c>
      <c r="L334" s="27">
        <v>100</v>
      </c>
      <c r="M334" t="s">
        <v>741</v>
      </c>
      <c r="N334" s="1" t="s">
        <v>1797</v>
      </c>
      <c r="O334" s="1" t="s">
        <v>1390</v>
      </c>
      <c r="Q334">
        <f t="shared" si="5"/>
        <v>0.23168543075638262</v>
      </c>
      <c r="S334" s="48"/>
      <c r="T334" s="73"/>
    </row>
    <row r="335" spans="1:21" x14ac:dyDescent="0.35">
      <c r="B335" s="102"/>
      <c r="C335" s="11" t="s">
        <v>1788</v>
      </c>
      <c r="D335" s="71">
        <v>-2.6326203379114186</v>
      </c>
      <c r="E335" s="69">
        <v>29.169402226883378</v>
      </c>
      <c r="F335" s="72" t="s">
        <v>129</v>
      </c>
      <c r="G335" s="35">
        <v>98</v>
      </c>
      <c r="H335" s="1" t="s">
        <v>701</v>
      </c>
      <c r="I335" s="35">
        <v>23</v>
      </c>
      <c r="J335" s="46">
        <v>8</v>
      </c>
      <c r="K335" s="11" t="s">
        <v>1161</v>
      </c>
      <c r="L335" s="27">
        <v>75</v>
      </c>
      <c r="M335" t="s">
        <v>794</v>
      </c>
      <c r="N335" s="1" t="s">
        <v>1798</v>
      </c>
      <c r="O335" s="1" t="s">
        <v>1390</v>
      </c>
      <c r="Q335">
        <f t="shared" si="5"/>
        <v>2.6326203379114186</v>
      </c>
      <c r="S335" s="48"/>
      <c r="T335" s="73"/>
    </row>
    <row r="336" spans="1:21" x14ac:dyDescent="0.35">
      <c r="B336" s="102"/>
      <c r="C336" s="11" t="s">
        <v>1788</v>
      </c>
      <c r="D336" s="71">
        <v>0.59194057123642951</v>
      </c>
      <c r="E336" s="69">
        <v>61.079339902169828</v>
      </c>
      <c r="F336" s="72" t="s">
        <v>129</v>
      </c>
      <c r="G336" s="35">
        <v>42</v>
      </c>
      <c r="H336" s="1" t="s">
        <v>660</v>
      </c>
      <c r="I336" s="35">
        <v>17</v>
      </c>
      <c r="J336" s="46">
        <v>12</v>
      </c>
      <c r="K336" s="11" t="s">
        <v>635</v>
      </c>
      <c r="L336" s="27">
        <v>60</v>
      </c>
      <c r="M336" t="s">
        <v>781</v>
      </c>
      <c r="N336" t="s">
        <v>1799</v>
      </c>
      <c r="Q336">
        <f t="shared" si="5"/>
        <v>0.59194057123642951</v>
      </c>
      <c r="S336" s="48"/>
      <c r="T336" s="73"/>
    </row>
    <row r="337" spans="1:20" x14ac:dyDescent="0.35">
      <c r="B337" s="102"/>
      <c r="C337" s="11" t="s">
        <v>1788</v>
      </c>
      <c r="D337" s="71">
        <v>4.4801119611667968</v>
      </c>
      <c r="E337" s="69">
        <v>38.829424826073719</v>
      </c>
      <c r="F337" s="72" t="s">
        <v>231</v>
      </c>
      <c r="G337" s="35">
        <v>51</v>
      </c>
      <c r="H337" s="1" t="s">
        <v>780</v>
      </c>
      <c r="I337" s="35">
        <v>19</v>
      </c>
      <c r="J337" s="46">
        <v>11</v>
      </c>
      <c r="K337" s="11" t="s">
        <v>738</v>
      </c>
      <c r="L337" s="27">
        <v>103</v>
      </c>
      <c r="M337" t="s">
        <v>741</v>
      </c>
      <c r="N337" t="s">
        <v>1800</v>
      </c>
      <c r="Q337">
        <f t="shared" si="5"/>
        <v>4.4801119611667968</v>
      </c>
      <c r="S337" s="48"/>
      <c r="T337" s="73"/>
    </row>
    <row r="338" spans="1:20" x14ac:dyDescent="0.35">
      <c r="B338" s="102"/>
      <c r="C338" s="11" t="s">
        <v>1788</v>
      </c>
      <c r="D338" s="71">
        <v>5.4244462173282759</v>
      </c>
      <c r="E338" s="69">
        <v>58.422157539793872</v>
      </c>
      <c r="F338" s="72" t="s">
        <v>129</v>
      </c>
      <c r="G338" s="35">
        <v>20</v>
      </c>
      <c r="H338" s="1" t="s">
        <v>704</v>
      </c>
      <c r="I338" s="35">
        <v>17</v>
      </c>
      <c r="J338" s="46">
        <v>13</v>
      </c>
      <c r="K338" s="11" t="s">
        <v>784</v>
      </c>
      <c r="L338" s="27">
        <v>93</v>
      </c>
      <c r="M338" t="s">
        <v>857</v>
      </c>
      <c r="N338" t="s">
        <v>1801</v>
      </c>
      <c r="Q338">
        <f t="shared" si="5"/>
        <v>5.4244462173282759</v>
      </c>
      <c r="S338" s="48"/>
      <c r="T338" s="73"/>
    </row>
    <row r="339" spans="1:20" x14ac:dyDescent="0.35">
      <c r="B339" s="102"/>
      <c r="C339" s="11" t="s">
        <v>1788</v>
      </c>
      <c r="D339" s="71">
        <v>4.1367213553260358</v>
      </c>
      <c r="E339" s="69">
        <v>54.167129947138235</v>
      </c>
      <c r="F339" s="72" t="s">
        <v>231</v>
      </c>
      <c r="G339" s="35">
        <v>31</v>
      </c>
      <c r="H339" s="1" t="s">
        <v>465</v>
      </c>
      <c r="I339" s="35">
        <v>24</v>
      </c>
      <c r="J339" s="46">
        <v>11</v>
      </c>
      <c r="K339" s="11" t="s">
        <v>633</v>
      </c>
      <c r="L339" s="27">
        <v>83</v>
      </c>
      <c r="M339" t="s">
        <v>699</v>
      </c>
      <c r="N339" t="s">
        <v>1802</v>
      </c>
      <c r="Q339">
        <f t="shared" si="5"/>
        <v>4.1367213553260358</v>
      </c>
      <c r="S339" s="48"/>
      <c r="T339" s="73"/>
    </row>
    <row r="340" spans="1:20" x14ac:dyDescent="0.35">
      <c r="B340" s="102"/>
      <c r="C340" s="11" t="s">
        <v>1788</v>
      </c>
      <c r="D340" s="71">
        <v>1.4292842603846676</v>
      </c>
      <c r="E340" s="69">
        <v>59.761766282313154</v>
      </c>
      <c r="F340" s="72" t="s">
        <v>129</v>
      </c>
      <c r="G340" s="35">
        <v>35</v>
      </c>
      <c r="H340" s="1" t="s">
        <v>672</v>
      </c>
      <c r="I340" s="35">
        <v>19</v>
      </c>
      <c r="J340" s="46">
        <v>12</v>
      </c>
      <c r="K340" s="11" t="s">
        <v>634</v>
      </c>
      <c r="L340" s="27">
        <v>69</v>
      </c>
      <c r="M340" t="s">
        <v>910</v>
      </c>
      <c r="N340" t="s">
        <v>1803</v>
      </c>
      <c r="Q340">
        <f t="shared" si="5"/>
        <v>1.4292842603846676</v>
      </c>
      <c r="S340" s="48"/>
      <c r="T340" s="73"/>
    </row>
    <row r="341" spans="1:20" x14ac:dyDescent="0.35">
      <c r="B341" s="102"/>
      <c r="C341" s="11" t="s">
        <v>1788</v>
      </c>
      <c r="D341" s="71">
        <v>-2.7574766128293113</v>
      </c>
      <c r="E341" s="69">
        <v>65.971984297185401</v>
      </c>
      <c r="F341" s="72" t="s">
        <v>129</v>
      </c>
      <c r="G341" s="35">
        <v>58</v>
      </c>
      <c r="H341" s="1" t="s">
        <v>680</v>
      </c>
      <c r="I341" s="35">
        <v>16</v>
      </c>
      <c r="J341" s="46">
        <v>12</v>
      </c>
      <c r="K341" s="11" t="s">
        <v>677</v>
      </c>
      <c r="L341" s="27">
        <v>37</v>
      </c>
      <c r="M341" t="s">
        <v>724</v>
      </c>
      <c r="N341" t="s">
        <v>1804</v>
      </c>
      <c r="Q341">
        <f t="shared" si="5"/>
        <v>2.7574766128293113</v>
      </c>
      <c r="S341" s="48"/>
      <c r="T341" s="73"/>
    </row>
    <row r="342" spans="1:20" x14ac:dyDescent="0.35">
      <c r="A342" s="2" t="s">
        <v>1805</v>
      </c>
      <c r="B342" s="102"/>
      <c r="C342" s="11" t="s">
        <v>1788</v>
      </c>
      <c r="D342" s="71">
        <v>4.2732541133978792</v>
      </c>
      <c r="E342" s="69">
        <v>45.766529381004283</v>
      </c>
      <c r="F342" s="72" t="s">
        <v>231</v>
      </c>
      <c r="G342" s="35">
        <v>44</v>
      </c>
      <c r="H342" s="1" t="s">
        <v>753</v>
      </c>
      <c r="I342" s="35">
        <v>15</v>
      </c>
      <c r="J342" s="46">
        <v>12</v>
      </c>
      <c r="K342" s="11" t="s">
        <v>716</v>
      </c>
      <c r="L342" s="27">
        <v>92</v>
      </c>
      <c r="M342" t="s">
        <v>727</v>
      </c>
      <c r="N342" t="s">
        <v>1806</v>
      </c>
      <c r="Q342">
        <f t="shared" si="5"/>
        <v>4.2732541133978792</v>
      </c>
      <c r="S342" s="48"/>
      <c r="T342" s="73"/>
    </row>
    <row r="343" spans="1:20" x14ac:dyDescent="0.35">
      <c r="B343" s="102"/>
      <c r="C343" s="11" t="s">
        <v>1788</v>
      </c>
      <c r="D343" s="71">
        <v>5.9143008418459937</v>
      </c>
      <c r="E343" s="69">
        <v>66.821826577617699</v>
      </c>
      <c r="F343" s="72" t="s">
        <v>129</v>
      </c>
      <c r="G343" s="35">
        <v>6</v>
      </c>
      <c r="H343" s="1" t="s">
        <v>352</v>
      </c>
      <c r="I343" s="35">
        <v>26</v>
      </c>
      <c r="J343" s="46">
        <v>8</v>
      </c>
      <c r="K343" s="11" t="s">
        <v>723</v>
      </c>
      <c r="L343" s="27">
        <v>81</v>
      </c>
      <c r="M343" t="s">
        <v>844</v>
      </c>
      <c r="N343" t="s">
        <v>1807</v>
      </c>
      <c r="Q343">
        <f t="shared" si="5"/>
        <v>5.9143008418459937</v>
      </c>
      <c r="S343" s="48"/>
      <c r="T343" s="73"/>
    </row>
    <row r="344" spans="1:20" x14ac:dyDescent="0.35">
      <c r="B344" s="102"/>
      <c r="C344" s="11" t="s">
        <v>1788</v>
      </c>
      <c r="D344" s="71">
        <v>-1.2535252909532888</v>
      </c>
      <c r="E344" s="69">
        <v>50.610402695354352</v>
      </c>
      <c r="F344" s="72" t="s">
        <v>231</v>
      </c>
      <c r="G344" s="35">
        <v>78</v>
      </c>
      <c r="H344" s="1" t="s">
        <v>712</v>
      </c>
      <c r="I344" s="35">
        <v>11</v>
      </c>
      <c r="J344" s="46">
        <v>7</v>
      </c>
      <c r="K344" s="11" t="s">
        <v>1155</v>
      </c>
      <c r="L344" s="27">
        <v>55</v>
      </c>
      <c r="M344" t="s">
        <v>832</v>
      </c>
      <c r="N344" t="s">
        <v>1808</v>
      </c>
      <c r="Q344">
        <f t="shared" si="5"/>
        <v>1.2535252909532888</v>
      </c>
      <c r="S344" s="48"/>
      <c r="T344" s="73"/>
    </row>
    <row r="345" spans="1:20" x14ac:dyDescent="0.35">
      <c r="B345" s="102"/>
      <c r="C345" s="11" t="s">
        <v>1788</v>
      </c>
      <c r="D345" s="71">
        <v>3.7808569223183373</v>
      </c>
      <c r="E345" s="69">
        <v>41.564996066443406</v>
      </c>
      <c r="F345" s="72" t="s">
        <v>129</v>
      </c>
      <c r="G345" s="35">
        <v>43</v>
      </c>
      <c r="H345" s="1" t="s">
        <v>758</v>
      </c>
      <c r="I345" s="35">
        <v>26</v>
      </c>
      <c r="J345" s="46">
        <v>7</v>
      </c>
      <c r="K345" s="11" t="s">
        <v>777</v>
      </c>
      <c r="L345" s="27">
        <v>105</v>
      </c>
      <c r="M345" t="s">
        <v>820</v>
      </c>
      <c r="N345" s="1" t="s">
        <v>1809</v>
      </c>
      <c r="O345" s="1" t="s">
        <v>1390</v>
      </c>
      <c r="Q345">
        <f t="shared" si="5"/>
        <v>3.7808569223183373</v>
      </c>
      <c r="S345" s="48"/>
      <c r="T345" s="73"/>
    </row>
    <row r="346" spans="1:20" x14ac:dyDescent="0.35">
      <c r="B346" s="102"/>
      <c r="C346" s="11" t="s">
        <v>1788</v>
      </c>
      <c r="D346" s="71">
        <v>-1.5920792384039433</v>
      </c>
      <c r="E346" s="69">
        <v>37.863610345785496</v>
      </c>
      <c r="F346" s="72" t="s">
        <v>231</v>
      </c>
      <c r="G346" s="35">
        <v>96</v>
      </c>
      <c r="H346" s="1" t="s">
        <v>732</v>
      </c>
      <c r="I346" s="35">
        <v>19</v>
      </c>
      <c r="J346" s="46">
        <v>15</v>
      </c>
      <c r="K346" s="11" t="s">
        <v>771</v>
      </c>
      <c r="L346" s="27">
        <v>57</v>
      </c>
      <c r="M346" t="s">
        <v>796</v>
      </c>
      <c r="N346" t="s">
        <v>1810</v>
      </c>
      <c r="P346" t="s">
        <v>1811</v>
      </c>
      <c r="Q346">
        <f t="shared" si="5"/>
        <v>1.5920792384039433</v>
      </c>
      <c r="S346" s="48"/>
      <c r="T346" s="73"/>
    </row>
    <row r="347" spans="1:20" x14ac:dyDescent="0.35">
      <c r="B347" s="102"/>
      <c r="C347" s="11" t="s">
        <v>1788</v>
      </c>
      <c r="D347" s="71">
        <v>3.502752797393871</v>
      </c>
      <c r="E347" s="69">
        <v>50.438330264606975</v>
      </c>
      <c r="F347" s="72" t="s">
        <v>129</v>
      </c>
      <c r="G347" s="35">
        <v>36</v>
      </c>
      <c r="H347" s="1" t="s">
        <v>666</v>
      </c>
      <c r="I347" s="35">
        <v>18</v>
      </c>
      <c r="J347" s="46">
        <v>10</v>
      </c>
      <c r="K347" s="11" t="s">
        <v>779</v>
      </c>
      <c r="L347" s="27">
        <v>89</v>
      </c>
      <c r="M347" t="s">
        <v>724</v>
      </c>
      <c r="N347" t="s">
        <v>1812</v>
      </c>
      <c r="Q347">
        <f t="shared" si="5"/>
        <v>3.502752797393871</v>
      </c>
      <c r="S347" s="48"/>
      <c r="T347" s="73"/>
    </row>
    <row r="348" spans="1:20" x14ac:dyDescent="0.35">
      <c r="B348" s="102"/>
      <c r="C348" s="11" t="s">
        <v>1788</v>
      </c>
      <c r="D348" s="71">
        <v>7.2997930969975462</v>
      </c>
      <c r="E348" s="69">
        <v>50.448710349158802</v>
      </c>
      <c r="F348" s="72" t="s">
        <v>231</v>
      </c>
      <c r="G348" s="35">
        <v>25</v>
      </c>
      <c r="H348" s="1" t="s">
        <v>652</v>
      </c>
      <c r="I348" s="35">
        <v>24</v>
      </c>
      <c r="J348" s="46">
        <v>11</v>
      </c>
      <c r="K348" s="11" t="s">
        <v>709</v>
      </c>
      <c r="L348" s="27">
        <v>108</v>
      </c>
      <c r="M348" t="s">
        <v>789</v>
      </c>
      <c r="N348" t="s">
        <v>1813</v>
      </c>
      <c r="Q348">
        <f t="shared" si="5"/>
        <v>7.2997930969975462</v>
      </c>
      <c r="S348" s="48"/>
      <c r="T348" s="73"/>
    </row>
    <row r="349" spans="1:20" ht="15" thickBot="1" x14ac:dyDescent="0.4">
      <c r="B349" s="102"/>
      <c r="C349" s="51" t="s">
        <v>1788</v>
      </c>
      <c r="D349" s="82">
        <v>0.42177365142712375</v>
      </c>
      <c r="E349" s="76">
        <v>53.640023405470359</v>
      </c>
      <c r="F349" s="83" t="s">
        <v>129</v>
      </c>
      <c r="G349" s="49">
        <v>52</v>
      </c>
      <c r="H349" s="45" t="s">
        <v>772</v>
      </c>
      <c r="I349" s="49">
        <v>18</v>
      </c>
      <c r="J349" s="50">
        <v>11</v>
      </c>
      <c r="K349" s="51" t="s">
        <v>665</v>
      </c>
      <c r="L349" s="77">
        <v>70</v>
      </c>
      <c r="M349" s="40" t="s">
        <v>724</v>
      </c>
      <c r="N349" s="45" t="s">
        <v>1814</v>
      </c>
      <c r="O349" s="79" t="s">
        <v>1390</v>
      </c>
      <c r="P349" s="78"/>
      <c r="Q349">
        <f t="shared" si="5"/>
        <v>0.42177365142712375</v>
      </c>
      <c r="S349" s="48"/>
      <c r="T349" s="73"/>
    </row>
    <row r="350" spans="1:20" x14ac:dyDescent="0.35">
      <c r="A350" s="2" t="s">
        <v>1815</v>
      </c>
      <c r="B350" s="102" t="s">
        <v>1106</v>
      </c>
      <c r="C350" s="11" t="s">
        <v>1816</v>
      </c>
      <c r="D350" s="71">
        <v>-1.0368715497677421</v>
      </c>
      <c r="E350" s="69">
        <v>64.453854776983604</v>
      </c>
      <c r="F350" s="72" t="s">
        <v>129</v>
      </c>
      <c r="G350" s="35">
        <v>46</v>
      </c>
      <c r="H350" s="1" t="s">
        <v>646</v>
      </c>
      <c r="I350" s="35">
        <v>13</v>
      </c>
      <c r="J350" s="46">
        <v>12</v>
      </c>
      <c r="K350" s="11" t="s">
        <v>676</v>
      </c>
      <c r="L350" s="27">
        <v>48</v>
      </c>
      <c r="M350" t="s">
        <v>857</v>
      </c>
      <c r="N350" t="s">
        <v>1817</v>
      </c>
      <c r="Q350">
        <f t="shared" si="5"/>
        <v>1.0368715497677421</v>
      </c>
      <c r="S350" s="48"/>
      <c r="T350" s="73"/>
    </row>
    <row r="351" spans="1:20" x14ac:dyDescent="0.35">
      <c r="B351" s="102"/>
      <c r="C351" s="11" t="s">
        <v>1816</v>
      </c>
      <c r="D351" s="71">
        <v>-1.6668648128215644</v>
      </c>
      <c r="E351" s="69">
        <v>64.885850157363365</v>
      </c>
      <c r="F351" s="72" t="s">
        <v>231</v>
      </c>
      <c r="G351" s="35">
        <v>67</v>
      </c>
      <c r="H351" s="1" t="s">
        <v>761</v>
      </c>
      <c r="I351" s="35">
        <v>15</v>
      </c>
      <c r="J351" s="46">
        <v>12</v>
      </c>
      <c r="K351" s="11" t="s">
        <v>765</v>
      </c>
      <c r="L351" s="27">
        <v>27</v>
      </c>
      <c r="M351" t="s">
        <v>796</v>
      </c>
      <c r="N351" t="s">
        <v>1818</v>
      </c>
      <c r="Q351">
        <f t="shared" si="5"/>
        <v>1.6668648128215644</v>
      </c>
      <c r="S351" s="48"/>
      <c r="T351" s="73"/>
    </row>
    <row r="352" spans="1:20" x14ac:dyDescent="0.35">
      <c r="B352" s="102"/>
      <c r="C352" s="11" t="s">
        <v>1816</v>
      </c>
      <c r="D352" s="71">
        <v>3.6812737736222378</v>
      </c>
      <c r="E352" s="69">
        <v>76.904269412373324</v>
      </c>
      <c r="F352" s="72" t="s">
        <v>231</v>
      </c>
      <c r="G352" s="35">
        <v>18</v>
      </c>
      <c r="H352" s="1" t="s">
        <v>640</v>
      </c>
      <c r="I352" s="35">
        <v>24</v>
      </c>
      <c r="J352" s="46">
        <v>7</v>
      </c>
      <c r="K352" s="11" t="s">
        <v>660</v>
      </c>
      <c r="L352" s="27">
        <v>42</v>
      </c>
      <c r="M352" t="s">
        <v>752</v>
      </c>
      <c r="N352" s="1" t="s">
        <v>1819</v>
      </c>
      <c r="O352" s="1" t="s">
        <v>1390</v>
      </c>
      <c r="Q352">
        <f t="shared" si="5"/>
        <v>3.6812737736222378</v>
      </c>
      <c r="S352" s="48"/>
      <c r="T352" s="73"/>
    </row>
    <row r="353" spans="1:21" x14ac:dyDescent="0.35">
      <c r="B353" s="102"/>
      <c r="C353" s="11" t="s">
        <v>1816</v>
      </c>
      <c r="D353" s="71">
        <v>-2.1993359301129347</v>
      </c>
      <c r="E353" s="69">
        <v>70.265258923506011</v>
      </c>
      <c r="F353" s="72" t="s">
        <v>129</v>
      </c>
      <c r="G353" s="35">
        <v>43</v>
      </c>
      <c r="H353" s="1" t="s">
        <v>758</v>
      </c>
      <c r="I353" s="35">
        <v>10</v>
      </c>
      <c r="J353" s="46">
        <v>7</v>
      </c>
      <c r="K353" s="11" t="s">
        <v>713</v>
      </c>
      <c r="L353" s="27">
        <v>38</v>
      </c>
      <c r="M353" t="s">
        <v>714</v>
      </c>
      <c r="N353" t="s">
        <v>1820</v>
      </c>
      <c r="Q353">
        <f t="shared" si="5"/>
        <v>2.1993359301129347</v>
      </c>
      <c r="S353" s="48"/>
      <c r="T353" s="73"/>
    </row>
    <row r="354" spans="1:21" x14ac:dyDescent="0.35">
      <c r="A354" s="2" t="s">
        <v>1821</v>
      </c>
      <c r="B354" s="102"/>
      <c r="C354" s="11" t="s">
        <v>1822</v>
      </c>
      <c r="D354" s="71">
        <v>-1.6208702738931062</v>
      </c>
      <c r="E354" s="69">
        <v>57.525739616383852</v>
      </c>
      <c r="F354" s="72" t="s">
        <v>231</v>
      </c>
      <c r="G354" s="35">
        <v>76</v>
      </c>
      <c r="H354" s="1" t="s">
        <v>729</v>
      </c>
      <c r="I354" s="35">
        <v>18</v>
      </c>
      <c r="J354" s="46">
        <v>9</v>
      </c>
      <c r="K354" s="11" t="s">
        <v>677</v>
      </c>
      <c r="L354" s="27">
        <v>37</v>
      </c>
      <c r="M354" t="s">
        <v>934</v>
      </c>
      <c r="N354" t="s">
        <v>1823</v>
      </c>
      <c r="Q354">
        <f t="shared" si="5"/>
        <v>1.6208702738931062</v>
      </c>
      <c r="S354" s="48"/>
      <c r="T354" s="73"/>
    </row>
    <row r="355" spans="1:21" x14ac:dyDescent="0.35">
      <c r="B355" s="102"/>
      <c r="C355" s="11" t="s">
        <v>1822</v>
      </c>
      <c r="D355" s="71">
        <v>5.1273852171547638</v>
      </c>
      <c r="E355" s="69">
        <v>42.098364422522451</v>
      </c>
      <c r="F355" s="72" t="s">
        <v>231</v>
      </c>
      <c r="G355" s="35">
        <v>49</v>
      </c>
      <c r="H355" s="1" t="s">
        <v>641</v>
      </c>
      <c r="I355" s="35">
        <v>16</v>
      </c>
      <c r="J355" s="46">
        <v>13</v>
      </c>
      <c r="K355" s="11" t="s">
        <v>716</v>
      </c>
      <c r="L355" s="27">
        <v>92</v>
      </c>
      <c r="M355" t="s">
        <v>770</v>
      </c>
      <c r="N355" t="s">
        <v>1824</v>
      </c>
      <c r="Q355">
        <f t="shared" si="5"/>
        <v>5.1273852171547638</v>
      </c>
      <c r="S355" s="48"/>
      <c r="T355" s="73"/>
    </row>
    <row r="356" spans="1:21" x14ac:dyDescent="0.35">
      <c r="B356" s="102"/>
      <c r="C356" s="11" t="s">
        <v>1822</v>
      </c>
      <c r="D356" s="71">
        <v>4.8090443876300135</v>
      </c>
      <c r="E356" s="69">
        <v>83.330940991339418</v>
      </c>
      <c r="F356" s="72" t="s">
        <v>231</v>
      </c>
      <c r="G356" s="35">
        <v>8</v>
      </c>
      <c r="H356" s="1" t="s">
        <v>747</v>
      </c>
      <c r="I356" s="35">
        <v>18</v>
      </c>
      <c r="J356" s="46">
        <v>5</v>
      </c>
      <c r="K356" s="11" t="s">
        <v>465</v>
      </c>
      <c r="L356" s="27">
        <v>31</v>
      </c>
      <c r="M356" t="s">
        <v>801</v>
      </c>
      <c r="N356" s="1" t="s">
        <v>1825</v>
      </c>
      <c r="O356" s="1" t="s">
        <v>1390</v>
      </c>
      <c r="Q356">
        <f t="shared" si="5"/>
        <v>4.8090443876300135</v>
      </c>
      <c r="S356" s="48"/>
      <c r="T356" s="73"/>
    </row>
    <row r="357" spans="1:21" x14ac:dyDescent="0.35">
      <c r="B357" s="102"/>
      <c r="C357" s="11" t="s">
        <v>1822</v>
      </c>
      <c r="D357" s="71">
        <v>-6.5307520813837954</v>
      </c>
      <c r="E357" s="69">
        <v>78.735372855805991</v>
      </c>
      <c r="F357" s="72" t="s">
        <v>129</v>
      </c>
      <c r="G357" s="35">
        <v>62</v>
      </c>
      <c r="H357" s="1" t="s">
        <v>742</v>
      </c>
      <c r="I357" s="35">
        <v>21</v>
      </c>
      <c r="J357" s="46">
        <v>18</v>
      </c>
      <c r="K357" s="11" t="s">
        <v>661</v>
      </c>
      <c r="L357" s="27">
        <v>16</v>
      </c>
      <c r="M357" t="s">
        <v>786</v>
      </c>
      <c r="N357" t="s">
        <v>1826</v>
      </c>
      <c r="P357" t="s">
        <v>1216</v>
      </c>
      <c r="Q357">
        <f t="shared" si="5"/>
        <v>6.5307520813837954</v>
      </c>
      <c r="S357" s="48"/>
      <c r="T357" s="73"/>
    </row>
    <row r="358" spans="1:21" x14ac:dyDescent="0.35">
      <c r="B358" s="102"/>
      <c r="C358" s="11" t="s">
        <v>1827</v>
      </c>
      <c r="D358" s="71">
        <v>10.183027440014776</v>
      </c>
      <c r="E358" s="69">
        <v>58.731638326847012</v>
      </c>
      <c r="F358" s="72" t="s">
        <v>231</v>
      </c>
      <c r="G358" s="35">
        <v>4</v>
      </c>
      <c r="H358" s="1" t="s">
        <v>466</v>
      </c>
      <c r="I358" s="35">
        <v>22</v>
      </c>
      <c r="J358" s="46">
        <v>12</v>
      </c>
      <c r="K358" s="11" t="s">
        <v>732</v>
      </c>
      <c r="L358" s="27">
        <v>96</v>
      </c>
      <c r="M358" t="s">
        <v>707</v>
      </c>
      <c r="N358" t="s">
        <v>1828</v>
      </c>
      <c r="Q358">
        <f t="shared" si="5"/>
        <v>10.183027440014776</v>
      </c>
      <c r="S358" s="48"/>
      <c r="T358" s="73"/>
    </row>
    <row r="359" spans="1:21" x14ac:dyDescent="0.35">
      <c r="B359" s="102"/>
      <c r="C359" s="11" t="s">
        <v>1827</v>
      </c>
      <c r="D359" s="71">
        <v>-4.0814562753074473</v>
      </c>
      <c r="E359" s="69">
        <v>81.198712874496536</v>
      </c>
      <c r="F359" s="72" t="s">
        <v>129</v>
      </c>
      <c r="G359" s="35">
        <v>44</v>
      </c>
      <c r="H359" s="1" t="s">
        <v>753</v>
      </c>
      <c r="I359" s="35">
        <v>23</v>
      </c>
      <c r="J359" s="46">
        <v>12</v>
      </c>
      <c r="K359" s="11" t="s">
        <v>692</v>
      </c>
      <c r="L359" s="27">
        <v>19</v>
      </c>
      <c r="M359" t="s">
        <v>1154</v>
      </c>
      <c r="N359" s="1" t="s">
        <v>1829</v>
      </c>
      <c r="O359" s="1" t="s">
        <v>1390</v>
      </c>
      <c r="Q359">
        <f t="shared" si="5"/>
        <v>4.0814562753074473</v>
      </c>
      <c r="S359" s="48"/>
      <c r="T359" s="73"/>
    </row>
    <row r="360" spans="1:21" x14ac:dyDescent="0.35">
      <c r="B360" s="102"/>
      <c r="C360" s="11" t="s">
        <v>1827</v>
      </c>
      <c r="D360" s="71">
        <v>4.5346054076428102</v>
      </c>
      <c r="E360" s="69">
        <v>41.347699149044928</v>
      </c>
      <c r="F360" s="72" t="s">
        <v>231</v>
      </c>
      <c r="G360" s="35">
        <v>53</v>
      </c>
      <c r="H360" s="1" t="s">
        <v>648</v>
      </c>
      <c r="I360" s="35">
        <v>19</v>
      </c>
      <c r="J360" s="46">
        <v>13</v>
      </c>
      <c r="K360" s="11" t="s">
        <v>743</v>
      </c>
      <c r="L360" s="27">
        <v>91</v>
      </c>
      <c r="M360" t="s">
        <v>773</v>
      </c>
      <c r="N360" t="s">
        <v>1830</v>
      </c>
      <c r="Q360">
        <f t="shared" si="5"/>
        <v>4.5346054076428102</v>
      </c>
      <c r="S360" s="48"/>
      <c r="T360" s="73"/>
    </row>
    <row r="361" spans="1:21" x14ac:dyDescent="0.35">
      <c r="B361" s="102"/>
      <c r="C361" s="11" t="s">
        <v>1827</v>
      </c>
      <c r="D361" s="71">
        <v>3.7538305666693979</v>
      </c>
      <c r="E361" s="69">
        <v>72.054516182855281</v>
      </c>
      <c r="F361" s="72" t="s">
        <v>231</v>
      </c>
      <c r="G361" s="35">
        <v>24</v>
      </c>
      <c r="H361" s="1" t="s">
        <v>642</v>
      </c>
      <c r="I361" s="35">
        <v>24</v>
      </c>
      <c r="J361" s="46">
        <v>11</v>
      </c>
      <c r="K361" s="11" t="s">
        <v>678</v>
      </c>
      <c r="L361" s="27">
        <v>50</v>
      </c>
      <c r="M361" t="s">
        <v>1174</v>
      </c>
      <c r="N361" s="1" t="s">
        <v>1831</v>
      </c>
      <c r="O361" s="1" t="s">
        <v>1390</v>
      </c>
      <c r="Q361">
        <f t="shared" si="5"/>
        <v>3.7538305666693979</v>
      </c>
      <c r="S361" s="48"/>
      <c r="T361" s="73"/>
    </row>
    <row r="362" spans="1:21" x14ac:dyDescent="0.35">
      <c r="B362" s="102"/>
      <c r="C362" s="11" t="s">
        <v>1832</v>
      </c>
      <c r="D362" s="71">
        <v>9.6876621395469389</v>
      </c>
      <c r="E362" s="69">
        <v>57.699888818596378</v>
      </c>
      <c r="F362" s="72" t="s">
        <v>231</v>
      </c>
      <c r="G362" s="35">
        <v>7</v>
      </c>
      <c r="H362" s="1" t="s">
        <v>649</v>
      </c>
      <c r="I362" s="35">
        <v>27</v>
      </c>
      <c r="J362" s="46">
        <v>4</v>
      </c>
      <c r="K362" s="11" t="s">
        <v>760</v>
      </c>
      <c r="L362" s="27">
        <v>97</v>
      </c>
      <c r="M362" t="s">
        <v>739</v>
      </c>
      <c r="N362" s="1" t="s">
        <v>1833</v>
      </c>
      <c r="O362" s="1" t="s">
        <v>1390</v>
      </c>
      <c r="Q362">
        <f t="shared" si="5"/>
        <v>9.6876621395469389</v>
      </c>
      <c r="S362" s="48"/>
      <c r="T362" s="73"/>
    </row>
    <row r="363" spans="1:21" x14ac:dyDescent="0.35">
      <c r="B363" s="102"/>
      <c r="C363" s="11" t="s">
        <v>1832</v>
      </c>
      <c r="D363" s="71">
        <v>1.3678253593949916</v>
      </c>
      <c r="E363" s="69">
        <v>59.333491182129151</v>
      </c>
      <c r="F363" s="72" t="s">
        <v>231</v>
      </c>
      <c r="G363" s="35">
        <v>51</v>
      </c>
      <c r="H363" s="1" t="s">
        <v>780</v>
      </c>
      <c r="I363" s="35">
        <v>22</v>
      </c>
      <c r="J363" s="46">
        <v>5</v>
      </c>
      <c r="K363" s="11" t="s">
        <v>772</v>
      </c>
      <c r="L363" s="27">
        <v>52</v>
      </c>
      <c r="M363" t="s">
        <v>935</v>
      </c>
      <c r="N363" s="1" t="s">
        <v>1834</v>
      </c>
      <c r="O363" s="1" t="s">
        <v>1390</v>
      </c>
      <c r="Q363">
        <f t="shared" si="5"/>
        <v>1.3678253593949916</v>
      </c>
      <c r="S363" s="48"/>
      <c r="T363" s="73"/>
    </row>
    <row r="364" spans="1:21" x14ac:dyDescent="0.35">
      <c r="B364" s="102"/>
      <c r="C364" s="11" t="s">
        <v>1832</v>
      </c>
      <c r="D364" s="71">
        <v>8.0978891358934324E-2</v>
      </c>
      <c r="E364" s="69">
        <v>58.287328760211018</v>
      </c>
      <c r="F364" s="72" t="s">
        <v>231</v>
      </c>
      <c r="G364" s="35">
        <v>63</v>
      </c>
      <c r="H364" s="1" t="s">
        <v>679</v>
      </c>
      <c r="I364" s="35">
        <v>12</v>
      </c>
      <c r="J364" s="46">
        <v>11</v>
      </c>
      <c r="K364" s="11" t="s">
        <v>673</v>
      </c>
      <c r="L364" s="27">
        <v>45</v>
      </c>
      <c r="M364" t="s">
        <v>769</v>
      </c>
      <c r="N364" t="s">
        <v>1835</v>
      </c>
      <c r="Q364">
        <f t="shared" si="5"/>
        <v>8.0978891358934324E-2</v>
      </c>
      <c r="S364" s="48"/>
      <c r="T364" s="73"/>
    </row>
    <row r="365" spans="1:21" x14ac:dyDescent="0.35">
      <c r="B365" s="102"/>
      <c r="C365" s="11" t="s">
        <v>1832</v>
      </c>
      <c r="D365" s="71">
        <v>3.7174750804396082</v>
      </c>
      <c r="E365" s="69">
        <v>83.050874230555706</v>
      </c>
      <c r="F365" s="72" t="s">
        <v>231</v>
      </c>
      <c r="G365" s="35">
        <v>12</v>
      </c>
      <c r="H365" s="1" t="s">
        <v>718</v>
      </c>
      <c r="I365" s="35">
        <v>23</v>
      </c>
      <c r="J365" s="46">
        <v>19</v>
      </c>
      <c r="K365" s="11" t="s">
        <v>693</v>
      </c>
      <c r="L365" s="27">
        <v>30</v>
      </c>
      <c r="M365" t="s">
        <v>1094</v>
      </c>
      <c r="N365" t="s">
        <v>1836</v>
      </c>
      <c r="Q365">
        <f t="shared" si="5"/>
        <v>3.7174750804396082</v>
      </c>
      <c r="S365" s="48"/>
      <c r="T365" s="73"/>
      <c r="U365" s="74"/>
    </row>
    <row r="366" spans="1:21" x14ac:dyDescent="0.35">
      <c r="B366" s="102"/>
      <c r="C366" s="11" t="s">
        <v>1837</v>
      </c>
      <c r="D366" s="71">
        <v>-1.3680977271461867</v>
      </c>
      <c r="E366" s="69">
        <v>33.652409870043108</v>
      </c>
      <c r="F366" s="72" t="s">
        <v>129</v>
      </c>
      <c r="G366" s="35">
        <v>77</v>
      </c>
      <c r="H366" s="1" t="s">
        <v>726</v>
      </c>
      <c r="I366" s="35">
        <v>20</v>
      </c>
      <c r="J366" s="46">
        <v>15</v>
      </c>
      <c r="K366" s="11" t="s">
        <v>751</v>
      </c>
      <c r="L366" s="27">
        <v>80</v>
      </c>
      <c r="M366" t="s">
        <v>987</v>
      </c>
      <c r="N366" t="s">
        <v>1838</v>
      </c>
      <c r="Q366">
        <f t="shared" si="5"/>
        <v>1.3680977271461867</v>
      </c>
      <c r="S366" s="48"/>
      <c r="T366" s="73"/>
      <c r="U366" s="74"/>
    </row>
    <row r="367" spans="1:21" x14ac:dyDescent="0.35">
      <c r="B367" s="102"/>
      <c r="C367" s="11" t="s">
        <v>1837</v>
      </c>
      <c r="D367" s="71">
        <v>5.4659903001591754</v>
      </c>
      <c r="E367" s="69">
        <v>70.880463794176563</v>
      </c>
      <c r="F367" s="72" t="s">
        <v>231</v>
      </c>
      <c r="G367" s="35">
        <v>17</v>
      </c>
      <c r="H367" s="1" t="s">
        <v>650</v>
      </c>
      <c r="I367" s="35">
        <v>15</v>
      </c>
      <c r="J367" s="46">
        <v>12</v>
      </c>
      <c r="K367" s="11" t="s">
        <v>771</v>
      </c>
      <c r="L367" s="27">
        <v>57</v>
      </c>
      <c r="M367" t="s">
        <v>857</v>
      </c>
      <c r="N367" t="s">
        <v>1839</v>
      </c>
      <c r="Q367">
        <f t="shared" si="5"/>
        <v>5.4659903001591754</v>
      </c>
      <c r="S367" s="48"/>
      <c r="T367" s="73"/>
      <c r="U367" s="74"/>
    </row>
    <row r="368" spans="1:21" x14ac:dyDescent="0.35">
      <c r="B368" s="102"/>
      <c r="C368" s="11" t="s">
        <v>1837</v>
      </c>
      <c r="D368" s="71">
        <v>-3.111599623876427</v>
      </c>
      <c r="E368" s="69">
        <v>20.276525456372418</v>
      </c>
      <c r="F368" s="72" t="s">
        <v>129</v>
      </c>
      <c r="G368" s="35">
        <v>107</v>
      </c>
      <c r="H368" s="1" t="s">
        <v>776</v>
      </c>
      <c r="I368" s="35">
        <v>27</v>
      </c>
      <c r="J368" s="46">
        <v>14</v>
      </c>
      <c r="K368" s="11" t="s">
        <v>778</v>
      </c>
      <c r="L368" s="27">
        <v>84</v>
      </c>
      <c r="M368" t="s">
        <v>881</v>
      </c>
      <c r="N368" t="s">
        <v>1840</v>
      </c>
      <c r="Q368">
        <f t="shared" si="5"/>
        <v>3.111599623876427</v>
      </c>
      <c r="S368" s="48"/>
      <c r="T368" s="73"/>
      <c r="U368" s="74"/>
    </row>
    <row r="369" spans="1:21" x14ac:dyDescent="0.35">
      <c r="B369" s="102"/>
      <c r="C369" s="11" t="s">
        <v>1837</v>
      </c>
      <c r="D369" s="71">
        <v>0.34074878387359631</v>
      </c>
      <c r="E369" s="69">
        <v>44.480629405343834</v>
      </c>
      <c r="F369" s="72" t="s">
        <v>231</v>
      </c>
      <c r="G369" s="35">
        <v>70</v>
      </c>
      <c r="H369" s="1" t="s">
        <v>665</v>
      </c>
      <c r="I369" s="35">
        <v>9</v>
      </c>
      <c r="J369" s="46">
        <v>8</v>
      </c>
      <c r="K369" s="11" t="s">
        <v>774</v>
      </c>
      <c r="L369" s="27">
        <v>59</v>
      </c>
      <c r="M369" t="s">
        <v>730</v>
      </c>
      <c r="N369" t="s">
        <v>1841</v>
      </c>
      <c r="Q369">
        <f t="shared" si="5"/>
        <v>0.34074878387359631</v>
      </c>
      <c r="S369" s="48"/>
      <c r="T369" s="73"/>
      <c r="U369" s="74"/>
    </row>
    <row r="370" spans="1:21" x14ac:dyDescent="0.35">
      <c r="B370" s="102"/>
      <c r="C370" s="11" t="s">
        <v>1842</v>
      </c>
      <c r="D370" s="71">
        <v>6.8363776133892573</v>
      </c>
      <c r="E370" s="69">
        <v>44.01219820796166</v>
      </c>
      <c r="F370" s="72" t="s">
        <v>231</v>
      </c>
      <c r="G370" s="35">
        <v>29</v>
      </c>
      <c r="H370" s="1" t="s">
        <v>651</v>
      </c>
      <c r="I370" s="35">
        <v>27</v>
      </c>
      <c r="J370" s="46">
        <v>9</v>
      </c>
      <c r="K370" s="11" t="s">
        <v>1156</v>
      </c>
      <c r="L370" s="27">
        <v>104</v>
      </c>
      <c r="M370" t="s">
        <v>790</v>
      </c>
      <c r="N370" t="s">
        <v>1843</v>
      </c>
      <c r="Q370">
        <f t="shared" si="5"/>
        <v>6.8363776133892573</v>
      </c>
      <c r="S370" s="48"/>
      <c r="T370" s="73"/>
      <c r="U370" s="74"/>
    </row>
    <row r="371" spans="1:21" x14ac:dyDescent="0.35">
      <c r="B371" s="102"/>
      <c r="C371" s="11" t="s">
        <v>1842</v>
      </c>
      <c r="D371" s="71">
        <v>1.9163889686527971</v>
      </c>
      <c r="E371" s="69">
        <v>75.028761850066658</v>
      </c>
      <c r="F371" s="72" t="s">
        <v>129</v>
      </c>
      <c r="G371" s="35">
        <v>14</v>
      </c>
      <c r="H371" s="1" t="s">
        <v>664</v>
      </c>
      <c r="I371" s="35">
        <v>16</v>
      </c>
      <c r="J371" s="46">
        <v>14</v>
      </c>
      <c r="K371" s="11" t="s">
        <v>1155</v>
      </c>
      <c r="L371" s="27">
        <v>55</v>
      </c>
      <c r="M371" t="s">
        <v>910</v>
      </c>
      <c r="N371" t="s">
        <v>1844</v>
      </c>
      <c r="Q371">
        <f t="shared" si="5"/>
        <v>1.9163889686527971</v>
      </c>
      <c r="S371" s="48"/>
      <c r="T371" s="73"/>
      <c r="U371" s="74"/>
    </row>
    <row r="372" spans="1:21" x14ac:dyDescent="0.35">
      <c r="B372" s="102"/>
      <c r="C372" s="11" t="s">
        <v>1842</v>
      </c>
      <c r="D372" s="71">
        <v>-0.66627221028797867</v>
      </c>
      <c r="E372" s="69">
        <v>41.31401522991176</v>
      </c>
      <c r="F372" s="72" t="s">
        <v>129</v>
      </c>
      <c r="G372" s="35">
        <v>64</v>
      </c>
      <c r="H372" s="1" t="s">
        <v>1163</v>
      </c>
      <c r="I372" s="35">
        <v>15</v>
      </c>
      <c r="J372" s="46">
        <v>7</v>
      </c>
      <c r="K372" s="11" t="s">
        <v>1158</v>
      </c>
      <c r="L372" s="27">
        <v>74</v>
      </c>
      <c r="M372" t="s">
        <v>741</v>
      </c>
      <c r="N372" t="s">
        <v>1845</v>
      </c>
      <c r="Q372">
        <f t="shared" si="5"/>
        <v>0.66627221028797867</v>
      </c>
      <c r="S372" s="48"/>
      <c r="T372" s="73"/>
      <c r="U372" s="74"/>
    </row>
    <row r="373" spans="1:21" x14ac:dyDescent="0.35">
      <c r="B373" s="102"/>
      <c r="C373" s="11" t="s">
        <v>1842</v>
      </c>
      <c r="D373" s="71">
        <v>1.6347264895284635E-2</v>
      </c>
      <c r="E373" s="69">
        <v>51.774504732643237</v>
      </c>
      <c r="F373" s="72" t="s">
        <v>129</v>
      </c>
      <c r="G373" s="35">
        <v>54</v>
      </c>
      <c r="H373" s="1" t="s">
        <v>1160</v>
      </c>
      <c r="I373" s="35">
        <v>19</v>
      </c>
      <c r="J373" s="46">
        <v>17</v>
      </c>
      <c r="K373" s="11" t="s">
        <v>1164</v>
      </c>
      <c r="L373" s="27">
        <v>71</v>
      </c>
      <c r="M373" t="s">
        <v>1000</v>
      </c>
      <c r="N373" t="s">
        <v>1846</v>
      </c>
      <c r="P373" s="70" t="s">
        <v>1654</v>
      </c>
      <c r="Q373">
        <f t="shared" si="5"/>
        <v>1.6347264895284635E-2</v>
      </c>
      <c r="S373" s="48"/>
      <c r="T373" s="73"/>
      <c r="U373" s="74"/>
    </row>
    <row r="374" spans="1:21" x14ac:dyDescent="0.35">
      <c r="B374" s="102"/>
      <c r="C374" s="11" t="s">
        <v>1847</v>
      </c>
      <c r="D374" s="71">
        <v>-0.69244661318784273</v>
      </c>
      <c r="E374" s="69">
        <v>80.931963391900226</v>
      </c>
      <c r="F374" s="72" t="s">
        <v>129</v>
      </c>
      <c r="G374" s="35">
        <v>25</v>
      </c>
      <c r="H374" s="1" t="s">
        <v>652</v>
      </c>
      <c r="I374" s="35">
        <v>16</v>
      </c>
      <c r="J374" s="46">
        <v>11</v>
      </c>
      <c r="K374" s="11" t="s">
        <v>630</v>
      </c>
      <c r="L374" s="27">
        <v>32</v>
      </c>
      <c r="M374" t="s">
        <v>748</v>
      </c>
      <c r="N374" t="s">
        <v>1848</v>
      </c>
      <c r="Q374">
        <f t="shared" si="5"/>
        <v>0.69244661318784273</v>
      </c>
      <c r="S374" s="48"/>
      <c r="T374" s="73"/>
      <c r="U374" s="74"/>
    </row>
    <row r="375" spans="1:21" x14ac:dyDescent="0.35">
      <c r="B375" s="102"/>
      <c r="C375" s="11" t="s">
        <v>1847</v>
      </c>
      <c r="D375" s="71">
        <v>6.4219115765522634</v>
      </c>
      <c r="E375" s="69">
        <v>70.567832061792728</v>
      </c>
      <c r="F375" s="72" t="s">
        <v>231</v>
      </c>
      <c r="G375" s="35">
        <v>13</v>
      </c>
      <c r="H375" s="1" t="s">
        <v>334</v>
      </c>
      <c r="I375" s="35">
        <v>18</v>
      </c>
      <c r="J375" s="46">
        <v>6</v>
      </c>
      <c r="K375" s="11" t="s">
        <v>635</v>
      </c>
      <c r="L375" s="27">
        <v>60</v>
      </c>
      <c r="M375" t="s">
        <v>714</v>
      </c>
      <c r="N375" t="s">
        <v>1849</v>
      </c>
      <c r="Q375">
        <f t="shared" si="5"/>
        <v>6.4219115765522634</v>
      </c>
      <c r="S375" s="48"/>
      <c r="T375" s="73"/>
      <c r="U375" s="74"/>
    </row>
    <row r="376" spans="1:21" x14ac:dyDescent="0.35">
      <c r="B376" s="102"/>
      <c r="C376" s="11" t="s">
        <v>1847</v>
      </c>
      <c r="D376" s="71">
        <v>2.2017550483958872</v>
      </c>
      <c r="E376" s="69">
        <v>5.918796538242832</v>
      </c>
      <c r="F376" s="72" t="s">
        <v>231</v>
      </c>
      <c r="G376" s="35">
        <v>106</v>
      </c>
      <c r="H376" s="1" t="s">
        <v>637</v>
      </c>
      <c r="I376" s="35">
        <v>15</v>
      </c>
      <c r="J376" s="46">
        <v>14</v>
      </c>
      <c r="K376" s="11" t="s">
        <v>639</v>
      </c>
      <c r="L376" s="27">
        <v>110</v>
      </c>
      <c r="M376" t="s">
        <v>705</v>
      </c>
      <c r="N376" t="s">
        <v>1850</v>
      </c>
      <c r="Q376">
        <f t="shared" si="5"/>
        <v>2.2017550483958872</v>
      </c>
      <c r="S376" s="48"/>
      <c r="T376" s="73"/>
      <c r="U376" s="74"/>
    </row>
    <row r="377" spans="1:21" ht="15" thickBot="1" x14ac:dyDescent="0.4">
      <c r="B377" s="102"/>
      <c r="C377" s="51" t="s">
        <v>1847</v>
      </c>
      <c r="D377" s="82">
        <v>-2.7357076382564824</v>
      </c>
      <c r="E377" s="76">
        <v>83.704485237661586</v>
      </c>
      <c r="F377" s="83" t="s">
        <v>231</v>
      </c>
      <c r="G377" s="49">
        <v>47</v>
      </c>
      <c r="H377" s="45" t="s">
        <v>667</v>
      </c>
      <c r="I377" s="49">
        <v>18</v>
      </c>
      <c r="J377" s="50">
        <v>9</v>
      </c>
      <c r="K377" s="51" t="s">
        <v>352</v>
      </c>
      <c r="L377" s="77">
        <v>6</v>
      </c>
      <c r="M377" s="40" t="s">
        <v>739</v>
      </c>
      <c r="N377" s="40" t="s">
        <v>1851</v>
      </c>
      <c r="O377" s="78"/>
      <c r="P377" s="78"/>
      <c r="Q377">
        <f t="shared" si="5"/>
        <v>2.7357076382564824</v>
      </c>
      <c r="S377" s="48"/>
      <c r="T377" s="73"/>
      <c r="U377" s="74"/>
    </row>
    <row r="378" spans="1:21" x14ac:dyDescent="0.35">
      <c r="B378" s="102" t="s">
        <v>1107</v>
      </c>
      <c r="C378" s="11" t="s">
        <v>1852</v>
      </c>
      <c r="D378" s="71">
        <v>7.9129202303742483</v>
      </c>
      <c r="E378" s="69">
        <v>47.205056978304107</v>
      </c>
      <c r="F378" s="72" t="s">
        <v>129</v>
      </c>
      <c r="G378" s="35">
        <v>20</v>
      </c>
      <c r="H378" s="1" t="s">
        <v>704</v>
      </c>
      <c r="I378" s="35">
        <v>26</v>
      </c>
      <c r="J378" s="46">
        <v>7</v>
      </c>
      <c r="K378" s="11" t="s">
        <v>706</v>
      </c>
      <c r="L378" s="27">
        <v>112</v>
      </c>
      <c r="M378" t="s">
        <v>799</v>
      </c>
      <c r="N378" s="1" t="s">
        <v>1853</v>
      </c>
      <c r="O378" s="1" t="s">
        <v>1390</v>
      </c>
      <c r="Q378">
        <f t="shared" si="5"/>
        <v>7.9129202303742483</v>
      </c>
      <c r="S378" s="48"/>
      <c r="T378" s="73"/>
    </row>
    <row r="379" spans="1:21" x14ac:dyDescent="0.35">
      <c r="B379" s="102"/>
      <c r="C379" s="37" t="s">
        <v>1854</v>
      </c>
      <c r="D379" s="71">
        <v>0.49192981396826913</v>
      </c>
      <c r="E379" s="69">
        <v>2.3271929900226751</v>
      </c>
      <c r="F379" s="72" t="s">
        <v>129</v>
      </c>
      <c r="G379" s="35">
        <v>107</v>
      </c>
      <c r="H379" s="1" t="s">
        <v>776</v>
      </c>
      <c r="I379" s="35">
        <v>24</v>
      </c>
      <c r="J379" s="46">
        <v>14</v>
      </c>
      <c r="K379" s="11" t="s">
        <v>737</v>
      </c>
      <c r="L379" s="27">
        <v>111</v>
      </c>
      <c r="M379" t="s">
        <v>806</v>
      </c>
      <c r="N379" t="s">
        <v>1855</v>
      </c>
      <c r="Q379">
        <f t="shared" si="5"/>
        <v>0.49192981396826913</v>
      </c>
      <c r="S379" s="48"/>
      <c r="T379" s="73"/>
    </row>
    <row r="380" spans="1:21" x14ac:dyDescent="0.35">
      <c r="B380" s="102"/>
      <c r="D380" s="71">
        <v>4.0083255631893318</v>
      </c>
      <c r="E380" s="69">
        <v>14.101196026293339</v>
      </c>
      <c r="F380" s="72" t="s">
        <v>231</v>
      </c>
      <c r="G380" s="35">
        <v>76</v>
      </c>
      <c r="H380" s="1" t="s">
        <v>729</v>
      </c>
      <c r="I380" s="35">
        <v>23</v>
      </c>
      <c r="J380" s="46">
        <v>13</v>
      </c>
      <c r="K380" s="11" t="s">
        <v>639</v>
      </c>
      <c r="L380" s="27">
        <v>110</v>
      </c>
      <c r="M380" t="s">
        <v>859</v>
      </c>
      <c r="N380" t="s">
        <v>1856</v>
      </c>
      <c r="Q380">
        <f t="shared" si="5"/>
        <v>4.0083255631893318</v>
      </c>
      <c r="S380" s="48"/>
      <c r="T380" s="73"/>
    </row>
    <row r="381" spans="1:21" x14ac:dyDescent="0.35">
      <c r="B381" s="102"/>
      <c r="D381" s="71">
        <v>1.7558620672935572</v>
      </c>
      <c r="E381" s="69">
        <v>14.370812809076028</v>
      </c>
      <c r="F381" s="72" t="s">
        <v>129</v>
      </c>
      <c r="G381" s="35">
        <v>80</v>
      </c>
      <c r="H381" s="1" t="s">
        <v>751</v>
      </c>
      <c r="I381" s="35">
        <v>19</v>
      </c>
      <c r="J381" s="46">
        <v>10</v>
      </c>
      <c r="K381" s="11" t="s">
        <v>582</v>
      </c>
      <c r="L381" s="27">
        <v>109</v>
      </c>
      <c r="M381" t="s">
        <v>836</v>
      </c>
      <c r="N381" t="s">
        <v>1857</v>
      </c>
      <c r="Q381">
        <f t="shared" si="5"/>
        <v>1.7558620672935572</v>
      </c>
      <c r="S381" s="48"/>
      <c r="T381" s="73"/>
    </row>
    <row r="382" spans="1:21" x14ac:dyDescent="0.35">
      <c r="A382" s="2" t="s">
        <v>1858</v>
      </c>
      <c r="B382" s="102"/>
      <c r="D382" s="71">
        <v>-4.4274212829514825</v>
      </c>
      <c r="E382" s="69">
        <v>29.055300916393922</v>
      </c>
      <c r="F382" s="72" t="s">
        <v>129</v>
      </c>
      <c r="G382" s="35">
        <v>108</v>
      </c>
      <c r="H382" s="1" t="s">
        <v>709</v>
      </c>
      <c r="I382" s="35">
        <v>20</v>
      </c>
      <c r="J382" s="46">
        <v>15</v>
      </c>
      <c r="K382" s="11" t="s">
        <v>680</v>
      </c>
      <c r="L382" s="27">
        <v>58</v>
      </c>
      <c r="M382" t="s">
        <v>790</v>
      </c>
      <c r="N382" t="s">
        <v>1859</v>
      </c>
      <c r="Q382">
        <f t="shared" si="5"/>
        <v>4.4274212829514825</v>
      </c>
      <c r="S382" s="48"/>
      <c r="T382" s="73"/>
    </row>
    <row r="383" spans="1:21" x14ac:dyDescent="0.35">
      <c r="B383" s="102"/>
      <c r="D383" s="71">
        <v>7.2226939548695732</v>
      </c>
      <c r="E383" s="69">
        <v>53.055218603664599</v>
      </c>
      <c r="F383" s="72" t="s">
        <v>129</v>
      </c>
      <c r="G383" s="35">
        <v>11</v>
      </c>
      <c r="H383" s="1" t="s">
        <v>643</v>
      </c>
      <c r="I383" s="35">
        <v>12</v>
      </c>
      <c r="J383" s="46">
        <v>11</v>
      </c>
      <c r="K383" s="11" t="s">
        <v>637</v>
      </c>
      <c r="L383" s="27">
        <v>106</v>
      </c>
      <c r="M383" t="s">
        <v>1196</v>
      </c>
      <c r="N383" t="s">
        <v>1860</v>
      </c>
      <c r="O383" s="6" t="s">
        <v>1386</v>
      </c>
      <c r="P383" s="70" t="s">
        <v>1861</v>
      </c>
      <c r="Q383">
        <f t="shared" si="5"/>
        <v>7.2226939548695732</v>
      </c>
      <c r="S383" s="48"/>
      <c r="T383" s="73"/>
    </row>
    <row r="384" spans="1:21" x14ac:dyDescent="0.35">
      <c r="B384" s="102"/>
      <c r="D384" s="71">
        <v>0.52172243047300715</v>
      </c>
      <c r="E384" s="69">
        <v>10.788055406804997</v>
      </c>
      <c r="F384" s="72" t="s">
        <v>231</v>
      </c>
      <c r="G384" s="35">
        <v>105</v>
      </c>
      <c r="H384" s="1" t="s">
        <v>777</v>
      </c>
      <c r="I384" s="35">
        <v>21</v>
      </c>
      <c r="J384" s="46">
        <v>15</v>
      </c>
      <c r="K384" s="11" t="s">
        <v>720</v>
      </c>
      <c r="L384" s="27">
        <v>94</v>
      </c>
      <c r="M384" t="s">
        <v>796</v>
      </c>
      <c r="N384" t="s">
        <v>1862</v>
      </c>
      <c r="Q384">
        <f t="shared" si="5"/>
        <v>0.52172243047300715</v>
      </c>
      <c r="S384" s="48"/>
      <c r="T384" s="73"/>
    </row>
    <row r="385" spans="1:21" x14ac:dyDescent="0.35">
      <c r="B385" s="102"/>
      <c r="D385" s="71">
        <v>-4.4665094795961515</v>
      </c>
      <c r="E385" s="69">
        <v>39.306435342568676</v>
      </c>
      <c r="F385" s="72" t="s">
        <v>129</v>
      </c>
      <c r="G385" s="35">
        <v>104</v>
      </c>
      <c r="H385" s="1" t="s">
        <v>1156</v>
      </c>
      <c r="I385" s="35">
        <v>11</v>
      </c>
      <c r="J385" s="46">
        <v>10</v>
      </c>
      <c r="K385" s="11" t="s">
        <v>1155</v>
      </c>
      <c r="L385" s="27">
        <v>55</v>
      </c>
      <c r="M385" t="s">
        <v>874</v>
      </c>
      <c r="N385" t="s">
        <v>1863</v>
      </c>
      <c r="Q385">
        <f t="shared" si="5"/>
        <v>4.4665094795961515</v>
      </c>
      <c r="S385" s="48"/>
      <c r="T385" s="73"/>
    </row>
    <row r="386" spans="1:21" x14ac:dyDescent="0.35">
      <c r="B386" s="102"/>
      <c r="D386" s="71">
        <v>-3.258442118579985</v>
      </c>
      <c r="E386" s="69">
        <v>26.434601513271417</v>
      </c>
      <c r="F386" s="72" t="s">
        <v>129</v>
      </c>
      <c r="G386" s="35">
        <v>103</v>
      </c>
      <c r="H386" s="1" t="s">
        <v>738</v>
      </c>
      <c r="I386" s="35">
        <v>14</v>
      </c>
      <c r="J386" s="46">
        <v>13</v>
      </c>
      <c r="K386" s="11" t="s">
        <v>761</v>
      </c>
      <c r="L386" s="27">
        <v>67</v>
      </c>
      <c r="M386" t="s">
        <v>769</v>
      </c>
      <c r="N386" t="s">
        <v>1864</v>
      </c>
      <c r="P386" s="70" t="s">
        <v>1865</v>
      </c>
      <c r="Q386">
        <f t="shared" si="5"/>
        <v>3.258442118579985</v>
      </c>
      <c r="S386" s="48"/>
      <c r="T386" s="73"/>
    </row>
    <row r="387" spans="1:21" x14ac:dyDescent="0.35">
      <c r="B387" s="102"/>
      <c r="D387" s="71">
        <v>0.36488746928201615</v>
      </c>
      <c r="E387" s="69">
        <v>11.346508950512845</v>
      </c>
      <c r="F387" s="72" t="s">
        <v>231</v>
      </c>
      <c r="G387" s="35">
        <v>102</v>
      </c>
      <c r="H387" s="1" t="s">
        <v>756</v>
      </c>
      <c r="I387" s="35">
        <v>18</v>
      </c>
      <c r="J387" s="46">
        <v>17</v>
      </c>
      <c r="K387" s="11" t="s">
        <v>732</v>
      </c>
      <c r="L387" s="27">
        <v>96</v>
      </c>
      <c r="M387" t="s">
        <v>952</v>
      </c>
      <c r="N387" t="s">
        <v>1866</v>
      </c>
      <c r="Q387">
        <f t="shared" ref="Q387:Q450" si="6">ABS(D387)</f>
        <v>0.36488746928201615</v>
      </c>
      <c r="S387" s="48"/>
      <c r="T387" s="73"/>
    </row>
    <row r="388" spans="1:21" x14ac:dyDescent="0.35">
      <c r="B388" s="102"/>
      <c r="D388" s="71">
        <v>-0.88844575201188725</v>
      </c>
      <c r="E388" s="69">
        <v>24.848889822865601</v>
      </c>
      <c r="F388" s="72" t="s">
        <v>231</v>
      </c>
      <c r="G388" s="35">
        <v>101</v>
      </c>
      <c r="H388" s="1" t="s">
        <v>1165</v>
      </c>
      <c r="I388" s="35">
        <v>23</v>
      </c>
      <c r="J388" s="46">
        <v>16</v>
      </c>
      <c r="K388" s="11" t="s">
        <v>1164</v>
      </c>
      <c r="L388" s="27">
        <v>71</v>
      </c>
      <c r="M388" t="s">
        <v>744</v>
      </c>
      <c r="N388" t="s">
        <v>1867</v>
      </c>
      <c r="P388" t="s">
        <v>1868</v>
      </c>
      <c r="Q388">
        <f t="shared" si="6"/>
        <v>0.88844575201188725</v>
      </c>
      <c r="S388" s="48"/>
      <c r="T388" s="73"/>
    </row>
    <row r="389" spans="1:21" x14ac:dyDescent="0.35">
      <c r="B389" s="102"/>
      <c r="D389" s="71">
        <v>-2.1205001574758002</v>
      </c>
      <c r="E389" s="69">
        <v>21.264642969625598</v>
      </c>
      <c r="F389" s="72" t="s">
        <v>129</v>
      </c>
      <c r="G389" s="35">
        <v>100</v>
      </c>
      <c r="H389" s="1" t="s">
        <v>631</v>
      </c>
      <c r="I389" s="35">
        <v>18</v>
      </c>
      <c r="J389" s="46">
        <v>16</v>
      </c>
      <c r="K389" s="11" t="s">
        <v>757</v>
      </c>
      <c r="L389" s="27">
        <v>82</v>
      </c>
      <c r="M389" t="s">
        <v>759</v>
      </c>
      <c r="N389" t="s">
        <v>1869</v>
      </c>
      <c r="P389" t="s">
        <v>1870</v>
      </c>
      <c r="Q389">
        <f t="shared" si="6"/>
        <v>2.1205001574758002</v>
      </c>
      <c r="S389" s="48"/>
      <c r="T389" s="73"/>
      <c r="U389" s="74"/>
    </row>
    <row r="390" spans="1:21" x14ac:dyDescent="0.35">
      <c r="B390" s="102"/>
      <c r="D390" s="71">
        <v>5.0092028944886593</v>
      </c>
      <c r="E390" s="69">
        <v>44.189855075365244</v>
      </c>
      <c r="F390" s="72" t="s">
        <v>231</v>
      </c>
      <c r="G390" s="35">
        <v>31</v>
      </c>
      <c r="H390" s="1" t="s">
        <v>465</v>
      </c>
      <c r="I390" s="35">
        <v>22</v>
      </c>
      <c r="J390" s="46">
        <v>7</v>
      </c>
      <c r="K390" s="11" t="s">
        <v>792</v>
      </c>
      <c r="L390" s="27">
        <v>99</v>
      </c>
      <c r="M390" t="s">
        <v>836</v>
      </c>
      <c r="N390" t="s">
        <v>1871</v>
      </c>
      <c r="Q390">
        <f t="shared" si="6"/>
        <v>5.0092028944886593</v>
      </c>
      <c r="S390" s="48"/>
      <c r="T390" s="73"/>
      <c r="U390" s="74"/>
    </row>
    <row r="391" spans="1:21" x14ac:dyDescent="0.35">
      <c r="B391" s="102"/>
      <c r="D391" s="71">
        <v>2.5270997184772632</v>
      </c>
      <c r="E391" s="69">
        <v>40.337785915373381</v>
      </c>
      <c r="F391" s="72" t="s">
        <v>129</v>
      </c>
      <c r="G391" s="35">
        <v>46</v>
      </c>
      <c r="H391" s="1" t="s">
        <v>646</v>
      </c>
      <c r="I391" s="35">
        <v>13</v>
      </c>
      <c r="J391" s="46">
        <v>9</v>
      </c>
      <c r="K391" s="11" t="s">
        <v>701</v>
      </c>
      <c r="L391" s="27">
        <v>98</v>
      </c>
      <c r="M391" t="s">
        <v>724</v>
      </c>
      <c r="N391" t="s">
        <v>1872</v>
      </c>
      <c r="Q391">
        <f t="shared" si="6"/>
        <v>2.5270997184772632</v>
      </c>
      <c r="S391" s="48"/>
      <c r="T391" s="73"/>
      <c r="U391" s="74"/>
    </row>
    <row r="392" spans="1:21" x14ac:dyDescent="0.35">
      <c r="B392" s="102"/>
      <c r="D392" s="71">
        <v>6.2126518645775244</v>
      </c>
      <c r="E392" s="69">
        <v>52.990962953873201</v>
      </c>
      <c r="F392" s="72" t="s">
        <v>231</v>
      </c>
      <c r="G392" s="35">
        <v>25</v>
      </c>
      <c r="H392" s="1" t="s">
        <v>652</v>
      </c>
      <c r="I392" s="35">
        <v>19</v>
      </c>
      <c r="J392" s="46">
        <v>18</v>
      </c>
      <c r="K392" s="11" t="s">
        <v>760</v>
      </c>
      <c r="L392" s="27">
        <v>97</v>
      </c>
      <c r="M392" t="s">
        <v>727</v>
      </c>
      <c r="N392" t="s">
        <v>1873</v>
      </c>
      <c r="O392" s="6" t="s">
        <v>1386</v>
      </c>
      <c r="P392" t="s">
        <v>1874</v>
      </c>
      <c r="Q392">
        <f t="shared" si="6"/>
        <v>6.2126518645775244</v>
      </c>
      <c r="S392" s="48"/>
      <c r="T392" s="73"/>
      <c r="U392" s="74"/>
    </row>
    <row r="393" spans="1:21" x14ac:dyDescent="0.35">
      <c r="B393" s="102"/>
      <c r="D393" s="71">
        <v>6.2160149532223317</v>
      </c>
      <c r="E393" s="69">
        <v>57.345703604841191</v>
      </c>
      <c r="F393" s="72" t="s">
        <v>129</v>
      </c>
      <c r="G393" s="35">
        <v>12</v>
      </c>
      <c r="H393" s="1" t="s">
        <v>718</v>
      </c>
      <c r="I393" s="35">
        <v>22</v>
      </c>
      <c r="J393" s="46">
        <v>8</v>
      </c>
      <c r="K393" s="11" t="s">
        <v>700</v>
      </c>
      <c r="L393" s="27">
        <v>95</v>
      </c>
      <c r="M393" t="s">
        <v>789</v>
      </c>
      <c r="N393" t="s">
        <v>1875</v>
      </c>
      <c r="Q393">
        <f t="shared" si="6"/>
        <v>6.2160149532223317</v>
      </c>
      <c r="S393" s="48"/>
      <c r="T393" s="73"/>
      <c r="U393" s="74"/>
    </row>
    <row r="394" spans="1:21" x14ac:dyDescent="0.35">
      <c r="B394" s="102"/>
      <c r="D394" s="71">
        <v>-2.2176968707248155</v>
      </c>
      <c r="E394" s="69">
        <v>44.128712050517727</v>
      </c>
      <c r="F394" s="72" t="s">
        <v>231</v>
      </c>
      <c r="G394" s="35">
        <v>93</v>
      </c>
      <c r="H394" s="1" t="s">
        <v>784</v>
      </c>
      <c r="I394" s="35">
        <v>12</v>
      </c>
      <c r="J394" s="46">
        <v>10</v>
      </c>
      <c r="K394" s="11" t="s">
        <v>678</v>
      </c>
      <c r="L394" s="27">
        <v>50</v>
      </c>
      <c r="M394" t="s">
        <v>730</v>
      </c>
      <c r="N394" t="s">
        <v>1876</v>
      </c>
      <c r="P394" s="70" t="s">
        <v>1877</v>
      </c>
      <c r="Q394">
        <f t="shared" si="6"/>
        <v>2.2176968707248155</v>
      </c>
      <c r="S394" s="48"/>
      <c r="T394" s="73"/>
      <c r="U394" s="74"/>
    </row>
    <row r="395" spans="1:21" x14ac:dyDescent="0.35">
      <c r="B395" s="102"/>
      <c r="D395" s="71">
        <v>1.9594609518837782</v>
      </c>
      <c r="E395" s="69">
        <v>39.136099320083005</v>
      </c>
      <c r="F395" s="72" t="s">
        <v>129</v>
      </c>
      <c r="G395" s="35">
        <v>56</v>
      </c>
      <c r="H395" s="1" t="s">
        <v>785</v>
      </c>
      <c r="I395" s="35">
        <v>18</v>
      </c>
      <c r="J395" s="46">
        <v>12</v>
      </c>
      <c r="K395" s="11" t="s">
        <v>716</v>
      </c>
      <c r="L395" s="27">
        <v>92</v>
      </c>
      <c r="M395" t="s">
        <v>866</v>
      </c>
      <c r="N395" t="s">
        <v>1878</v>
      </c>
      <c r="Q395">
        <f t="shared" si="6"/>
        <v>1.9594609518837782</v>
      </c>
      <c r="S395" s="48"/>
      <c r="T395" s="73"/>
      <c r="U395" s="74"/>
    </row>
    <row r="396" spans="1:21" x14ac:dyDescent="0.35">
      <c r="B396" s="102"/>
      <c r="D396" s="71">
        <v>-1.6017491962738719</v>
      </c>
      <c r="E396" s="69">
        <v>34.179820854481335</v>
      </c>
      <c r="F396" s="72" t="s">
        <v>231</v>
      </c>
      <c r="G396" s="35">
        <v>91</v>
      </c>
      <c r="H396" s="1" t="s">
        <v>743</v>
      </c>
      <c r="I396" s="35">
        <v>18</v>
      </c>
      <c r="J396" s="46">
        <v>9</v>
      </c>
      <c r="K396" s="11" t="s">
        <v>774</v>
      </c>
      <c r="L396" s="27">
        <v>59</v>
      </c>
      <c r="M396" t="s">
        <v>821</v>
      </c>
      <c r="N396" t="s">
        <v>1879</v>
      </c>
      <c r="Q396">
        <f t="shared" si="6"/>
        <v>1.6017491962738719</v>
      </c>
      <c r="S396" s="48"/>
      <c r="T396" s="73"/>
      <c r="U396" s="74"/>
    </row>
    <row r="397" spans="1:21" x14ac:dyDescent="0.35">
      <c r="A397" s="2" t="s">
        <v>1880</v>
      </c>
      <c r="B397" s="102"/>
      <c r="D397" s="71">
        <v>3.6723654559291496</v>
      </c>
      <c r="E397" s="69">
        <v>44.341167531479172</v>
      </c>
      <c r="F397" s="72" t="s">
        <v>231</v>
      </c>
      <c r="G397" s="35">
        <v>42</v>
      </c>
      <c r="H397" s="1" t="s">
        <v>660</v>
      </c>
      <c r="I397" s="35">
        <v>19</v>
      </c>
      <c r="J397" s="46">
        <v>11</v>
      </c>
      <c r="K397" s="11" t="s">
        <v>767</v>
      </c>
      <c r="L397" s="27">
        <v>90</v>
      </c>
      <c r="M397" t="s">
        <v>699</v>
      </c>
      <c r="N397" t="s">
        <v>1881</v>
      </c>
      <c r="Q397">
        <f t="shared" si="6"/>
        <v>3.6723654559291496</v>
      </c>
      <c r="S397" s="48"/>
      <c r="T397" s="73"/>
      <c r="U397" s="74"/>
    </row>
    <row r="398" spans="1:21" x14ac:dyDescent="0.35">
      <c r="B398" s="102"/>
      <c r="D398" s="71">
        <v>0.28760257323501698</v>
      </c>
      <c r="E398" s="69">
        <v>23.008855304832132</v>
      </c>
      <c r="F398" s="72" t="s">
        <v>231</v>
      </c>
      <c r="G398" s="35">
        <v>89</v>
      </c>
      <c r="H398" s="1" t="s">
        <v>779</v>
      </c>
      <c r="I398" s="35">
        <v>13</v>
      </c>
      <c r="J398" s="46">
        <v>12</v>
      </c>
      <c r="K398" s="11" t="s">
        <v>633</v>
      </c>
      <c r="L398" s="27">
        <v>83</v>
      </c>
      <c r="M398" t="s">
        <v>705</v>
      </c>
      <c r="N398" t="s">
        <v>1882</v>
      </c>
      <c r="Q398">
        <f t="shared" si="6"/>
        <v>0.28760257323501698</v>
      </c>
      <c r="S398" s="48"/>
      <c r="T398" s="73"/>
      <c r="U398" s="74"/>
    </row>
    <row r="399" spans="1:21" x14ac:dyDescent="0.35">
      <c r="B399" s="102"/>
      <c r="D399" s="71">
        <v>7.6545811269266073</v>
      </c>
      <c r="E399" s="69">
        <v>60.961013480766702</v>
      </c>
      <c r="F399" s="72" t="s">
        <v>231</v>
      </c>
      <c r="G399" s="35">
        <v>6</v>
      </c>
      <c r="H399" s="1" t="s">
        <v>352</v>
      </c>
      <c r="I399" s="35">
        <v>27</v>
      </c>
      <c r="J399" s="46">
        <v>17</v>
      </c>
      <c r="K399" s="11" t="s">
        <v>722</v>
      </c>
      <c r="L399" s="27">
        <v>88</v>
      </c>
      <c r="M399" t="s">
        <v>823</v>
      </c>
      <c r="N399" t="s">
        <v>1883</v>
      </c>
      <c r="Q399">
        <f t="shared" si="6"/>
        <v>7.6545811269266073</v>
      </c>
      <c r="S399" s="48"/>
      <c r="T399" s="73"/>
      <c r="U399" s="74"/>
    </row>
    <row r="400" spans="1:21" x14ac:dyDescent="0.35">
      <c r="B400" s="102"/>
      <c r="D400" s="71">
        <v>3.9267336507952013</v>
      </c>
      <c r="E400" s="69">
        <v>47.373761678003433</v>
      </c>
      <c r="F400" s="72" t="s">
        <v>231</v>
      </c>
      <c r="G400" s="35">
        <v>37</v>
      </c>
      <c r="H400" s="1" t="s">
        <v>677</v>
      </c>
      <c r="I400" s="35">
        <v>26</v>
      </c>
      <c r="J400" s="46">
        <v>17</v>
      </c>
      <c r="K400" s="11" t="s">
        <v>638</v>
      </c>
      <c r="L400" s="27">
        <v>87</v>
      </c>
      <c r="M400" t="s">
        <v>818</v>
      </c>
      <c r="N400" t="s">
        <v>1884</v>
      </c>
      <c r="Q400">
        <f t="shared" si="6"/>
        <v>3.9267336507952013</v>
      </c>
      <c r="S400" s="48"/>
      <c r="T400" s="73"/>
      <c r="U400" s="74"/>
    </row>
    <row r="401" spans="1:21" x14ac:dyDescent="0.35">
      <c r="B401" s="102"/>
      <c r="D401" s="71">
        <v>7.8849360515913229</v>
      </c>
      <c r="E401" s="69">
        <v>61.86790282029191</v>
      </c>
      <c r="F401" s="72" t="s">
        <v>231</v>
      </c>
      <c r="G401" s="35">
        <v>5</v>
      </c>
      <c r="H401" s="1" t="s">
        <v>328</v>
      </c>
      <c r="I401" s="35">
        <v>22</v>
      </c>
      <c r="J401" s="46">
        <v>9</v>
      </c>
      <c r="K401" s="11" t="s">
        <v>734</v>
      </c>
      <c r="L401" s="27">
        <v>86</v>
      </c>
      <c r="M401" t="s">
        <v>793</v>
      </c>
      <c r="N401" t="s">
        <v>1885</v>
      </c>
      <c r="Q401">
        <f t="shared" si="6"/>
        <v>7.8849360515913229</v>
      </c>
      <c r="S401" s="48"/>
      <c r="T401" s="73"/>
      <c r="U401" s="74"/>
    </row>
    <row r="402" spans="1:21" x14ac:dyDescent="0.35">
      <c r="B402" s="102"/>
      <c r="D402" s="71">
        <v>-4.9031417906370329</v>
      </c>
      <c r="E402" s="69">
        <v>68.145101279026449</v>
      </c>
      <c r="F402" s="72" t="s">
        <v>231</v>
      </c>
      <c r="G402" s="35">
        <v>85</v>
      </c>
      <c r="H402" s="1" t="s">
        <v>645</v>
      </c>
      <c r="I402" s="35">
        <v>17</v>
      </c>
      <c r="J402" s="46">
        <v>8</v>
      </c>
      <c r="K402" s="11" t="s">
        <v>664</v>
      </c>
      <c r="L402" s="27">
        <v>14</v>
      </c>
      <c r="M402" t="s">
        <v>899</v>
      </c>
      <c r="N402" t="s">
        <v>1886</v>
      </c>
      <c r="Q402">
        <f t="shared" si="6"/>
        <v>4.9031417906370329</v>
      </c>
      <c r="S402" s="48"/>
      <c r="T402" s="73"/>
      <c r="U402" s="74"/>
    </row>
    <row r="403" spans="1:21" x14ac:dyDescent="0.35">
      <c r="B403" s="102"/>
      <c r="D403" s="71">
        <v>-3.9760402308540139</v>
      </c>
      <c r="E403" s="69">
        <v>66.054314450610008</v>
      </c>
      <c r="F403" s="72" t="s">
        <v>231</v>
      </c>
      <c r="G403" s="35">
        <v>84</v>
      </c>
      <c r="H403" s="1" t="s">
        <v>778</v>
      </c>
      <c r="I403" s="35">
        <v>15</v>
      </c>
      <c r="J403" s="46">
        <v>10</v>
      </c>
      <c r="K403" s="11" t="s">
        <v>692</v>
      </c>
      <c r="L403" s="27">
        <v>19</v>
      </c>
      <c r="M403" t="s">
        <v>821</v>
      </c>
      <c r="N403" t="s">
        <v>1887</v>
      </c>
      <c r="Q403">
        <f t="shared" si="6"/>
        <v>3.9760402308540139</v>
      </c>
      <c r="S403" s="48"/>
      <c r="T403" s="73"/>
      <c r="U403" s="74"/>
    </row>
    <row r="404" spans="1:21" x14ac:dyDescent="0.35">
      <c r="B404" s="102"/>
      <c r="D404" s="71">
        <v>10.389754982878504</v>
      </c>
      <c r="E404" s="69">
        <v>63.293032155086792</v>
      </c>
      <c r="F404" s="72" t="s">
        <v>231</v>
      </c>
      <c r="G404" s="35">
        <v>1</v>
      </c>
      <c r="H404" s="1" t="s">
        <v>242</v>
      </c>
      <c r="I404" s="35">
        <v>23</v>
      </c>
      <c r="J404" s="46">
        <v>8</v>
      </c>
      <c r="K404" s="11" t="s">
        <v>723</v>
      </c>
      <c r="L404" s="27">
        <v>81</v>
      </c>
      <c r="M404" t="s">
        <v>762</v>
      </c>
      <c r="N404" t="s">
        <v>1888</v>
      </c>
      <c r="Q404">
        <f t="shared" si="6"/>
        <v>10.389754982878504</v>
      </c>
      <c r="S404" s="48"/>
      <c r="T404" s="73"/>
      <c r="U404" s="74"/>
    </row>
    <row r="405" spans="1:21" x14ac:dyDescent="0.35">
      <c r="B405" s="102"/>
      <c r="D405" s="71">
        <v>0.99243351072186781</v>
      </c>
      <c r="E405" s="69">
        <v>45.85361892091295</v>
      </c>
      <c r="F405" s="72" t="s">
        <v>129</v>
      </c>
      <c r="G405" s="35">
        <v>54</v>
      </c>
      <c r="H405" s="1" t="s">
        <v>1160</v>
      </c>
      <c r="I405" s="35">
        <v>19</v>
      </c>
      <c r="J405" s="46">
        <v>14</v>
      </c>
      <c r="K405" s="11" t="s">
        <v>1162</v>
      </c>
      <c r="L405" s="27">
        <v>79</v>
      </c>
      <c r="M405" t="s">
        <v>727</v>
      </c>
      <c r="N405" t="s">
        <v>1889</v>
      </c>
      <c r="Q405">
        <f t="shared" si="6"/>
        <v>0.99243351072186781</v>
      </c>
      <c r="S405" s="48"/>
      <c r="T405" s="73"/>
      <c r="U405" s="74"/>
    </row>
    <row r="406" spans="1:21" x14ac:dyDescent="0.35">
      <c r="A406" s="2" t="s">
        <v>1890</v>
      </c>
      <c r="B406" s="102"/>
      <c r="D406" s="71">
        <v>-4.5836334794914251</v>
      </c>
      <c r="E406" s="69">
        <v>69.702595342493879</v>
      </c>
      <c r="F406" s="72" t="s">
        <v>231</v>
      </c>
      <c r="G406" s="35">
        <v>78</v>
      </c>
      <c r="H406" s="1" t="s">
        <v>712</v>
      </c>
      <c r="I406" s="35">
        <v>25</v>
      </c>
      <c r="J406" s="46">
        <v>19</v>
      </c>
      <c r="K406" s="11" t="s">
        <v>661</v>
      </c>
      <c r="L406" s="27">
        <v>16</v>
      </c>
      <c r="M406" t="s">
        <v>931</v>
      </c>
      <c r="N406" t="s">
        <v>1891</v>
      </c>
      <c r="Q406">
        <f t="shared" si="6"/>
        <v>4.5836334794914251</v>
      </c>
      <c r="S406" s="48"/>
      <c r="T406" s="73"/>
      <c r="U406" s="74"/>
    </row>
    <row r="407" spans="1:21" x14ac:dyDescent="0.35">
      <c r="B407" s="102"/>
      <c r="D407" s="71">
        <v>0.94975218680577578</v>
      </c>
      <c r="E407" s="69">
        <v>47.089462723710149</v>
      </c>
      <c r="F407" s="72" t="s">
        <v>129</v>
      </c>
      <c r="G407" s="35">
        <v>53</v>
      </c>
      <c r="H407" s="1" t="s">
        <v>648</v>
      </c>
      <c r="I407" s="35">
        <v>12</v>
      </c>
      <c r="J407" s="46">
        <v>10</v>
      </c>
      <c r="K407" s="11" t="s">
        <v>726</v>
      </c>
      <c r="L407" s="27">
        <v>77</v>
      </c>
      <c r="M407" t="s">
        <v>710</v>
      </c>
      <c r="N407" t="s">
        <v>1892</v>
      </c>
      <c r="Q407">
        <f t="shared" si="6"/>
        <v>0.94975218680577578</v>
      </c>
      <c r="S407" s="48"/>
      <c r="T407" s="73"/>
    </row>
    <row r="408" spans="1:21" x14ac:dyDescent="0.35">
      <c r="B408" s="102"/>
      <c r="D408" s="71">
        <v>-3.1230901647466425</v>
      </c>
      <c r="E408" s="69">
        <v>61.846850117676198</v>
      </c>
      <c r="F408" s="72" t="s">
        <v>231</v>
      </c>
      <c r="G408" s="35">
        <v>75</v>
      </c>
      <c r="H408" s="1" t="s">
        <v>1161</v>
      </c>
      <c r="I408" s="35">
        <v>13</v>
      </c>
      <c r="J408" s="46">
        <v>11</v>
      </c>
      <c r="K408" s="11" t="s">
        <v>681</v>
      </c>
      <c r="L408" s="27">
        <v>28</v>
      </c>
      <c r="M408" t="s">
        <v>721</v>
      </c>
      <c r="N408" t="s">
        <v>1893</v>
      </c>
      <c r="P408" t="s">
        <v>1894</v>
      </c>
      <c r="Q408">
        <f t="shared" si="6"/>
        <v>3.1230901647466425</v>
      </c>
      <c r="S408" s="48"/>
      <c r="T408" s="73"/>
    </row>
    <row r="409" spans="1:21" x14ac:dyDescent="0.35">
      <c r="B409" s="102"/>
      <c r="D409" s="71">
        <v>7.0965125111335539</v>
      </c>
      <c r="E409" s="69">
        <v>65.288205349190321</v>
      </c>
      <c r="F409" s="72" t="s">
        <v>231</v>
      </c>
      <c r="G409" s="35">
        <v>9</v>
      </c>
      <c r="H409" s="1" t="s">
        <v>468</v>
      </c>
      <c r="I409" s="35">
        <v>28</v>
      </c>
      <c r="J409" s="46">
        <v>11</v>
      </c>
      <c r="K409" s="11" t="s">
        <v>1158</v>
      </c>
      <c r="L409" s="27">
        <v>74</v>
      </c>
      <c r="M409" t="s">
        <v>781</v>
      </c>
      <c r="N409" t="s">
        <v>1895</v>
      </c>
      <c r="Q409">
        <f t="shared" si="6"/>
        <v>7.0965125111335539</v>
      </c>
      <c r="S409" s="48"/>
      <c r="T409" s="73"/>
    </row>
    <row r="410" spans="1:21" x14ac:dyDescent="0.35">
      <c r="B410" s="102"/>
      <c r="D410" s="71">
        <v>3.5709765118524208</v>
      </c>
      <c r="E410" s="69">
        <v>56.065373920105422</v>
      </c>
      <c r="F410" s="72" t="s">
        <v>231</v>
      </c>
      <c r="G410" s="35">
        <v>30</v>
      </c>
      <c r="H410" s="1" t="s">
        <v>693</v>
      </c>
      <c r="I410" s="35">
        <v>16</v>
      </c>
      <c r="J410" s="46">
        <v>15</v>
      </c>
      <c r="K410" s="11" t="s">
        <v>636</v>
      </c>
      <c r="L410" s="27">
        <v>73</v>
      </c>
      <c r="M410" t="s">
        <v>727</v>
      </c>
      <c r="N410" t="s">
        <v>1896</v>
      </c>
      <c r="O410" s="6" t="s">
        <v>1386</v>
      </c>
      <c r="Q410">
        <f t="shared" si="6"/>
        <v>3.5709765118524208</v>
      </c>
      <c r="S410" s="48"/>
      <c r="T410" s="73"/>
    </row>
    <row r="411" spans="1:21" x14ac:dyDescent="0.35">
      <c r="B411" s="102"/>
      <c r="D411" s="71">
        <v>1.6935072384664134</v>
      </c>
      <c r="E411" s="69">
        <v>55.397494829666847</v>
      </c>
      <c r="F411" s="72" t="s">
        <v>129</v>
      </c>
      <c r="G411" s="35">
        <v>36</v>
      </c>
      <c r="H411" s="1" t="s">
        <v>666</v>
      </c>
      <c r="I411" s="35">
        <v>10</v>
      </c>
      <c r="J411" s="46">
        <v>9</v>
      </c>
      <c r="K411" s="11" t="s">
        <v>1157</v>
      </c>
      <c r="L411" s="27">
        <v>72</v>
      </c>
      <c r="M411" t="s">
        <v>839</v>
      </c>
      <c r="N411" t="s">
        <v>1897</v>
      </c>
      <c r="O411" s="6" t="s">
        <v>1386</v>
      </c>
      <c r="Q411">
        <f t="shared" si="6"/>
        <v>1.6935072384664134</v>
      </c>
      <c r="S411" s="48"/>
      <c r="T411" s="73"/>
      <c r="U411" s="74"/>
    </row>
    <row r="412" spans="1:21" x14ac:dyDescent="0.35">
      <c r="B412" s="102"/>
      <c r="D412" s="71">
        <v>-3.6945864604328613</v>
      </c>
      <c r="E412" s="69">
        <v>70.781847471737805</v>
      </c>
      <c r="F412" s="72" t="s">
        <v>231</v>
      </c>
      <c r="G412" s="35">
        <v>70</v>
      </c>
      <c r="H412" s="1" t="s">
        <v>665</v>
      </c>
      <c r="I412" s="35">
        <v>17</v>
      </c>
      <c r="J412" s="46">
        <v>16</v>
      </c>
      <c r="K412" s="11" t="s">
        <v>670</v>
      </c>
      <c r="L412" s="27">
        <v>22</v>
      </c>
      <c r="M412" t="s">
        <v>786</v>
      </c>
      <c r="N412" t="s">
        <v>1898</v>
      </c>
      <c r="P412" t="s">
        <v>1899</v>
      </c>
      <c r="Q412">
        <f t="shared" si="6"/>
        <v>3.6945864604328613</v>
      </c>
      <c r="S412" s="48"/>
      <c r="T412" s="73"/>
      <c r="U412" s="74"/>
    </row>
    <row r="413" spans="1:21" x14ac:dyDescent="0.35">
      <c r="B413" s="102"/>
      <c r="D413" s="71">
        <v>0.7035943335873277</v>
      </c>
      <c r="E413" s="69">
        <v>39.229575476009046</v>
      </c>
      <c r="F413" s="72" t="s">
        <v>231</v>
      </c>
      <c r="G413" s="35">
        <v>69</v>
      </c>
      <c r="H413" s="1" t="s">
        <v>634</v>
      </c>
      <c r="I413" s="35">
        <v>13</v>
      </c>
      <c r="J413" s="46">
        <v>9</v>
      </c>
      <c r="K413" s="11" t="s">
        <v>768</v>
      </c>
      <c r="L413" s="27">
        <v>66</v>
      </c>
      <c r="M413" t="s">
        <v>874</v>
      </c>
      <c r="N413" t="s">
        <v>1900</v>
      </c>
      <c r="Q413">
        <f t="shared" si="6"/>
        <v>0.7035943335873277</v>
      </c>
      <c r="S413" s="48"/>
      <c r="T413" s="73"/>
      <c r="U413" s="74"/>
    </row>
    <row r="414" spans="1:21" x14ac:dyDescent="0.35">
      <c r="B414" s="102"/>
      <c r="D414" s="71">
        <v>-2.5280683842395959</v>
      </c>
      <c r="E414" s="69">
        <v>55.600405988742565</v>
      </c>
      <c r="F414" s="72" t="s">
        <v>129</v>
      </c>
      <c r="G414" s="35">
        <v>68</v>
      </c>
      <c r="H414" s="1" t="s">
        <v>763</v>
      </c>
      <c r="I414" s="35">
        <v>11</v>
      </c>
      <c r="J414" s="46">
        <v>9</v>
      </c>
      <c r="K414" s="11" t="s">
        <v>667</v>
      </c>
      <c r="L414" s="27">
        <v>47</v>
      </c>
      <c r="M414" t="s">
        <v>741</v>
      </c>
      <c r="N414" t="s">
        <v>1901</v>
      </c>
      <c r="P414" s="70" t="s">
        <v>1902</v>
      </c>
      <c r="Q414">
        <f t="shared" si="6"/>
        <v>2.5280683842395959</v>
      </c>
      <c r="S414" s="48"/>
      <c r="T414" s="73"/>
      <c r="U414" s="74"/>
    </row>
    <row r="415" spans="1:21" x14ac:dyDescent="0.35">
      <c r="B415" s="102"/>
      <c r="D415" s="71">
        <v>4.3544734949709678</v>
      </c>
      <c r="E415" s="69">
        <v>65.103947503592167</v>
      </c>
      <c r="F415" s="72" t="s">
        <v>231</v>
      </c>
      <c r="G415" s="35">
        <v>24</v>
      </c>
      <c r="H415" s="1" t="s">
        <v>642</v>
      </c>
      <c r="I415" s="35">
        <v>21</v>
      </c>
      <c r="J415" s="46">
        <v>11</v>
      </c>
      <c r="K415" s="11" t="s">
        <v>764</v>
      </c>
      <c r="L415" s="27">
        <v>65</v>
      </c>
      <c r="M415" t="s">
        <v>935</v>
      </c>
      <c r="N415" t="s">
        <v>1903</v>
      </c>
      <c r="Q415">
        <f t="shared" si="6"/>
        <v>4.3544734949709678</v>
      </c>
      <c r="S415" s="48"/>
      <c r="T415" s="73"/>
      <c r="U415" s="74"/>
    </row>
    <row r="416" spans="1:21" x14ac:dyDescent="0.35">
      <c r="B416" s="102"/>
      <c r="D416" s="71">
        <v>3.7120115126922451</v>
      </c>
      <c r="E416" s="69">
        <v>59.982491776648402</v>
      </c>
      <c r="F416" s="72" t="s">
        <v>231</v>
      </c>
      <c r="G416" s="35">
        <v>29</v>
      </c>
      <c r="H416" s="1" t="s">
        <v>651</v>
      </c>
      <c r="I416" s="35">
        <v>15</v>
      </c>
      <c r="J416" s="46">
        <v>8</v>
      </c>
      <c r="K416" s="11" t="s">
        <v>1163</v>
      </c>
      <c r="L416" s="27">
        <v>64</v>
      </c>
      <c r="M416" t="s">
        <v>955</v>
      </c>
      <c r="N416" t="s">
        <v>1904</v>
      </c>
      <c r="Q416">
        <f t="shared" si="6"/>
        <v>3.7120115126922451</v>
      </c>
      <c r="S416" s="48"/>
      <c r="T416" s="73"/>
      <c r="U416" s="74"/>
    </row>
    <row r="417" spans="1:21" x14ac:dyDescent="0.35">
      <c r="A417" s="2" t="s">
        <v>1905</v>
      </c>
      <c r="B417" s="102"/>
      <c r="D417" s="71">
        <v>-1.2275668964434565</v>
      </c>
      <c r="E417" s="69">
        <v>61.501833497459614</v>
      </c>
      <c r="F417" s="72" t="s">
        <v>231</v>
      </c>
      <c r="G417" s="35">
        <v>63</v>
      </c>
      <c r="H417" s="1" t="s">
        <v>679</v>
      </c>
      <c r="I417" s="35">
        <v>22</v>
      </c>
      <c r="J417" s="46">
        <v>13</v>
      </c>
      <c r="K417" s="11" t="s">
        <v>672</v>
      </c>
      <c r="L417" s="27">
        <v>35</v>
      </c>
      <c r="M417" t="s">
        <v>910</v>
      </c>
      <c r="N417" t="s">
        <v>1906</v>
      </c>
      <c r="Q417">
        <f t="shared" si="6"/>
        <v>1.2275668964434565</v>
      </c>
      <c r="S417" s="48"/>
      <c r="T417" s="73"/>
      <c r="U417" s="74"/>
    </row>
    <row r="418" spans="1:21" x14ac:dyDescent="0.35">
      <c r="B418" s="102"/>
      <c r="D418" s="71">
        <v>0.16704797274818306</v>
      </c>
      <c r="E418" s="69">
        <v>54.077108590894163</v>
      </c>
      <c r="F418" s="72" t="s">
        <v>129</v>
      </c>
      <c r="G418" s="35">
        <v>52</v>
      </c>
      <c r="H418" s="1" t="s">
        <v>772</v>
      </c>
      <c r="I418" s="35">
        <v>12</v>
      </c>
      <c r="J418" s="46">
        <v>11</v>
      </c>
      <c r="K418" s="11" t="s">
        <v>742</v>
      </c>
      <c r="L418" s="27">
        <v>62</v>
      </c>
      <c r="M418" t="s">
        <v>770</v>
      </c>
      <c r="N418" t="s">
        <v>1907</v>
      </c>
      <c r="P418" s="70" t="s">
        <v>1908</v>
      </c>
      <c r="Q418">
        <f t="shared" si="6"/>
        <v>0.16704797274818306</v>
      </c>
      <c r="S418" s="48"/>
    </row>
    <row r="419" spans="1:21" x14ac:dyDescent="0.35">
      <c r="B419" s="102"/>
      <c r="D419" s="71">
        <v>-2.2761222871370292</v>
      </c>
      <c r="E419" s="69">
        <v>59.036515919383589</v>
      </c>
      <c r="F419" s="72" t="s">
        <v>129</v>
      </c>
      <c r="G419" s="35">
        <v>61</v>
      </c>
      <c r="H419" s="1" t="s">
        <v>629</v>
      </c>
      <c r="I419" s="35">
        <v>16</v>
      </c>
      <c r="J419" s="46">
        <v>15</v>
      </c>
      <c r="K419" s="11" t="s">
        <v>673</v>
      </c>
      <c r="L419" s="27">
        <v>45</v>
      </c>
      <c r="M419" t="s">
        <v>727</v>
      </c>
      <c r="N419" t="s">
        <v>1909</v>
      </c>
      <c r="P419" s="70" t="s">
        <v>1910</v>
      </c>
      <c r="Q419">
        <f t="shared" si="6"/>
        <v>2.2761222871370292</v>
      </c>
      <c r="S419" s="48"/>
    </row>
    <row r="420" spans="1:21" x14ac:dyDescent="0.35">
      <c r="B420" s="102"/>
      <c r="D420" s="71">
        <v>2.3612623036037908E-2</v>
      </c>
      <c r="E420" s="69">
        <v>56.188490983545677</v>
      </c>
      <c r="F420" s="72" t="s">
        <v>129</v>
      </c>
      <c r="G420" s="35">
        <v>49</v>
      </c>
      <c r="H420" s="1" t="s">
        <v>641</v>
      </c>
      <c r="I420" s="35">
        <v>13</v>
      </c>
      <c r="J420" s="46">
        <v>9</v>
      </c>
      <c r="K420" s="11" t="s">
        <v>635</v>
      </c>
      <c r="L420" s="27">
        <v>60</v>
      </c>
      <c r="M420" t="s">
        <v>773</v>
      </c>
      <c r="N420" t="s">
        <v>1911</v>
      </c>
      <c r="Q420">
        <f t="shared" si="6"/>
        <v>2.3612623036037908E-2</v>
      </c>
      <c r="S420" s="48"/>
    </row>
    <row r="421" spans="1:21" x14ac:dyDescent="0.35">
      <c r="B421" s="102"/>
      <c r="D421" s="71">
        <v>1.9422757170251379</v>
      </c>
      <c r="E421" s="69">
        <v>70.041231630696331</v>
      </c>
      <c r="F421" s="72" t="s">
        <v>129</v>
      </c>
      <c r="G421" s="35">
        <v>23</v>
      </c>
      <c r="H421" s="1" t="s">
        <v>746</v>
      </c>
      <c r="I421" s="35">
        <v>18</v>
      </c>
      <c r="J421" s="46">
        <v>14</v>
      </c>
      <c r="K421" s="11" t="s">
        <v>771</v>
      </c>
      <c r="L421" s="27">
        <v>57</v>
      </c>
      <c r="M421" t="s">
        <v>781</v>
      </c>
      <c r="N421" t="s">
        <v>1912</v>
      </c>
      <c r="Q421">
        <f t="shared" si="6"/>
        <v>1.9422757170251379</v>
      </c>
      <c r="S421" s="48"/>
    </row>
    <row r="422" spans="1:21" x14ac:dyDescent="0.35">
      <c r="B422" s="102"/>
      <c r="D422" s="71">
        <v>3.3177286196341718</v>
      </c>
      <c r="E422" s="69">
        <v>75.844479557404171</v>
      </c>
      <c r="F422" s="72" t="s">
        <v>129</v>
      </c>
      <c r="G422" s="35">
        <v>10</v>
      </c>
      <c r="H422" s="1" t="s">
        <v>647</v>
      </c>
      <c r="I422" s="35">
        <v>21</v>
      </c>
      <c r="J422" s="46">
        <v>12</v>
      </c>
      <c r="K422" s="11" t="s">
        <v>780</v>
      </c>
      <c r="L422" s="27">
        <v>51</v>
      </c>
      <c r="M422" t="s">
        <v>740</v>
      </c>
      <c r="N422" t="s">
        <v>1913</v>
      </c>
      <c r="Q422">
        <f t="shared" si="6"/>
        <v>3.3177286196341718</v>
      </c>
      <c r="S422" s="48"/>
    </row>
    <row r="423" spans="1:21" x14ac:dyDescent="0.35">
      <c r="B423" s="102"/>
      <c r="D423" s="71">
        <v>-1.7548110802905024</v>
      </c>
      <c r="E423" s="69">
        <v>66.699865057350365</v>
      </c>
      <c r="F423" s="72" t="s">
        <v>129</v>
      </c>
      <c r="G423" s="35">
        <v>48</v>
      </c>
      <c r="H423" s="1" t="s">
        <v>676</v>
      </c>
      <c r="I423" s="35">
        <v>20</v>
      </c>
      <c r="J423" s="46">
        <v>13</v>
      </c>
      <c r="K423" s="11" t="s">
        <v>713</v>
      </c>
      <c r="L423" s="27">
        <v>38</v>
      </c>
      <c r="M423" t="s">
        <v>790</v>
      </c>
      <c r="N423" t="s">
        <v>1914</v>
      </c>
      <c r="Q423">
        <f t="shared" si="6"/>
        <v>1.7548110802905024</v>
      </c>
      <c r="S423" s="48"/>
    </row>
    <row r="424" spans="1:21" x14ac:dyDescent="0.35">
      <c r="B424" s="102"/>
      <c r="D424" s="71">
        <v>2.6251213114259886</v>
      </c>
      <c r="E424" s="69">
        <v>69.999913348981437</v>
      </c>
      <c r="F424" s="72" t="s">
        <v>231</v>
      </c>
      <c r="G424" s="35">
        <v>26</v>
      </c>
      <c r="H424" s="1" t="s">
        <v>663</v>
      </c>
      <c r="I424" s="35">
        <v>18</v>
      </c>
      <c r="J424" s="46">
        <v>10</v>
      </c>
      <c r="K424" s="11" t="s">
        <v>753</v>
      </c>
      <c r="L424" s="27">
        <v>44</v>
      </c>
      <c r="M424" t="s">
        <v>714</v>
      </c>
      <c r="N424" t="s">
        <v>1915</v>
      </c>
      <c r="Q424">
        <f t="shared" si="6"/>
        <v>2.6251213114259886</v>
      </c>
      <c r="S424" s="48"/>
    </row>
    <row r="425" spans="1:21" x14ac:dyDescent="0.35">
      <c r="B425" s="102"/>
      <c r="D425" s="71">
        <v>-2.4467066829152988</v>
      </c>
      <c r="E425" s="69">
        <v>73.622647630653788</v>
      </c>
      <c r="F425" s="72" t="s">
        <v>129</v>
      </c>
      <c r="G425" s="35">
        <v>43</v>
      </c>
      <c r="H425" s="1" t="s">
        <v>758</v>
      </c>
      <c r="I425" s="35">
        <v>15</v>
      </c>
      <c r="J425" s="46">
        <v>11</v>
      </c>
      <c r="K425" s="11" t="s">
        <v>765</v>
      </c>
      <c r="L425" s="27">
        <v>27</v>
      </c>
      <c r="M425" t="s">
        <v>910</v>
      </c>
      <c r="N425" t="s">
        <v>1916</v>
      </c>
      <c r="Q425">
        <f t="shared" si="6"/>
        <v>2.4467066829152988</v>
      </c>
      <c r="S425" s="48"/>
    </row>
    <row r="426" spans="1:21" x14ac:dyDescent="0.35">
      <c r="B426" s="102"/>
      <c r="D426" s="71">
        <v>-2.2657448127144177</v>
      </c>
      <c r="E426" s="69">
        <v>79.475532009081732</v>
      </c>
      <c r="F426" s="72" t="s">
        <v>129</v>
      </c>
      <c r="G426" s="35">
        <v>41</v>
      </c>
      <c r="H426" s="1" t="s">
        <v>783</v>
      </c>
      <c r="I426" s="35">
        <v>23</v>
      </c>
      <c r="J426" s="46">
        <v>20</v>
      </c>
      <c r="K426" s="11" t="s">
        <v>467</v>
      </c>
      <c r="L426" s="27">
        <v>21</v>
      </c>
      <c r="M426" t="s">
        <v>972</v>
      </c>
      <c r="N426" t="s">
        <v>1917</v>
      </c>
      <c r="Q426">
        <f t="shared" si="6"/>
        <v>2.2657448127144177</v>
      </c>
      <c r="S426" s="48"/>
    </row>
    <row r="427" spans="1:21" x14ac:dyDescent="0.35">
      <c r="B427" s="102"/>
      <c r="D427" s="71">
        <v>-1.0686342348302944</v>
      </c>
      <c r="E427" s="69">
        <v>80.049024453450215</v>
      </c>
      <c r="F427" s="72" t="s">
        <v>231</v>
      </c>
      <c r="G427" s="35">
        <v>40</v>
      </c>
      <c r="H427" s="1" t="s">
        <v>671</v>
      </c>
      <c r="I427" s="35">
        <v>18</v>
      </c>
      <c r="J427" s="46">
        <v>12</v>
      </c>
      <c r="K427" s="11" t="s">
        <v>640</v>
      </c>
      <c r="L427" s="27">
        <v>18</v>
      </c>
      <c r="M427" t="s">
        <v>724</v>
      </c>
      <c r="N427" t="s">
        <v>1918</v>
      </c>
      <c r="Q427">
        <f t="shared" si="6"/>
        <v>1.0686342348302944</v>
      </c>
      <c r="S427" s="48"/>
    </row>
    <row r="428" spans="1:21" x14ac:dyDescent="0.35">
      <c r="B428" s="102"/>
      <c r="D428" s="71">
        <v>-1.1808257743299768</v>
      </c>
      <c r="E428" s="69">
        <v>80.843446981664272</v>
      </c>
      <c r="F428" s="72" t="s">
        <v>231</v>
      </c>
      <c r="G428" s="35">
        <v>39</v>
      </c>
      <c r="H428" s="1" t="s">
        <v>750</v>
      </c>
      <c r="I428" s="35">
        <v>15</v>
      </c>
      <c r="J428" s="46">
        <v>13</v>
      </c>
      <c r="K428" s="11" t="s">
        <v>650</v>
      </c>
      <c r="L428" s="27">
        <v>17</v>
      </c>
      <c r="M428" t="s">
        <v>721</v>
      </c>
      <c r="N428" t="s">
        <v>1919</v>
      </c>
      <c r="P428" s="70" t="s">
        <v>1920</v>
      </c>
      <c r="Q428">
        <f t="shared" si="6"/>
        <v>1.1808257743299768</v>
      </c>
      <c r="S428" s="48"/>
    </row>
    <row r="429" spans="1:21" x14ac:dyDescent="0.35">
      <c r="A429" s="2" t="s">
        <v>1921</v>
      </c>
      <c r="B429" s="102"/>
      <c r="D429" s="71">
        <v>3.6450078193355586</v>
      </c>
      <c r="E429" s="69">
        <v>82.753565843331742</v>
      </c>
      <c r="F429" s="72" t="s">
        <v>231</v>
      </c>
      <c r="G429" s="35">
        <v>7</v>
      </c>
      <c r="H429" s="1" t="s">
        <v>649</v>
      </c>
      <c r="I429" s="35">
        <v>14</v>
      </c>
      <c r="J429" s="46">
        <v>8</v>
      </c>
      <c r="K429" s="11" t="s">
        <v>632</v>
      </c>
      <c r="L429" s="27">
        <v>34</v>
      </c>
      <c r="M429" t="s">
        <v>770</v>
      </c>
      <c r="N429" t="s">
        <v>1922</v>
      </c>
      <c r="Q429">
        <f t="shared" si="6"/>
        <v>3.6450078193355586</v>
      </c>
      <c r="S429" s="48"/>
    </row>
    <row r="430" spans="1:21" x14ac:dyDescent="0.35">
      <c r="B430" s="102"/>
      <c r="D430" s="71">
        <v>-0.82393125625319508</v>
      </c>
      <c r="E430" s="69">
        <v>74.472450897323711</v>
      </c>
      <c r="F430" s="72" t="s">
        <v>129</v>
      </c>
      <c r="G430" s="35">
        <v>33</v>
      </c>
      <c r="H430" s="1" t="s">
        <v>731</v>
      </c>
      <c r="I430" s="35">
        <v>18</v>
      </c>
      <c r="J430" s="46">
        <v>11</v>
      </c>
      <c r="K430" s="11" t="s">
        <v>630</v>
      </c>
      <c r="L430" s="27">
        <v>32</v>
      </c>
      <c r="M430" t="s">
        <v>699</v>
      </c>
      <c r="N430" t="s">
        <v>1923</v>
      </c>
      <c r="Q430">
        <f t="shared" si="6"/>
        <v>0.82393125625319508</v>
      </c>
      <c r="S430" s="48"/>
    </row>
    <row r="431" spans="1:21" x14ac:dyDescent="0.35">
      <c r="B431" s="102"/>
      <c r="D431" s="71">
        <v>2.0551611519858484</v>
      </c>
      <c r="E431" s="69">
        <v>93.355137193609906</v>
      </c>
      <c r="F431" s="72" t="s">
        <v>129</v>
      </c>
      <c r="G431" s="35">
        <v>2</v>
      </c>
      <c r="H431" s="1" t="s">
        <v>245</v>
      </c>
      <c r="I431" s="35">
        <v>20</v>
      </c>
      <c r="J431" s="46">
        <v>19</v>
      </c>
      <c r="K431" s="11" t="s">
        <v>755</v>
      </c>
      <c r="L431" s="27">
        <v>15</v>
      </c>
      <c r="M431" t="s">
        <v>915</v>
      </c>
      <c r="N431" t="s">
        <v>1924</v>
      </c>
      <c r="P431" t="s">
        <v>1925</v>
      </c>
      <c r="Q431">
        <f t="shared" si="6"/>
        <v>2.0551611519858484</v>
      </c>
      <c r="S431" s="48"/>
    </row>
    <row r="432" spans="1:21" x14ac:dyDescent="0.35">
      <c r="B432" s="102"/>
      <c r="D432" s="71">
        <v>-1.7754960657884165</v>
      </c>
      <c r="E432" s="69">
        <v>94.705711475563163</v>
      </c>
      <c r="F432" s="72" t="s">
        <v>129</v>
      </c>
      <c r="G432" s="35">
        <v>13</v>
      </c>
      <c r="H432" s="1" t="s">
        <v>334</v>
      </c>
      <c r="I432" s="35">
        <v>14</v>
      </c>
      <c r="J432" s="46">
        <v>12</v>
      </c>
      <c r="K432" s="11" t="s">
        <v>747</v>
      </c>
      <c r="L432" s="27">
        <v>8</v>
      </c>
      <c r="M432" t="s">
        <v>705</v>
      </c>
      <c r="N432" t="s">
        <v>1926</v>
      </c>
      <c r="Q432">
        <f t="shared" si="6"/>
        <v>1.7754960657884165</v>
      </c>
      <c r="S432" s="48"/>
    </row>
    <row r="433" spans="1:19" ht="15" thickBot="1" x14ac:dyDescent="0.4">
      <c r="B433" s="102"/>
      <c r="C433" s="51"/>
      <c r="D433" s="82">
        <v>0.57041192065609703</v>
      </c>
      <c r="E433" s="76">
        <v>97.405062913817076</v>
      </c>
      <c r="F433" s="83" t="s">
        <v>231</v>
      </c>
      <c r="G433" s="49">
        <v>4</v>
      </c>
      <c r="H433" s="45" t="s">
        <v>466</v>
      </c>
      <c r="I433" s="49">
        <v>18</v>
      </c>
      <c r="J433" s="50">
        <v>11</v>
      </c>
      <c r="K433" s="51" t="s">
        <v>644</v>
      </c>
      <c r="L433" s="77">
        <v>3</v>
      </c>
      <c r="M433" s="40" t="s">
        <v>821</v>
      </c>
      <c r="N433" s="40" t="s">
        <v>1927</v>
      </c>
      <c r="O433" s="78"/>
      <c r="P433" s="78" t="s">
        <v>1194</v>
      </c>
      <c r="Q433">
        <f t="shared" si="6"/>
        <v>0.57041192065609703</v>
      </c>
      <c r="S433" s="48"/>
    </row>
    <row r="434" spans="1:19" x14ac:dyDescent="0.35">
      <c r="B434" s="102" t="s">
        <v>1108</v>
      </c>
      <c r="C434" s="11" t="s">
        <v>1928</v>
      </c>
      <c r="D434" s="71">
        <v>3.1004694749169683</v>
      </c>
      <c r="E434" s="69">
        <v>57.145233908981965</v>
      </c>
      <c r="F434" s="35" t="s">
        <v>231</v>
      </c>
      <c r="G434" s="35">
        <v>49</v>
      </c>
      <c r="H434" s="1" t="s">
        <v>765</v>
      </c>
      <c r="I434" s="35">
        <v>18</v>
      </c>
      <c r="J434" s="46">
        <v>7</v>
      </c>
      <c r="K434" s="11" t="s">
        <v>712</v>
      </c>
      <c r="L434" s="27">
        <v>64</v>
      </c>
      <c r="M434" t="s">
        <v>730</v>
      </c>
      <c r="N434" t="s">
        <v>1929</v>
      </c>
      <c r="Q434">
        <f t="shared" si="6"/>
        <v>3.1004694749169683</v>
      </c>
      <c r="S434" s="48"/>
    </row>
    <row r="435" spans="1:19" x14ac:dyDescent="0.35">
      <c r="C435" s="11" t="s">
        <v>1928</v>
      </c>
      <c r="D435" s="71">
        <v>3.131153623463252</v>
      </c>
      <c r="E435" s="69">
        <v>70.344258384916486</v>
      </c>
      <c r="F435" s="72" t="s">
        <v>129</v>
      </c>
      <c r="G435" s="35">
        <v>13</v>
      </c>
      <c r="H435" s="1" t="s">
        <v>704</v>
      </c>
      <c r="I435" s="35">
        <v>19</v>
      </c>
      <c r="J435" s="46">
        <v>16</v>
      </c>
      <c r="K435" s="11" t="s">
        <v>768</v>
      </c>
      <c r="L435" s="27">
        <v>73</v>
      </c>
      <c r="M435" t="s">
        <v>786</v>
      </c>
      <c r="N435" t="s">
        <v>1933</v>
      </c>
      <c r="O435" s="6" t="s">
        <v>1386</v>
      </c>
      <c r="Q435">
        <f t="shared" si="6"/>
        <v>3.131153623463252</v>
      </c>
      <c r="S435" s="48"/>
    </row>
    <row r="436" spans="1:19" x14ac:dyDescent="0.35">
      <c r="B436" s="102"/>
      <c r="C436" s="11" t="s">
        <v>1928</v>
      </c>
      <c r="D436" s="71">
        <v>3.4179835242394163</v>
      </c>
      <c r="E436" s="69">
        <v>49.70897487727467</v>
      </c>
      <c r="F436" s="72" t="s">
        <v>231</v>
      </c>
      <c r="G436" s="35">
        <v>47</v>
      </c>
      <c r="H436" s="1" t="s">
        <v>753</v>
      </c>
      <c r="I436" s="35">
        <v>20</v>
      </c>
      <c r="J436" s="46">
        <v>14</v>
      </c>
      <c r="K436" s="11" t="s">
        <v>701</v>
      </c>
      <c r="L436" s="27">
        <v>86</v>
      </c>
      <c r="M436" t="s">
        <v>781</v>
      </c>
      <c r="N436" t="s">
        <v>1936</v>
      </c>
      <c r="Q436">
        <f t="shared" si="6"/>
        <v>3.4179835242394163</v>
      </c>
      <c r="S436" s="48"/>
    </row>
    <row r="437" spans="1:19" x14ac:dyDescent="0.35">
      <c r="B437" s="102"/>
      <c r="C437" s="11" t="s">
        <v>1928</v>
      </c>
      <c r="D437" s="71">
        <v>-2.5332677072475853</v>
      </c>
      <c r="E437" s="69">
        <v>91.021386383230592</v>
      </c>
      <c r="F437" s="72" t="s">
        <v>231</v>
      </c>
      <c r="G437" s="35">
        <v>29</v>
      </c>
      <c r="H437" s="1" t="s">
        <v>661</v>
      </c>
      <c r="I437" s="35">
        <v>13</v>
      </c>
      <c r="J437" s="46">
        <v>10</v>
      </c>
      <c r="K437" s="11" t="s">
        <v>649</v>
      </c>
      <c r="L437" s="27">
        <v>4</v>
      </c>
      <c r="M437" t="s">
        <v>741</v>
      </c>
      <c r="N437" t="s">
        <v>1939</v>
      </c>
      <c r="Q437">
        <f t="shared" si="6"/>
        <v>2.5332677072475853</v>
      </c>
      <c r="S437" s="48"/>
    </row>
    <row r="438" spans="1:19" x14ac:dyDescent="0.35">
      <c r="B438" s="102"/>
      <c r="C438" s="11" t="s">
        <v>1928</v>
      </c>
      <c r="D438" s="71">
        <v>-1.1838219705853019</v>
      </c>
      <c r="E438" s="69">
        <v>90.636028409661989</v>
      </c>
      <c r="F438" s="72" t="s">
        <v>231</v>
      </c>
      <c r="G438" s="35">
        <v>24</v>
      </c>
      <c r="H438" s="1" t="s">
        <v>758</v>
      </c>
      <c r="I438" s="35">
        <v>14</v>
      </c>
      <c r="J438" s="46">
        <v>13</v>
      </c>
      <c r="K438" s="11" t="s">
        <v>647</v>
      </c>
      <c r="L438" s="27">
        <v>12</v>
      </c>
      <c r="M438" t="s">
        <v>699</v>
      </c>
      <c r="N438" t="s">
        <v>1942</v>
      </c>
      <c r="Q438">
        <f t="shared" si="6"/>
        <v>1.1838219705853019</v>
      </c>
      <c r="S438" s="48"/>
    </row>
    <row r="439" spans="1:19" x14ac:dyDescent="0.35">
      <c r="B439" s="102"/>
      <c r="C439" s="11" t="s">
        <v>1928</v>
      </c>
      <c r="D439" s="71">
        <v>-1.323193976816726</v>
      </c>
      <c r="E439" s="69">
        <v>52.75687469938218</v>
      </c>
      <c r="F439" s="72" t="s">
        <v>231</v>
      </c>
      <c r="G439" s="35">
        <v>78</v>
      </c>
      <c r="H439" s="1" t="s">
        <v>1162</v>
      </c>
      <c r="I439" s="35">
        <v>23</v>
      </c>
      <c r="J439" s="46">
        <v>14</v>
      </c>
      <c r="K439" s="11" t="s">
        <v>729</v>
      </c>
      <c r="L439" s="27">
        <v>55</v>
      </c>
      <c r="M439" t="s">
        <v>931</v>
      </c>
      <c r="N439" t="s">
        <v>1945</v>
      </c>
      <c r="Q439">
        <f t="shared" si="6"/>
        <v>1.323193976816726</v>
      </c>
      <c r="S439" s="48"/>
    </row>
    <row r="440" spans="1:19" x14ac:dyDescent="0.35">
      <c r="B440" s="102"/>
      <c r="C440" s="11" t="s">
        <v>1928</v>
      </c>
      <c r="D440" s="71">
        <v>-1.6127900604733409</v>
      </c>
      <c r="E440" s="69">
        <v>45.188579324590016</v>
      </c>
      <c r="F440" s="72" t="s">
        <v>129</v>
      </c>
      <c r="G440" s="35">
        <v>80</v>
      </c>
      <c r="H440" s="1" t="s">
        <v>1165</v>
      </c>
      <c r="I440" s="35">
        <v>23</v>
      </c>
      <c r="J440" s="46">
        <v>18</v>
      </c>
      <c r="K440" s="11" t="s">
        <v>680</v>
      </c>
      <c r="L440" s="27">
        <v>59</v>
      </c>
      <c r="M440" t="s">
        <v>907</v>
      </c>
      <c r="N440" t="s">
        <v>1948</v>
      </c>
      <c r="Q440">
        <f t="shared" si="6"/>
        <v>1.6127900604733409</v>
      </c>
      <c r="S440" s="48"/>
    </row>
    <row r="441" spans="1:19" x14ac:dyDescent="0.35">
      <c r="B441" s="102"/>
      <c r="C441" s="11" t="s">
        <v>1928</v>
      </c>
      <c r="D441" s="71">
        <v>0.89548506431919273</v>
      </c>
      <c r="E441" s="69">
        <v>65.433259601509093</v>
      </c>
      <c r="F441" s="72" t="s">
        <v>129</v>
      </c>
      <c r="G441" s="35">
        <v>37</v>
      </c>
      <c r="H441" s="1" t="s">
        <v>641</v>
      </c>
      <c r="I441" s="35">
        <v>12</v>
      </c>
      <c r="J441" s="46">
        <v>9</v>
      </c>
      <c r="K441" s="11" t="s">
        <v>774</v>
      </c>
      <c r="L441" s="27">
        <v>57</v>
      </c>
      <c r="M441" t="s">
        <v>769</v>
      </c>
      <c r="N441" t="s">
        <v>1952</v>
      </c>
      <c r="Q441">
        <f t="shared" si="6"/>
        <v>0.89548506431919273</v>
      </c>
      <c r="S441" s="48"/>
    </row>
    <row r="442" spans="1:19" x14ac:dyDescent="0.35">
      <c r="B442" s="102"/>
      <c r="C442" s="11" t="s">
        <v>1928</v>
      </c>
      <c r="D442" s="71">
        <v>1.8836980181264875</v>
      </c>
      <c r="E442" s="69">
        <v>65.882801274061535</v>
      </c>
      <c r="F442" s="72" t="s">
        <v>231</v>
      </c>
      <c r="G442" s="35">
        <v>38</v>
      </c>
      <c r="H442" s="1" t="s">
        <v>660</v>
      </c>
      <c r="I442" s="35">
        <v>26</v>
      </c>
      <c r="J442" s="46">
        <v>10</v>
      </c>
      <c r="K442" s="11" t="s">
        <v>772</v>
      </c>
      <c r="L442" s="27">
        <v>53</v>
      </c>
      <c r="M442" t="s">
        <v>1154</v>
      </c>
      <c r="N442" s="1" t="s">
        <v>1955</v>
      </c>
      <c r="O442" s="1" t="s">
        <v>1390</v>
      </c>
      <c r="Q442">
        <f t="shared" si="6"/>
        <v>1.8836980181264875</v>
      </c>
      <c r="S442" s="48"/>
    </row>
    <row r="443" spans="1:19" x14ac:dyDescent="0.35">
      <c r="B443" s="102"/>
      <c r="C443" s="11" t="s">
        <v>1928</v>
      </c>
      <c r="D443" s="71">
        <v>-0.49319211193008095</v>
      </c>
      <c r="E443" s="69">
        <v>84.88848064338363</v>
      </c>
      <c r="F443" s="72" t="s">
        <v>231</v>
      </c>
      <c r="G443" s="35">
        <v>30</v>
      </c>
      <c r="H443" s="1" t="s">
        <v>666</v>
      </c>
      <c r="I443" s="35">
        <v>18</v>
      </c>
      <c r="J443" s="46">
        <v>11</v>
      </c>
      <c r="K443" s="11" t="s">
        <v>650</v>
      </c>
      <c r="L443" s="27">
        <v>18</v>
      </c>
      <c r="M443" t="s">
        <v>789</v>
      </c>
      <c r="N443" t="s">
        <v>1958</v>
      </c>
      <c r="Q443">
        <f t="shared" si="6"/>
        <v>0.49319211193008095</v>
      </c>
      <c r="S443" s="48"/>
    </row>
    <row r="444" spans="1:19" x14ac:dyDescent="0.35">
      <c r="B444" s="102"/>
      <c r="C444" s="11" t="s">
        <v>1928</v>
      </c>
      <c r="D444" s="71">
        <v>4.7309784728672568</v>
      </c>
      <c r="E444" s="69">
        <v>49.588120981728188</v>
      </c>
      <c r="F444" s="72" t="s">
        <v>231</v>
      </c>
      <c r="G444" s="35">
        <v>39</v>
      </c>
      <c r="H444" s="1" t="s">
        <v>1160</v>
      </c>
      <c r="I444" s="35">
        <v>22</v>
      </c>
      <c r="J444" s="46">
        <v>10</v>
      </c>
      <c r="K444" s="11" t="s">
        <v>732</v>
      </c>
      <c r="L444" s="27">
        <v>92</v>
      </c>
      <c r="M444" t="s">
        <v>934</v>
      </c>
      <c r="N444" t="s">
        <v>1961</v>
      </c>
      <c r="Q444">
        <f t="shared" si="6"/>
        <v>4.7309784728672568</v>
      </c>
      <c r="S444" s="48"/>
    </row>
    <row r="445" spans="1:19" x14ac:dyDescent="0.35">
      <c r="B445" s="102"/>
      <c r="C445" s="11" t="s">
        <v>1928</v>
      </c>
      <c r="D445" s="71">
        <v>-8.2641898153545917E-2</v>
      </c>
      <c r="E445" s="69">
        <v>83.338841220241562</v>
      </c>
      <c r="F445" s="72" t="s">
        <v>231</v>
      </c>
      <c r="G445" s="35">
        <v>36</v>
      </c>
      <c r="H445" s="1" t="s">
        <v>783</v>
      </c>
      <c r="I445" s="35">
        <v>25</v>
      </c>
      <c r="J445" s="46">
        <v>5</v>
      </c>
      <c r="K445" s="11" t="s">
        <v>652</v>
      </c>
      <c r="L445" s="27">
        <v>16</v>
      </c>
      <c r="M445" t="s">
        <v>935</v>
      </c>
      <c r="N445" s="1" t="s">
        <v>1964</v>
      </c>
      <c r="O445" s="1" t="s">
        <v>1390</v>
      </c>
      <c r="Q445">
        <f t="shared" si="6"/>
        <v>8.2641898153545917E-2</v>
      </c>
      <c r="S445" s="48"/>
    </row>
    <row r="446" spans="1:19" x14ac:dyDescent="0.35">
      <c r="B446" s="102"/>
      <c r="C446" s="11" t="s">
        <v>1928</v>
      </c>
      <c r="D446" s="71">
        <v>4.4906389345805575</v>
      </c>
      <c r="E446" s="69">
        <v>64.648874970626792</v>
      </c>
      <c r="F446" s="72" t="s">
        <v>129</v>
      </c>
      <c r="G446" s="35">
        <v>14</v>
      </c>
      <c r="H446" s="1" t="s">
        <v>642</v>
      </c>
      <c r="I446" s="35">
        <v>19</v>
      </c>
      <c r="J446" s="46">
        <v>5</v>
      </c>
      <c r="K446" s="11" t="s">
        <v>757</v>
      </c>
      <c r="L446" s="27">
        <v>87</v>
      </c>
      <c r="M446" t="s">
        <v>799</v>
      </c>
      <c r="N446" t="s">
        <v>1967</v>
      </c>
      <c r="Q446">
        <f t="shared" si="6"/>
        <v>4.4906389345805575</v>
      </c>
      <c r="S446" s="48"/>
    </row>
    <row r="447" spans="1:19" x14ac:dyDescent="0.35">
      <c r="B447" s="102"/>
      <c r="C447" s="11" t="s">
        <v>1928</v>
      </c>
      <c r="D447" s="71">
        <v>2.0183059483394965</v>
      </c>
      <c r="E447" s="69">
        <v>65.273946176067483</v>
      </c>
      <c r="F447" s="72" t="s">
        <v>129</v>
      </c>
      <c r="G447" s="35">
        <v>25</v>
      </c>
      <c r="H447" s="1" t="s">
        <v>465</v>
      </c>
      <c r="I447" s="35">
        <v>18</v>
      </c>
      <c r="J447" s="46">
        <v>12</v>
      </c>
      <c r="K447" s="11" t="s">
        <v>778</v>
      </c>
      <c r="L447" s="27">
        <v>79</v>
      </c>
      <c r="M447" t="s">
        <v>770</v>
      </c>
      <c r="N447" t="s">
        <v>1970</v>
      </c>
      <c r="Q447">
        <f t="shared" si="6"/>
        <v>2.0183059483394965</v>
      </c>
      <c r="S447" s="48"/>
    </row>
    <row r="448" spans="1:19" x14ac:dyDescent="0.35">
      <c r="A448" s="2" t="s">
        <v>1951</v>
      </c>
      <c r="B448" s="102"/>
      <c r="C448" s="11" t="s">
        <v>1928</v>
      </c>
      <c r="D448" s="71">
        <v>-3.4804330943029274</v>
      </c>
      <c r="E448" s="69">
        <v>82.951706989194747</v>
      </c>
      <c r="F448" s="72" t="s">
        <v>129</v>
      </c>
      <c r="G448" s="35">
        <v>43</v>
      </c>
      <c r="H448" s="1" t="s">
        <v>672</v>
      </c>
      <c r="I448" s="35">
        <v>23</v>
      </c>
      <c r="J448" s="46">
        <v>11</v>
      </c>
      <c r="K448" s="11" t="s">
        <v>640</v>
      </c>
      <c r="L448" s="27">
        <v>17</v>
      </c>
      <c r="M448" t="s">
        <v>724</v>
      </c>
      <c r="N448" s="1" t="s">
        <v>1974</v>
      </c>
      <c r="O448" s="1" t="s">
        <v>1390</v>
      </c>
      <c r="Q448">
        <f t="shared" si="6"/>
        <v>3.4804330943029274</v>
      </c>
      <c r="S448" s="48"/>
    </row>
    <row r="449" spans="2:19" x14ac:dyDescent="0.35">
      <c r="B449" s="102"/>
      <c r="C449" s="11" t="s">
        <v>1928</v>
      </c>
      <c r="D449" s="71">
        <v>5.7727026649858342</v>
      </c>
      <c r="E449" s="69">
        <v>73.114301182008901</v>
      </c>
      <c r="F449" s="72" t="s">
        <v>231</v>
      </c>
      <c r="G449" s="35">
        <v>7</v>
      </c>
      <c r="H449" s="1" t="s">
        <v>352</v>
      </c>
      <c r="I449" s="35">
        <v>18</v>
      </c>
      <c r="J449" s="46">
        <v>17</v>
      </c>
      <c r="K449" s="11" t="s">
        <v>761</v>
      </c>
      <c r="L449" s="27">
        <v>67</v>
      </c>
      <c r="M449" t="s">
        <v>972</v>
      </c>
      <c r="N449" t="s">
        <v>1977</v>
      </c>
      <c r="O449" s="6" t="s">
        <v>1386</v>
      </c>
      <c r="P449" t="s">
        <v>1978</v>
      </c>
      <c r="Q449">
        <f t="shared" si="6"/>
        <v>5.7727026649858342</v>
      </c>
      <c r="S449" s="48"/>
    </row>
    <row r="450" spans="2:19" x14ac:dyDescent="0.35">
      <c r="B450" s="102"/>
      <c r="C450" s="11" t="s">
        <v>1928</v>
      </c>
      <c r="D450" s="71">
        <v>1.4364397857992124</v>
      </c>
      <c r="E450" s="69">
        <v>70.148002994843367</v>
      </c>
      <c r="F450" s="72" t="s">
        <v>231</v>
      </c>
      <c r="G450" s="35">
        <v>34</v>
      </c>
      <c r="H450" s="1" t="s">
        <v>692</v>
      </c>
      <c r="I450" s="35">
        <v>20</v>
      </c>
      <c r="J450" s="46">
        <v>15</v>
      </c>
      <c r="K450" s="11" t="s">
        <v>676</v>
      </c>
      <c r="L450" s="27">
        <v>46</v>
      </c>
      <c r="M450" t="s">
        <v>781</v>
      </c>
      <c r="N450" t="s">
        <v>1981</v>
      </c>
      <c r="Q450">
        <f t="shared" si="6"/>
        <v>1.4364397857992124</v>
      </c>
      <c r="S450" s="48"/>
    </row>
    <row r="451" spans="2:19" x14ac:dyDescent="0.35">
      <c r="B451" s="102"/>
      <c r="C451" s="11" t="s">
        <v>1928</v>
      </c>
      <c r="D451" s="71">
        <v>-1.5431672388864555</v>
      </c>
      <c r="E451" s="69">
        <v>44.219714653569866</v>
      </c>
      <c r="F451" s="72" t="s">
        <v>231</v>
      </c>
      <c r="G451" s="35">
        <v>103</v>
      </c>
      <c r="H451" s="1" t="s">
        <v>792</v>
      </c>
      <c r="I451" s="35">
        <v>9</v>
      </c>
      <c r="J451" s="46">
        <v>7</v>
      </c>
      <c r="K451" s="11" t="s">
        <v>629</v>
      </c>
      <c r="L451" s="27">
        <v>54</v>
      </c>
      <c r="M451" t="s">
        <v>730</v>
      </c>
      <c r="N451" t="s">
        <v>1984</v>
      </c>
      <c r="Q451">
        <f t="shared" ref="Q451:Q514" si="7">ABS(D451)</f>
        <v>1.5431672388864555</v>
      </c>
      <c r="S451" s="48"/>
    </row>
    <row r="452" spans="2:19" x14ac:dyDescent="0.35">
      <c r="B452" s="102"/>
      <c r="C452" s="11" t="s">
        <v>1928</v>
      </c>
      <c r="D452" s="71">
        <v>-0.53260608045943736</v>
      </c>
      <c r="E452" s="69">
        <v>55.503103908866777</v>
      </c>
      <c r="F452" s="72" t="s">
        <v>231</v>
      </c>
      <c r="G452" s="35">
        <v>72</v>
      </c>
      <c r="H452" s="1" t="s">
        <v>764</v>
      </c>
      <c r="I452" s="35">
        <v>24</v>
      </c>
      <c r="J452" s="46">
        <v>11</v>
      </c>
      <c r="K452" s="11" t="s">
        <v>630</v>
      </c>
      <c r="L452" s="27">
        <v>52</v>
      </c>
      <c r="M452" t="s">
        <v>823</v>
      </c>
      <c r="N452" t="s">
        <v>1987</v>
      </c>
      <c r="Q452">
        <f t="shared" si="7"/>
        <v>0.53260608045943736</v>
      </c>
      <c r="S452" s="48"/>
    </row>
    <row r="453" spans="2:19" x14ac:dyDescent="0.35">
      <c r="B453" s="102"/>
      <c r="C453" s="11" t="s">
        <v>1928</v>
      </c>
      <c r="D453" s="71">
        <v>3.6058476987817296</v>
      </c>
      <c r="E453" s="69">
        <v>85.467669336497465</v>
      </c>
      <c r="F453" s="72" t="s">
        <v>129</v>
      </c>
      <c r="G453" s="35">
        <v>3</v>
      </c>
      <c r="H453" s="1" t="s">
        <v>466</v>
      </c>
      <c r="I453" s="35">
        <v>21</v>
      </c>
      <c r="J453" s="46">
        <v>12</v>
      </c>
      <c r="K453" s="11" t="s">
        <v>780</v>
      </c>
      <c r="L453" s="27">
        <v>35</v>
      </c>
      <c r="M453" t="s">
        <v>781</v>
      </c>
      <c r="N453" t="s">
        <v>1990</v>
      </c>
      <c r="Q453">
        <f t="shared" si="7"/>
        <v>3.6058476987817296</v>
      </c>
      <c r="S453" s="48"/>
    </row>
    <row r="454" spans="2:19" x14ac:dyDescent="0.35">
      <c r="B454" s="102" t="s">
        <v>1109</v>
      </c>
      <c r="C454" s="11" t="s">
        <v>1930</v>
      </c>
      <c r="D454" s="71">
        <v>-0.93380280825030193</v>
      </c>
      <c r="E454" s="69">
        <v>59.738694662446626</v>
      </c>
      <c r="F454" s="72" t="s">
        <v>231</v>
      </c>
      <c r="G454" s="35">
        <v>64</v>
      </c>
      <c r="H454" s="1" t="s">
        <v>712</v>
      </c>
      <c r="I454" s="35">
        <v>14</v>
      </c>
      <c r="J454" s="46">
        <v>13</v>
      </c>
      <c r="K454" s="11" t="s">
        <v>765</v>
      </c>
      <c r="L454" s="27">
        <v>49</v>
      </c>
      <c r="M454" t="s">
        <v>773</v>
      </c>
      <c r="N454" t="s">
        <v>1931</v>
      </c>
      <c r="P454" s="70" t="s">
        <v>1932</v>
      </c>
      <c r="Q454">
        <f t="shared" si="7"/>
        <v>0.93380280825030193</v>
      </c>
      <c r="S454" s="48"/>
    </row>
    <row r="455" spans="2:19" x14ac:dyDescent="0.35">
      <c r="B455" s="102"/>
      <c r="C455" s="11" t="s">
        <v>1930</v>
      </c>
      <c r="D455" s="71">
        <v>5.2950425123521416</v>
      </c>
      <c r="E455" s="69">
        <v>68.953186956345064</v>
      </c>
      <c r="F455" s="72" t="s">
        <v>231</v>
      </c>
      <c r="G455" s="35">
        <v>13</v>
      </c>
      <c r="H455" s="1" t="s">
        <v>704</v>
      </c>
      <c r="I455" s="35">
        <v>14</v>
      </c>
      <c r="J455" s="46">
        <v>8</v>
      </c>
      <c r="K455" s="11" t="s">
        <v>768</v>
      </c>
      <c r="L455" s="27">
        <v>73</v>
      </c>
      <c r="M455" t="s">
        <v>839</v>
      </c>
      <c r="N455" t="s">
        <v>1934</v>
      </c>
      <c r="P455" s="70" t="s">
        <v>1935</v>
      </c>
      <c r="Q455">
        <f t="shared" si="7"/>
        <v>5.2950425123521416</v>
      </c>
      <c r="S455" s="48"/>
    </row>
    <row r="456" spans="2:19" x14ac:dyDescent="0.35">
      <c r="B456" s="102"/>
      <c r="C456" s="11" t="s">
        <v>1930</v>
      </c>
      <c r="D456" s="71">
        <v>1.4652057464616386</v>
      </c>
      <c r="E456" s="69">
        <v>50.964332020131806</v>
      </c>
      <c r="F456" s="72" t="s">
        <v>129</v>
      </c>
      <c r="G456" s="35">
        <v>47</v>
      </c>
      <c r="H456" s="1" t="s">
        <v>753</v>
      </c>
      <c r="I456" s="35">
        <v>11</v>
      </c>
      <c r="J456" s="46">
        <v>9</v>
      </c>
      <c r="K456" s="11" t="s">
        <v>701</v>
      </c>
      <c r="L456" s="27">
        <v>86</v>
      </c>
      <c r="M456" t="s">
        <v>814</v>
      </c>
      <c r="N456" t="s">
        <v>1937</v>
      </c>
      <c r="P456" s="70" t="s">
        <v>1938</v>
      </c>
      <c r="Q456">
        <f t="shared" si="7"/>
        <v>1.4652057464616386</v>
      </c>
      <c r="S456" s="48"/>
    </row>
    <row r="457" spans="2:19" x14ac:dyDescent="0.35">
      <c r="B457" s="102"/>
      <c r="C457" s="11" t="s">
        <v>1930</v>
      </c>
      <c r="D457" s="71">
        <v>-4.6999343739142523</v>
      </c>
      <c r="E457" s="69">
        <v>92.414243526087731</v>
      </c>
      <c r="F457" s="72" t="s">
        <v>129</v>
      </c>
      <c r="G457" s="35">
        <v>29</v>
      </c>
      <c r="H457" s="1" t="s">
        <v>661</v>
      </c>
      <c r="I457" s="35">
        <v>19</v>
      </c>
      <c r="J457" s="46">
        <v>13</v>
      </c>
      <c r="K457" s="11" t="s">
        <v>649</v>
      </c>
      <c r="L457" s="27">
        <v>4</v>
      </c>
      <c r="M457" t="s">
        <v>724</v>
      </c>
      <c r="N457" t="s">
        <v>1940</v>
      </c>
      <c r="P457" s="70" t="s">
        <v>1941</v>
      </c>
      <c r="Q457">
        <f t="shared" si="7"/>
        <v>4.6999343739142523</v>
      </c>
      <c r="S457" s="48"/>
    </row>
    <row r="458" spans="2:19" x14ac:dyDescent="0.35">
      <c r="B458" s="102"/>
      <c r="C458" s="11" t="s">
        <v>1930</v>
      </c>
      <c r="D458" s="71">
        <v>-3.5671553039186352</v>
      </c>
      <c r="E458" s="69">
        <v>92.168171266804833</v>
      </c>
      <c r="F458" s="72" t="s">
        <v>129</v>
      </c>
      <c r="G458" s="35">
        <v>24</v>
      </c>
      <c r="H458" s="1" t="s">
        <v>758</v>
      </c>
      <c r="I458" s="35">
        <v>15</v>
      </c>
      <c r="J458" s="46">
        <v>10</v>
      </c>
      <c r="K458" s="11" t="s">
        <v>647</v>
      </c>
      <c r="L458" s="27">
        <v>12</v>
      </c>
      <c r="M458" t="s">
        <v>775</v>
      </c>
      <c r="N458" t="s">
        <v>1943</v>
      </c>
      <c r="P458" s="70" t="s">
        <v>1944</v>
      </c>
      <c r="Q458">
        <f t="shared" si="7"/>
        <v>3.5671553039186352</v>
      </c>
      <c r="S458" s="48"/>
    </row>
    <row r="459" spans="2:19" x14ac:dyDescent="0.35">
      <c r="B459" s="102"/>
      <c r="C459" s="11" t="s">
        <v>1930</v>
      </c>
      <c r="D459" s="71">
        <v>3.4343050879278372</v>
      </c>
      <c r="E459" s="69">
        <v>49.698482443474965</v>
      </c>
      <c r="F459" s="72" t="s">
        <v>231</v>
      </c>
      <c r="G459" s="35">
        <v>55</v>
      </c>
      <c r="H459" s="1" t="s">
        <v>729</v>
      </c>
      <c r="I459" s="35">
        <v>26</v>
      </c>
      <c r="J459" s="46">
        <v>6</v>
      </c>
      <c r="K459" s="11" t="s">
        <v>1162</v>
      </c>
      <c r="L459" s="27">
        <v>78</v>
      </c>
      <c r="M459" t="s">
        <v>919</v>
      </c>
      <c r="N459" s="1" t="s">
        <v>1946</v>
      </c>
      <c r="O459" s="1" t="s">
        <v>1390</v>
      </c>
      <c r="P459" s="70" t="s">
        <v>1947</v>
      </c>
      <c r="Q459">
        <f t="shared" si="7"/>
        <v>3.4343050879278372</v>
      </c>
      <c r="S459" s="48"/>
    </row>
    <row r="460" spans="2:19" x14ac:dyDescent="0.35">
      <c r="B460" s="102"/>
      <c r="C460" s="11" t="s">
        <v>1930</v>
      </c>
      <c r="D460" s="71">
        <v>0.34660923140665834</v>
      </c>
      <c r="E460" s="69">
        <v>43.928965494095728</v>
      </c>
      <c r="F460" s="72" t="s">
        <v>231</v>
      </c>
      <c r="G460" s="35">
        <v>80</v>
      </c>
      <c r="H460" s="1" t="s">
        <v>1165</v>
      </c>
      <c r="I460" s="35">
        <v>14</v>
      </c>
      <c r="J460" s="46">
        <v>13</v>
      </c>
      <c r="K460" s="11" t="s">
        <v>680</v>
      </c>
      <c r="L460" s="27">
        <v>59</v>
      </c>
      <c r="M460" t="s">
        <v>910</v>
      </c>
      <c r="N460" t="s">
        <v>1949</v>
      </c>
      <c r="P460" s="70" t="s">
        <v>1950</v>
      </c>
      <c r="Q460">
        <f t="shared" si="7"/>
        <v>0.34660923140665834</v>
      </c>
      <c r="S460" s="48"/>
    </row>
    <row r="461" spans="2:19" x14ac:dyDescent="0.35">
      <c r="B461" s="102"/>
      <c r="C461" s="11" t="s">
        <v>1930</v>
      </c>
      <c r="D461" s="71">
        <v>3.3454850643191927</v>
      </c>
      <c r="E461" s="69">
        <v>63.85825960150909</v>
      </c>
      <c r="F461" s="72" t="s">
        <v>231</v>
      </c>
      <c r="G461" s="35">
        <v>37</v>
      </c>
      <c r="H461" s="1" t="s">
        <v>641</v>
      </c>
      <c r="I461" s="35">
        <v>15</v>
      </c>
      <c r="J461" s="46">
        <v>14</v>
      </c>
      <c r="K461" s="11" t="s">
        <v>774</v>
      </c>
      <c r="L461" s="27">
        <v>57</v>
      </c>
      <c r="M461" t="s">
        <v>898</v>
      </c>
      <c r="N461" t="s">
        <v>1953</v>
      </c>
      <c r="P461" s="70" t="s">
        <v>1954</v>
      </c>
      <c r="Q461">
        <f t="shared" si="7"/>
        <v>3.3454850643191927</v>
      </c>
      <c r="S461" s="48"/>
    </row>
    <row r="462" spans="2:19" x14ac:dyDescent="0.35">
      <c r="B462" s="102"/>
      <c r="C462" s="11" t="s">
        <v>1930</v>
      </c>
      <c r="D462" s="71">
        <v>0.3385242040957348</v>
      </c>
      <c r="E462" s="69">
        <v>66.87612729736702</v>
      </c>
      <c r="F462" s="72" t="s">
        <v>231</v>
      </c>
      <c r="G462" s="35">
        <v>53</v>
      </c>
      <c r="H462" s="1" t="s">
        <v>772</v>
      </c>
      <c r="I462" s="35">
        <v>10</v>
      </c>
      <c r="J462" s="46">
        <v>8</v>
      </c>
      <c r="K462" s="11" t="s">
        <v>660</v>
      </c>
      <c r="L462" s="27">
        <v>38</v>
      </c>
      <c r="M462" t="s">
        <v>714</v>
      </c>
      <c r="N462" t="s">
        <v>1956</v>
      </c>
      <c r="P462" s="70" t="s">
        <v>1957</v>
      </c>
      <c r="Q462">
        <f t="shared" si="7"/>
        <v>0.3385242040957348</v>
      </c>
      <c r="S462" s="48"/>
    </row>
    <row r="463" spans="2:19" x14ac:dyDescent="0.35">
      <c r="B463" s="102"/>
      <c r="C463" s="11" t="s">
        <v>1930</v>
      </c>
      <c r="D463" s="71">
        <v>2.520969889707859</v>
      </c>
      <c r="E463" s="69">
        <v>82.950805070902092</v>
      </c>
      <c r="F463" s="72" t="s">
        <v>231</v>
      </c>
      <c r="G463" s="35">
        <v>18</v>
      </c>
      <c r="H463" s="1" t="s">
        <v>650</v>
      </c>
      <c r="I463" s="35">
        <v>18</v>
      </c>
      <c r="J463" s="46">
        <v>12</v>
      </c>
      <c r="K463" s="11" t="s">
        <v>666</v>
      </c>
      <c r="L463" s="27">
        <v>30</v>
      </c>
      <c r="M463" t="s">
        <v>786</v>
      </c>
      <c r="N463" t="s">
        <v>1959</v>
      </c>
      <c r="P463" s="70" t="s">
        <v>1960</v>
      </c>
      <c r="Q463">
        <f t="shared" si="7"/>
        <v>2.520969889707859</v>
      </c>
      <c r="S463" s="48"/>
    </row>
    <row r="464" spans="2:19" x14ac:dyDescent="0.35">
      <c r="B464" s="102"/>
      <c r="C464" s="11" t="s">
        <v>1930</v>
      </c>
      <c r="D464" s="71">
        <v>2.7309784728672568</v>
      </c>
      <c r="E464" s="69">
        <v>50.873835267442466</v>
      </c>
      <c r="F464" s="72" t="s">
        <v>129</v>
      </c>
      <c r="G464" s="35">
        <v>39</v>
      </c>
      <c r="H464" s="1" t="s">
        <v>1160</v>
      </c>
      <c r="I464" s="35">
        <v>11</v>
      </c>
      <c r="J464" s="46">
        <v>9</v>
      </c>
      <c r="K464" s="11" t="s">
        <v>732</v>
      </c>
      <c r="L464" s="27">
        <v>92</v>
      </c>
      <c r="M464" t="s">
        <v>1648</v>
      </c>
      <c r="N464" t="s">
        <v>1962</v>
      </c>
      <c r="O464" s="6" t="s">
        <v>1386</v>
      </c>
      <c r="P464" s="70" t="s">
        <v>1963</v>
      </c>
      <c r="Q464">
        <f t="shared" si="7"/>
        <v>2.7309784728672568</v>
      </c>
      <c r="S464" s="48"/>
    </row>
    <row r="465" spans="1:19" x14ac:dyDescent="0.35">
      <c r="B465" s="102"/>
      <c r="C465" s="11" t="s">
        <v>1930</v>
      </c>
      <c r="D465" s="71">
        <v>2.057641898153546</v>
      </c>
      <c r="E465" s="69">
        <v>81.962944494044152</v>
      </c>
      <c r="F465" s="72" t="s">
        <v>231</v>
      </c>
      <c r="G465" s="35">
        <v>16</v>
      </c>
      <c r="H465" s="1" t="s">
        <v>652</v>
      </c>
      <c r="I465" s="35">
        <v>18</v>
      </c>
      <c r="J465" s="46">
        <v>11</v>
      </c>
      <c r="K465" s="11" t="s">
        <v>783</v>
      </c>
      <c r="L465" s="27">
        <v>36</v>
      </c>
      <c r="M465" t="s">
        <v>793</v>
      </c>
      <c r="N465" t="s">
        <v>1965</v>
      </c>
      <c r="P465" s="70" t="s">
        <v>1966</v>
      </c>
      <c r="Q465">
        <f t="shared" si="7"/>
        <v>2.057641898153546</v>
      </c>
      <c r="S465" s="48"/>
    </row>
    <row r="466" spans="1:19" x14ac:dyDescent="0.35">
      <c r="B466" s="102"/>
      <c r="C466" s="11" t="s">
        <v>1930</v>
      </c>
      <c r="D466" s="71">
        <v>6.5489722679138902</v>
      </c>
      <c r="E466" s="69">
        <v>63.325660684912499</v>
      </c>
      <c r="F466" s="72" t="s">
        <v>231</v>
      </c>
      <c r="G466" s="35">
        <v>14</v>
      </c>
      <c r="H466" s="1" t="s">
        <v>642</v>
      </c>
      <c r="I466" s="35">
        <v>21</v>
      </c>
      <c r="J466" s="46">
        <v>13</v>
      </c>
      <c r="K466" s="11" t="s">
        <v>757</v>
      </c>
      <c r="L466" s="27">
        <v>87</v>
      </c>
      <c r="M466" t="s">
        <v>710</v>
      </c>
      <c r="N466" t="s">
        <v>1968</v>
      </c>
      <c r="P466" s="70" t="s">
        <v>1969</v>
      </c>
      <c r="Q466">
        <f t="shared" si="7"/>
        <v>6.5489722679138902</v>
      </c>
      <c r="S466" s="48"/>
    </row>
    <row r="467" spans="1:19" x14ac:dyDescent="0.35">
      <c r="B467" s="102"/>
      <c r="C467" s="11" t="s">
        <v>1930</v>
      </c>
      <c r="D467" s="71">
        <v>-3.9710837261172736</v>
      </c>
      <c r="E467" s="69">
        <v>69.12426810964682</v>
      </c>
      <c r="F467" s="72" t="s">
        <v>129</v>
      </c>
      <c r="G467" s="35">
        <v>79</v>
      </c>
      <c r="H467" s="1" t="s">
        <v>778</v>
      </c>
      <c r="I467" s="35">
        <v>23</v>
      </c>
      <c r="J467" s="46">
        <v>17</v>
      </c>
      <c r="K467" s="11" t="s">
        <v>465</v>
      </c>
      <c r="L467" s="27">
        <v>25</v>
      </c>
      <c r="M467" t="s">
        <v>820</v>
      </c>
      <c r="N467" t="s">
        <v>1971</v>
      </c>
      <c r="O467" s="6" t="s">
        <v>1972</v>
      </c>
      <c r="P467" s="70" t="s">
        <v>1973</v>
      </c>
      <c r="Q467">
        <f t="shared" si="7"/>
        <v>3.9710837261172736</v>
      </c>
      <c r="S467" s="48"/>
    </row>
    <row r="468" spans="1:19" x14ac:dyDescent="0.35">
      <c r="B468" s="102"/>
      <c r="C468" s="11" t="s">
        <v>1930</v>
      </c>
      <c r="D468" s="71">
        <v>1.3693219831918162</v>
      </c>
      <c r="E468" s="69">
        <v>79.834007296519545</v>
      </c>
      <c r="F468" s="72" t="s">
        <v>129</v>
      </c>
      <c r="G468" s="35">
        <v>17</v>
      </c>
      <c r="H468" s="1" t="s">
        <v>640</v>
      </c>
      <c r="I468" s="35">
        <v>21</v>
      </c>
      <c r="J468" s="46">
        <v>12</v>
      </c>
      <c r="K468" s="11" t="s">
        <v>672</v>
      </c>
      <c r="L468" s="27">
        <v>43</v>
      </c>
      <c r="M468" t="s">
        <v>744</v>
      </c>
      <c r="N468" t="s">
        <v>1975</v>
      </c>
      <c r="P468" s="70" t="s">
        <v>1976</v>
      </c>
      <c r="Q468">
        <f t="shared" si="7"/>
        <v>1.3693219831918162</v>
      </c>
      <c r="S468" s="48"/>
    </row>
    <row r="469" spans="1:19" x14ac:dyDescent="0.35">
      <c r="B469" s="102"/>
      <c r="C469" s="11" t="s">
        <v>1930</v>
      </c>
      <c r="D469" s="71">
        <v>3.8067304427636133</v>
      </c>
      <c r="E469" s="69">
        <v>73.767101858223398</v>
      </c>
      <c r="F469" s="72" t="s">
        <v>129</v>
      </c>
      <c r="G469" s="35">
        <v>7</v>
      </c>
      <c r="H469" s="1" t="s">
        <v>352</v>
      </c>
      <c r="I469" s="35">
        <v>20</v>
      </c>
      <c r="J469" s="46">
        <v>14</v>
      </c>
      <c r="K469" s="11" t="s">
        <v>761</v>
      </c>
      <c r="L469" s="27">
        <v>67</v>
      </c>
      <c r="M469" t="s">
        <v>699</v>
      </c>
      <c r="N469" t="s">
        <v>1979</v>
      </c>
      <c r="P469" s="70" t="s">
        <v>1980</v>
      </c>
      <c r="Q469">
        <f t="shared" si="7"/>
        <v>3.8067304427636133</v>
      </c>
      <c r="S469" s="48"/>
    </row>
    <row r="470" spans="1:19" x14ac:dyDescent="0.35">
      <c r="B470" s="102"/>
      <c r="C470" s="11" t="s">
        <v>1930</v>
      </c>
      <c r="D470" s="71">
        <v>0.61911576975634319</v>
      </c>
      <c r="E470" s="69">
        <v>70.673425576585217</v>
      </c>
      <c r="F470" s="72" t="s">
        <v>231</v>
      </c>
      <c r="G470" s="35">
        <v>46</v>
      </c>
      <c r="H470" s="1" t="s">
        <v>676</v>
      </c>
      <c r="I470" s="35">
        <v>10</v>
      </c>
      <c r="J470" s="46">
        <v>9</v>
      </c>
      <c r="K470" s="11" t="s">
        <v>692</v>
      </c>
      <c r="L470" s="27">
        <v>34</v>
      </c>
      <c r="M470" t="s">
        <v>770</v>
      </c>
      <c r="N470" t="s">
        <v>1982</v>
      </c>
      <c r="P470" s="70" t="s">
        <v>1983</v>
      </c>
      <c r="Q470">
        <f t="shared" si="7"/>
        <v>0.61911576975634319</v>
      </c>
      <c r="S470" s="48"/>
    </row>
    <row r="471" spans="1:19" x14ac:dyDescent="0.35">
      <c r="B471" s="102"/>
      <c r="C471" s="11" t="s">
        <v>1930</v>
      </c>
      <c r="D471" s="71">
        <v>3.7376116833308992</v>
      </c>
      <c r="E471" s="69">
        <v>40.824928203573009</v>
      </c>
      <c r="F471" s="72" t="s">
        <v>231</v>
      </c>
      <c r="G471" s="35">
        <v>54</v>
      </c>
      <c r="H471" s="1" t="s">
        <v>629</v>
      </c>
      <c r="I471" s="35">
        <v>27</v>
      </c>
      <c r="J471" s="46">
        <v>13</v>
      </c>
      <c r="K471" s="11" t="s">
        <v>792</v>
      </c>
      <c r="L471" s="27">
        <v>103</v>
      </c>
      <c r="M471" t="s">
        <v>823</v>
      </c>
      <c r="N471" s="1" t="s">
        <v>1985</v>
      </c>
      <c r="O471" s="1" t="s">
        <v>1390</v>
      </c>
      <c r="P471" s="70" t="s">
        <v>1986</v>
      </c>
      <c r="Q471">
        <f t="shared" si="7"/>
        <v>3.7376116833308992</v>
      </c>
      <c r="S471" s="48"/>
    </row>
    <row r="472" spans="1:19" x14ac:dyDescent="0.35">
      <c r="B472" s="102"/>
      <c r="C472" s="11" t="s">
        <v>1930</v>
      </c>
      <c r="D472" s="71">
        <v>2.8284394137927706</v>
      </c>
      <c r="E472" s="69">
        <v>54.379266654187418</v>
      </c>
      <c r="F472" s="72" t="s">
        <v>231</v>
      </c>
      <c r="G472" s="35">
        <v>52</v>
      </c>
      <c r="H472" s="1" t="s">
        <v>630</v>
      </c>
      <c r="I472" s="35">
        <v>16</v>
      </c>
      <c r="J472" s="46">
        <v>12</v>
      </c>
      <c r="K472" s="11" t="s">
        <v>764</v>
      </c>
      <c r="L472" s="27">
        <v>72</v>
      </c>
      <c r="M472" t="s">
        <v>727</v>
      </c>
      <c r="N472" t="s">
        <v>1988</v>
      </c>
      <c r="P472" t="s">
        <v>1989</v>
      </c>
      <c r="Q472">
        <f t="shared" si="7"/>
        <v>2.8284394137927706</v>
      </c>
      <c r="S472" s="48"/>
    </row>
    <row r="473" spans="1:19" ht="15" thickBot="1" x14ac:dyDescent="0.4">
      <c r="B473" s="102"/>
      <c r="C473" s="11" t="s">
        <v>1930</v>
      </c>
      <c r="D473" s="82">
        <v>5.7933476987817301</v>
      </c>
      <c r="E473" s="76">
        <v>84.061419336497465</v>
      </c>
      <c r="F473" s="83" t="s">
        <v>231</v>
      </c>
      <c r="G473" s="49">
        <v>3</v>
      </c>
      <c r="H473" s="45" t="s">
        <v>466</v>
      </c>
      <c r="I473" s="49">
        <v>17</v>
      </c>
      <c r="J473" s="50">
        <v>14</v>
      </c>
      <c r="K473" s="51" t="s">
        <v>780</v>
      </c>
      <c r="L473" s="77">
        <v>35</v>
      </c>
      <c r="M473" s="40" t="s">
        <v>702</v>
      </c>
      <c r="N473" s="40" t="s">
        <v>1991</v>
      </c>
      <c r="O473" s="78"/>
      <c r="P473" s="78" t="s">
        <v>1992</v>
      </c>
      <c r="Q473">
        <f t="shared" si="7"/>
        <v>5.7933476987817301</v>
      </c>
      <c r="S473" s="48"/>
    </row>
    <row r="474" spans="1:19" x14ac:dyDescent="0.35">
      <c r="B474" s="102" t="s">
        <v>1110</v>
      </c>
      <c r="C474" s="54" t="s">
        <v>3437</v>
      </c>
      <c r="D474" s="71">
        <v>2.2474450675169342</v>
      </c>
      <c r="E474" s="69">
        <v>85.376642456596258</v>
      </c>
      <c r="F474" s="72" t="s">
        <v>231</v>
      </c>
      <c r="G474" s="35">
        <v>13</v>
      </c>
      <c r="H474" s="1" t="s">
        <v>704</v>
      </c>
      <c r="I474" s="35">
        <v>28</v>
      </c>
      <c r="J474" s="46">
        <v>9</v>
      </c>
      <c r="K474" s="11" t="s">
        <v>670</v>
      </c>
      <c r="L474" s="27">
        <v>28</v>
      </c>
      <c r="M474" t="s">
        <v>859</v>
      </c>
      <c r="N474" s="1" t="s">
        <v>1993</v>
      </c>
      <c r="O474" s="1" t="s">
        <v>1390</v>
      </c>
      <c r="Q474">
        <f t="shared" si="7"/>
        <v>2.2474450675169342</v>
      </c>
      <c r="S474" s="48"/>
    </row>
    <row r="475" spans="1:19" x14ac:dyDescent="0.35">
      <c r="C475" s="54" t="s">
        <v>3437</v>
      </c>
      <c r="D475" s="71">
        <v>9.4632719390750815</v>
      </c>
      <c r="E475" s="69">
        <v>62.41646803916602</v>
      </c>
      <c r="F475" s="72" t="s">
        <v>231</v>
      </c>
      <c r="G475" s="35">
        <v>2</v>
      </c>
      <c r="H475" s="1" t="s">
        <v>245</v>
      </c>
      <c r="I475" s="35">
        <v>35</v>
      </c>
      <c r="J475" s="46">
        <v>26</v>
      </c>
      <c r="K475" s="11" t="s">
        <v>734</v>
      </c>
      <c r="L475" s="27">
        <v>96</v>
      </c>
      <c r="M475" t="s">
        <v>1781</v>
      </c>
      <c r="N475" t="s">
        <v>1996</v>
      </c>
      <c r="P475" s="68" t="s">
        <v>1997</v>
      </c>
      <c r="Q475">
        <f t="shared" si="7"/>
        <v>9.4632719390750815</v>
      </c>
      <c r="S475" s="48"/>
    </row>
    <row r="476" spans="1:19" x14ac:dyDescent="0.35">
      <c r="B476" s="102"/>
      <c r="C476" s="54" t="s">
        <v>3437</v>
      </c>
      <c r="D476" s="71">
        <v>-1.9978544245000172</v>
      </c>
      <c r="E476" s="69">
        <v>86.48436563825716</v>
      </c>
      <c r="F476" s="72" t="s">
        <v>129</v>
      </c>
      <c r="G476" s="35">
        <v>27</v>
      </c>
      <c r="H476" s="1" t="s">
        <v>467</v>
      </c>
      <c r="I476" s="35">
        <v>22</v>
      </c>
      <c r="J476" s="46">
        <v>17</v>
      </c>
      <c r="K476" s="11" t="s">
        <v>755</v>
      </c>
      <c r="L476" s="27">
        <v>20</v>
      </c>
      <c r="M476" t="s">
        <v>907</v>
      </c>
      <c r="N476" t="s">
        <v>2000</v>
      </c>
      <c r="P476" t="s">
        <v>2001</v>
      </c>
      <c r="Q476">
        <f t="shared" si="7"/>
        <v>1.9978544245000172</v>
      </c>
      <c r="S476" s="48"/>
    </row>
    <row r="477" spans="1:19" x14ac:dyDescent="0.35">
      <c r="B477" s="102"/>
      <c r="C477" s="54" t="s">
        <v>3437</v>
      </c>
      <c r="D477" s="71">
        <v>7.4522212494779385</v>
      </c>
      <c r="E477" s="69">
        <v>58.887857768192767</v>
      </c>
      <c r="F477" s="72" t="s">
        <v>231</v>
      </c>
      <c r="G477" s="35">
        <v>12</v>
      </c>
      <c r="H477" s="1" t="s">
        <v>647</v>
      </c>
      <c r="I477" s="35">
        <v>20</v>
      </c>
      <c r="J477" s="46">
        <v>10</v>
      </c>
      <c r="K477" s="11" t="s">
        <v>720</v>
      </c>
      <c r="L477" s="27">
        <v>101</v>
      </c>
      <c r="M477" t="s">
        <v>842</v>
      </c>
      <c r="N477" t="s">
        <v>2005</v>
      </c>
      <c r="Q477">
        <f t="shared" si="7"/>
        <v>7.4522212494779385</v>
      </c>
      <c r="S477" s="48"/>
    </row>
    <row r="478" spans="1:19" x14ac:dyDescent="0.35">
      <c r="B478" s="102"/>
      <c r="C478" s="54" t="s">
        <v>3437</v>
      </c>
      <c r="D478" s="71">
        <v>-3.0971174273695654</v>
      </c>
      <c r="E478" s="69">
        <v>37.705289774737579</v>
      </c>
      <c r="F478" s="72" t="s">
        <v>129</v>
      </c>
      <c r="G478" s="35">
        <v>99</v>
      </c>
      <c r="H478" s="1" t="s">
        <v>767</v>
      </c>
      <c r="I478" s="35">
        <v>24</v>
      </c>
      <c r="J478" s="46">
        <v>9</v>
      </c>
      <c r="K478" s="11" t="s">
        <v>665</v>
      </c>
      <c r="L478" s="27">
        <v>61</v>
      </c>
      <c r="M478" t="s">
        <v>1204</v>
      </c>
      <c r="N478" s="1" t="s">
        <v>2009</v>
      </c>
      <c r="O478" s="1" t="s">
        <v>1390</v>
      </c>
      <c r="Q478">
        <f t="shared" si="7"/>
        <v>3.0971174273695654</v>
      </c>
      <c r="S478" s="48"/>
    </row>
    <row r="479" spans="1:19" x14ac:dyDescent="0.35">
      <c r="B479" s="102"/>
      <c r="C479" s="54" t="s">
        <v>3437</v>
      </c>
      <c r="D479" s="71">
        <v>4.323378537580739</v>
      </c>
      <c r="E479" s="69">
        <v>44.787649511555252</v>
      </c>
      <c r="F479" s="72" t="s">
        <v>231</v>
      </c>
      <c r="G479" s="35">
        <v>51</v>
      </c>
      <c r="H479" s="1" t="s">
        <v>785</v>
      </c>
      <c r="I479" s="35">
        <v>21</v>
      </c>
      <c r="J479" s="46">
        <v>4</v>
      </c>
      <c r="K479" s="11" t="s">
        <v>638</v>
      </c>
      <c r="L479" s="27">
        <v>94</v>
      </c>
      <c r="M479" t="s">
        <v>739</v>
      </c>
      <c r="N479" s="1" t="s">
        <v>2012</v>
      </c>
      <c r="O479" s="1" t="s">
        <v>1390</v>
      </c>
      <c r="Q479">
        <f t="shared" si="7"/>
        <v>4.323378537580739</v>
      </c>
      <c r="S479" s="48"/>
    </row>
    <row r="480" spans="1:19" x14ac:dyDescent="0.35">
      <c r="A480" s="2" t="s">
        <v>2004</v>
      </c>
      <c r="B480" s="102"/>
      <c r="C480" s="54" t="s">
        <v>3437</v>
      </c>
      <c r="D480" s="71">
        <v>4.2418795921704886</v>
      </c>
      <c r="E480" s="69">
        <v>82.34427396480956</v>
      </c>
      <c r="F480" s="72" t="s">
        <v>231</v>
      </c>
      <c r="G480" s="35">
        <v>9</v>
      </c>
      <c r="H480" s="1" t="s">
        <v>644</v>
      </c>
      <c r="I480" s="35">
        <v>21</v>
      </c>
      <c r="J480" s="46">
        <v>19</v>
      </c>
      <c r="K480" s="11" t="s">
        <v>681</v>
      </c>
      <c r="L480" s="27">
        <v>40</v>
      </c>
      <c r="M480" t="s">
        <v>907</v>
      </c>
      <c r="N480" t="s">
        <v>2015</v>
      </c>
      <c r="P480" t="s">
        <v>2016</v>
      </c>
      <c r="Q480">
        <f t="shared" si="7"/>
        <v>4.2418795921704886</v>
      </c>
      <c r="S480" s="48"/>
    </row>
    <row r="481" spans="1:19" x14ac:dyDescent="0.35">
      <c r="B481" s="102"/>
      <c r="C481" s="54" t="s">
        <v>3437</v>
      </c>
      <c r="D481" s="71">
        <v>-1.0236055238119417</v>
      </c>
      <c r="E481" s="69">
        <v>78.368409186396079</v>
      </c>
      <c r="F481" s="72" t="s">
        <v>129</v>
      </c>
      <c r="G481" s="59">
        <v>31</v>
      </c>
      <c r="H481" s="1" t="s">
        <v>671</v>
      </c>
      <c r="I481" s="59">
        <v>17</v>
      </c>
      <c r="J481" s="46">
        <v>13</v>
      </c>
      <c r="K481" s="11" t="s">
        <v>750</v>
      </c>
      <c r="L481" s="27">
        <v>32</v>
      </c>
      <c r="M481" t="s">
        <v>790</v>
      </c>
      <c r="N481" t="s">
        <v>2020</v>
      </c>
      <c r="P481" t="s">
        <v>1440</v>
      </c>
      <c r="Q481">
        <f t="shared" si="7"/>
        <v>1.0236055238119417</v>
      </c>
      <c r="S481" s="48"/>
    </row>
    <row r="482" spans="1:19" x14ac:dyDescent="0.35">
      <c r="A482" s="2" t="s">
        <v>2008</v>
      </c>
      <c r="B482" s="102"/>
      <c r="C482" s="54" t="s">
        <v>3437</v>
      </c>
      <c r="D482" s="71">
        <v>2.5657906981923335</v>
      </c>
      <c r="E482" s="69">
        <v>62.551455979733504</v>
      </c>
      <c r="F482" s="72" t="s">
        <v>129</v>
      </c>
      <c r="G482" s="35">
        <v>26</v>
      </c>
      <c r="H482" s="1" t="s">
        <v>731</v>
      </c>
      <c r="I482" s="35">
        <v>15</v>
      </c>
      <c r="J482" s="46">
        <v>10</v>
      </c>
      <c r="K482" s="11" t="s">
        <v>768</v>
      </c>
      <c r="L482" s="27">
        <v>73</v>
      </c>
      <c r="M482" t="s">
        <v>773</v>
      </c>
      <c r="N482" t="s">
        <v>2023</v>
      </c>
      <c r="Q482">
        <f t="shared" si="7"/>
        <v>2.5657906981923335</v>
      </c>
      <c r="S482" s="48"/>
    </row>
    <row r="483" spans="1:19" x14ac:dyDescent="0.35">
      <c r="B483" s="102"/>
      <c r="C483" s="54" t="s">
        <v>3437</v>
      </c>
      <c r="D483" s="71">
        <v>5.0055091189997452</v>
      </c>
      <c r="E483" s="69">
        <v>90.59467270921445</v>
      </c>
      <c r="F483" s="72" t="s">
        <v>231</v>
      </c>
      <c r="G483" s="35">
        <v>1</v>
      </c>
      <c r="H483" s="1" t="s">
        <v>242</v>
      </c>
      <c r="I483" s="35">
        <v>18</v>
      </c>
      <c r="J483" s="46">
        <v>13</v>
      </c>
      <c r="K483" s="11" t="s">
        <v>746</v>
      </c>
      <c r="L483" s="27">
        <v>21</v>
      </c>
      <c r="M483" t="s">
        <v>793</v>
      </c>
      <c r="N483" t="s">
        <v>2026</v>
      </c>
      <c r="Q483">
        <f t="shared" si="7"/>
        <v>5.0055091189997452</v>
      </c>
      <c r="S483" s="48"/>
    </row>
    <row r="484" spans="1:19" x14ac:dyDescent="0.35">
      <c r="B484" s="102"/>
      <c r="C484" s="54" t="s">
        <v>3437</v>
      </c>
      <c r="D484" s="71">
        <v>2.4510291844080712</v>
      </c>
      <c r="E484" s="69">
        <v>85.24576695288053</v>
      </c>
      <c r="F484" s="72" t="s">
        <v>129</v>
      </c>
      <c r="G484" s="35">
        <v>5</v>
      </c>
      <c r="H484" s="1" t="s">
        <v>328</v>
      </c>
      <c r="I484" s="35">
        <v>14</v>
      </c>
      <c r="J484" s="46">
        <v>9</v>
      </c>
      <c r="K484" s="11" t="s">
        <v>783</v>
      </c>
      <c r="L484" s="27">
        <v>36</v>
      </c>
      <c r="M484" t="s">
        <v>842</v>
      </c>
      <c r="N484" t="s">
        <v>2030</v>
      </c>
      <c r="Q484">
        <f t="shared" si="7"/>
        <v>2.4510291844080712</v>
      </c>
      <c r="S484" s="48"/>
    </row>
    <row r="485" spans="1:19" x14ac:dyDescent="0.35">
      <c r="B485" s="102"/>
      <c r="C485" s="54" t="s">
        <v>3437</v>
      </c>
      <c r="D485" s="71">
        <v>6.1081426690874006</v>
      </c>
      <c r="E485" s="69">
        <v>76.144765427015244</v>
      </c>
      <c r="F485" s="72" t="s">
        <v>231</v>
      </c>
      <c r="G485" s="35">
        <v>6</v>
      </c>
      <c r="H485" s="1" t="s">
        <v>468</v>
      </c>
      <c r="I485" s="35">
        <v>23</v>
      </c>
      <c r="J485" s="46">
        <v>15</v>
      </c>
      <c r="K485" s="11" t="s">
        <v>713</v>
      </c>
      <c r="L485" s="27">
        <v>56</v>
      </c>
      <c r="M485" t="s">
        <v>928</v>
      </c>
      <c r="N485" t="s">
        <v>2033</v>
      </c>
      <c r="Q485">
        <f t="shared" si="7"/>
        <v>6.1081426690874006</v>
      </c>
      <c r="S485" s="48"/>
    </row>
    <row r="486" spans="1:19" x14ac:dyDescent="0.35">
      <c r="B486" s="102"/>
      <c r="C486" s="54" t="s">
        <v>3437</v>
      </c>
      <c r="D486" s="71">
        <v>-1.7350209390671065</v>
      </c>
      <c r="E486" s="69">
        <v>94.084120603685989</v>
      </c>
      <c r="F486" s="72" t="s">
        <v>129</v>
      </c>
      <c r="G486" s="35">
        <v>15</v>
      </c>
      <c r="H486" s="1" t="s">
        <v>643</v>
      </c>
      <c r="I486" s="35">
        <v>27</v>
      </c>
      <c r="J486" s="46">
        <v>7</v>
      </c>
      <c r="K486" s="11" t="s">
        <v>747</v>
      </c>
      <c r="L486" s="27">
        <v>10</v>
      </c>
      <c r="M486" t="s">
        <v>934</v>
      </c>
      <c r="N486" s="1" t="s">
        <v>2036</v>
      </c>
      <c r="O486" s="1" t="s">
        <v>1390</v>
      </c>
      <c r="Q486">
        <f t="shared" si="7"/>
        <v>1.7350209390671065</v>
      </c>
      <c r="S486" s="48"/>
    </row>
    <row r="487" spans="1:19" x14ac:dyDescent="0.35">
      <c r="B487" s="102"/>
      <c r="C487" s="54" t="s">
        <v>3437</v>
      </c>
      <c r="D487" s="71">
        <v>-1.7728100949087195</v>
      </c>
      <c r="E487" s="69">
        <v>40.871806489584181</v>
      </c>
      <c r="F487" s="72" t="s">
        <v>129</v>
      </c>
      <c r="G487" s="35">
        <v>76</v>
      </c>
      <c r="H487" s="1" t="s">
        <v>1157</v>
      </c>
      <c r="I487" s="35">
        <v>17</v>
      </c>
      <c r="J487" s="46">
        <v>8</v>
      </c>
      <c r="K487" s="11" t="s">
        <v>636</v>
      </c>
      <c r="L487" s="27">
        <v>74</v>
      </c>
      <c r="M487" t="s">
        <v>821</v>
      </c>
      <c r="N487" t="s">
        <v>2039</v>
      </c>
      <c r="Q487">
        <f t="shared" si="7"/>
        <v>1.7728100949087195</v>
      </c>
      <c r="S487" s="48"/>
    </row>
    <row r="488" spans="1:19" x14ac:dyDescent="0.35">
      <c r="A488" s="2" t="s">
        <v>2019</v>
      </c>
      <c r="B488" s="102"/>
      <c r="C488" s="54" t="s">
        <v>3437</v>
      </c>
      <c r="D488" s="71">
        <v>3.5857425535563223</v>
      </c>
      <c r="E488" s="69">
        <v>64.90916550128523</v>
      </c>
      <c r="F488" s="72" t="s">
        <v>129</v>
      </c>
      <c r="G488" s="35">
        <v>19</v>
      </c>
      <c r="H488" s="1" t="s">
        <v>663</v>
      </c>
      <c r="I488" s="35">
        <v>13</v>
      </c>
      <c r="J488" s="46">
        <v>11</v>
      </c>
      <c r="K488" s="11" t="s">
        <v>1164</v>
      </c>
      <c r="L488" s="27">
        <v>83</v>
      </c>
      <c r="M488" t="s">
        <v>839</v>
      </c>
      <c r="N488" t="s">
        <v>2042</v>
      </c>
      <c r="Q488">
        <f t="shared" si="7"/>
        <v>3.5857425535563223</v>
      </c>
      <c r="S488" s="48"/>
    </row>
    <row r="489" spans="1:19" x14ac:dyDescent="0.35">
      <c r="B489" s="102"/>
      <c r="C489" s="54" t="s">
        <v>3437</v>
      </c>
      <c r="D489" s="71">
        <v>3.8321855829337945</v>
      </c>
      <c r="E489" s="69">
        <v>80.500737839542552</v>
      </c>
      <c r="F489" s="72" t="s">
        <v>231</v>
      </c>
      <c r="G489" s="35">
        <v>11</v>
      </c>
      <c r="H489" s="1" t="s">
        <v>718</v>
      </c>
      <c r="I489" s="35">
        <v>19</v>
      </c>
      <c r="J489" s="46">
        <v>11</v>
      </c>
      <c r="K489" s="11" t="s">
        <v>632</v>
      </c>
      <c r="L489" s="27">
        <v>42</v>
      </c>
      <c r="M489" t="s">
        <v>773</v>
      </c>
      <c r="N489" t="s">
        <v>2045</v>
      </c>
      <c r="Q489">
        <f t="shared" si="7"/>
        <v>3.8321855829337945</v>
      </c>
      <c r="S489" s="48"/>
    </row>
    <row r="490" spans="1:19" x14ac:dyDescent="0.35">
      <c r="B490" s="102"/>
      <c r="C490" s="54" t="s">
        <v>3437</v>
      </c>
      <c r="D490" s="71">
        <v>3.087253279371422</v>
      </c>
      <c r="E490" s="69">
        <v>49.548019273555923</v>
      </c>
      <c r="F490" s="72" t="s">
        <v>231</v>
      </c>
      <c r="G490" s="35">
        <v>52</v>
      </c>
      <c r="H490" s="1" t="s">
        <v>630</v>
      </c>
      <c r="I490" s="35">
        <v>17</v>
      </c>
      <c r="J490" s="46">
        <v>10</v>
      </c>
      <c r="K490" s="11" t="s">
        <v>778</v>
      </c>
      <c r="L490" s="27">
        <v>79</v>
      </c>
      <c r="M490" t="s">
        <v>721</v>
      </c>
      <c r="N490" t="s">
        <v>2048</v>
      </c>
      <c r="Q490">
        <f t="shared" si="7"/>
        <v>3.087253279371422</v>
      </c>
      <c r="S490" s="48"/>
    </row>
    <row r="491" spans="1:19" x14ac:dyDescent="0.35">
      <c r="B491" s="102"/>
      <c r="C491" s="54" t="s">
        <v>3437</v>
      </c>
      <c r="D491" s="71">
        <v>-5.1801392308907692</v>
      </c>
      <c r="E491" s="69">
        <v>87.304091494585364</v>
      </c>
      <c r="F491" s="72" t="s">
        <v>129</v>
      </c>
      <c r="G491" s="35">
        <v>45</v>
      </c>
      <c r="H491" s="1" t="s">
        <v>648</v>
      </c>
      <c r="I491" s="35">
        <v>15</v>
      </c>
      <c r="J491" s="46">
        <v>14</v>
      </c>
      <c r="K491" s="11" t="s">
        <v>649</v>
      </c>
      <c r="L491" s="27">
        <v>4</v>
      </c>
      <c r="M491" t="s">
        <v>748</v>
      </c>
      <c r="N491" t="s">
        <v>2052</v>
      </c>
      <c r="Q491">
        <f t="shared" si="7"/>
        <v>5.1801392308907692</v>
      </c>
      <c r="S491" s="48"/>
    </row>
    <row r="492" spans="1:19" x14ac:dyDescent="0.35">
      <c r="B492" s="102"/>
      <c r="C492" s="54" t="s">
        <v>3437</v>
      </c>
      <c r="D492" s="71">
        <v>-3.6308544928598603</v>
      </c>
      <c r="E492" s="69">
        <v>96.635990095307918</v>
      </c>
      <c r="F492" s="72" t="s">
        <v>129</v>
      </c>
      <c r="G492" s="35">
        <v>17</v>
      </c>
      <c r="H492" s="1" t="s">
        <v>640</v>
      </c>
      <c r="I492" s="35">
        <v>16</v>
      </c>
      <c r="J492" s="46">
        <v>14</v>
      </c>
      <c r="K492" s="11" t="s">
        <v>466</v>
      </c>
      <c r="L492" s="27">
        <v>3</v>
      </c>
      <c r="M492" t="s">
        <v>793</v>
      </c>
      <c r="N492" t="s">
        <v>2055</v>
      </c>
      <c r="Q492">
        <f t="shared" si="7"/>
        <v>3.6308544928598603</v>
      </c>
      <c r="S492" s="48"/>
    </row>
    <row r="493" spans="1:19" x14ac:dyDescent="0.35">
      <c r="B493" s="102"/>
      <c r="C493" s="54" t="s">
        <v>3437</v>
      </c>
      <c r="D493" s="71">
        <v>1.2724776462017531</v>
      </c>
      <c r="E493" s="69">
        <v>59.981657546781705</v>
      </c>
      <c r="F493" s="72" t="s">
        <v>129</v>
      </c>
      <c r="G493" s="35">
        <v>35</v>
      </c>
      <c r="H493" s="1" t="s">
        <v>780</v>
      </c>
      <c r="I493" s="35">
        <v>14</v>
      </c>
      <c r="J493" s="46">
        <v>9</v>
      </c>
      <c r="K493" s="11" t="s">
        <v>751</v>
      </c>
      <c r="L493" s="27">
        <v>71</v>
      </c>
      <c r="M493" t="s">
        <v>781</v>
      </c>
      <c r="N493" t="s">
        <v>2058</v>
      </c>
      <c r="Q493">
        <f t="shared" si="7"/>
        <v>1.2724776462017531</v>
      </c>
      <c r="S493" s="48"/>
    </row>
    <row r="494" spans="1:19" x14ac:dyDescent="0.35">
      <c r="A494" s="2" t="s">
        <v>2029</v>
      </c>
      <c r="B494" s="102"/>
      <c r="C494" s="54" t="s">
        <v>3437</v>
      </c>
      <c r="D494" s="71">
        <v>0.51750000447026612</v>
      </c>
      <c r="E494" s="69">
        <v>60.847428568490969</v>
      </c>
      <c r="F494" s="72" t="s">
        <v>231</v>
      </c>
      <c r="G494" s="35">
        <v>55</v>
      </c>
      <c r="H494" s="1" t="s">
        <v>729</v>
      </c>
      <c r="I494" s="35">
        <v>21</v>
      </c>
      <c r="J494" s="46">
        <v>13</v>
      </c>
      <c r="K494" s="11" t="s">
        <v>679</v>
      </c>
      <c r="L494" s="27">
        <v>50</v>
      </c>
      <c r="M494" t="s">
        <v>699</v>
      </c>
      <c r="N494" s="1" t="s">
        <v>2062</v>
      </c>
      <c r="O494" s="1" t="s">
        <v>1390</v>
      </c>
      <c r="Q494">
        <f t="shared" si="7"/>
        <v>0.51750000447026612</v>
      </c>
      <c r="S494" s="48"/>
    </row>
    <row r="495" spans="1:19" x14ac:dyDescent="0.35">
      <c r="B495" s="102"/>
      <c r="C495" s="54" t="s">
        <v>3437</v>
      </c>
      <c r="D495" s="71">
        <v>-0.20055211217838295</v>
      </c>
      <c r="E495" s="69">
        <v>79.431791388002935</v>
      </c>
      <c r="F495" s="72" t="s">
        <v>231</v>
      </c>
      <c r="G495" s="35">
        <v>41</v>
      </c>
      <c r="H495" s="1" t="s">
        <v>667</v>
      </c>
      <c r="I495" s="35">
        <v>13</v>
      </c>
      <c r="J495" s="46">
        <v>11</v>
      </c>
      <c r="K495" s="11" t="s">
        <v>651</v>
      </c>
      <c r="L495" s="27">
        <v>22</v>
      </c>
      <c r="M495" t="s">
        <v>839</v>
      </c>
      <c r="N495" t="s">
        <v>2065</v>
      </c>
      <c r="P495" s="70" t="s">
        <v>2066</v>
      </c>
      <c r="Q495">
        <f t="shared" si="7"/>
        <v>0.20055211217838295</v>
      </c>
      <c r="S495" s="48"/>
    </row>
    <row r="496" spans="1:19" x14ac:dyDescent="0.35">
      <c r="B496" s="102"/>
      <c r="C496" s="54" t="s">
        <v>3437</v>
      </c>
      <c r="D496" s="71">
        <v>4.2404282782467444</v>
      </c>
      <c r="E496" s="69">
        <v>85.381153249698528</v>
      </c>
      <c r="F496" s="72" t="s">
        <v>231</v>
      </c>
      <c r="G496" s="35">
        <v>8</v>
      </c>
      <c r="H496" s="1" t="s">
        <v>334</v>
      </c>
      <c r="I496" s="35">
        <v>16</v>
      </c>
      <c r="J496" s="46">
        <v>13</v>
      </c>
      <c r="K496" s="11" t="s">
        <v>661</v>
      </c>
      <c r="L496" s="27">
        <v>29</v>
      </c>
      <c r="M496" t="s">
        <v>831</v>
      </c>
      <c r="N496" t="s">
        <v>2069</v>
      </c>
      <c r="O496" s="6" t="s">
        <v>1386</v>
      </c>
      <c r="P496" t="s">
        <v>2070</v>
      </c>
      <c r="Q496">
        <f t="shared" si="7"/>
        <v>4.2404282782467444</v>
      </c>
      <c r="S496" s="48"/>
    </row>
    <row r="497" spans="1:19" x14ac:dyDescent="0.35">
      <c r="B497" s="102"/>
      <c r="C497" s="54" t="s">
        <v>3437</v>
      </c>
      <c r="D497" s="71">
        <v>3.4033163340704378</v>
      </c>
      <c r="E497" s="69">
        <v>59.320677837610859</v>
      </c>
      <c r="F497" s="72" t="s">
        <v>231</v>
      </c>
      <c r="G497" s="35">
        <v>34</v>
      </c>
      <c r="H497" s="1" t="s">
        <v>692</v>
      </c>
      <c r="I497" s="35">
        <v>17</v>
      </c>
      <c r="J497" s="46">
        <v>8</v>
      </c>
      <c r="K497" s="11" t="s">
        <v>1155</v>
      </c>
      <c r="L497" s="27">
        <v>70</v>
      </c>
      <c r="M497" t="s">
        <v>721</v>
      </c>
      <c r="N497" t="s">
        <v>2073</v>
      </c>
      <c r="Q497">
        <f t="shared" si="7"/>
        <v>3.4033163340704378</v>
      </c>
      <c r="S497" s="48"/>
    </row>
    <row r="498" spans="1:19" x14ac:dyDescent="0.35">
      <c r="B498" s="102"/>
      <c r="C498" s="54" t="s">
        <v>3437</v>
      </c>
      <c r="D498" s="71">
        <v>0.33385022333946213</v>
      </c>
      <c r="E498" s="69">
        <v>27.084184138948352</v>
      </c>
      <c r="F498" s="72" t="s">
        <v>231</v>
      </c>
      <c r="G498" s="35">
        <v>97</v>
      </c>
      <c r="H498" s="1" t="s">
        <v>637</v>
      </c>
      <c r="I498" s="35">
        <v>15</v>
      </c>
      <c r="J498" s="46">
        <v>13</v>
      </c>
      <c r="K498" s="11" t="s">
        <v>1165</v>
      </c>
      <c r="L498" s="27">
        <v>80</v>
      </c>
      <c r="M498" t="s">
        <v>910</v>
      </c>
      <c r="N498" t="s">
        <v>2076</v>
      </c>
      <c r="Q498">
        <f t="shared" si="7"/>
        <v>0.33385022333946213</v>
      </c>
      <c r="S498" s="48"/>
    </row>
    <row r="499" spans="1:19" x14ac:dyDescent="0.35">
      <c r="B499" s="102"/>
      <c r="C499" s="54" t="s">
        <v>3437</v>
      </c>
      <c r="D499" s="71">
        <v>-1.0611993480232265</v>
      </c>
      <c r="E499" s="69">
        <v>79.668788142986685</v>
      </c>
      <c r="F499" s="72" t="s">
        <v>231</v>
      </c>
      <c r="G499" s="35">
        <v>46</v>
      </c>
      <c r="H499" s="1" t="s">
        <v>676</v>
      </c>
      <c r="I499" s="35">
        <v>19</v>
      </c>
      <c r="J499" s="46">
        <v>16</v>
      </c>
      <c r="K499" s="11" t="s">
        <v>650</v>
      </c>
      <c r="L499" s="27">
        <v>18</v>
      </c>
      <c r="M499" t="s">
        <v>907</v>
      </c>
      <c r="N499" t="s">
        <v>2079</v>
      </c>
      <c r="Q499">
        <f t="shared" si="7"/>
        <v>1.0611993480232265</v>
      </c>
      <c r="S499" s="48"/>
    </row>
    <row r="500" spans="1:19" x14ac:dyDescent="0.35">
      <c r="B500" s="102"/>
      <c r="C500" s="54" t="s">
        <v>3437</v>
      </c>
      <c r="D500" s="71">
        <v>3.3816326620479158</v>
      </c>
      <c r="E500" s="69">
        <v>71.163498536368522</v>
      </c>
      <c r="F500" s="72" t="s">
        <v>129</v>
      </c>
      <c r="G500" s="35">
        <v>14</v>
      </c>
      <c r="H500" s="1" t="s">
        <v>642</v>
      </c>
      <c r="I500" s="35">
        <v>19</v>
      </c>
      <c r="J500" s="46">
        <v>10</v>
      </c>
      <c r="K500" s="11" t="s">
        <v>761</v>
      </c>
      <c r="L500" s="27">
        <v>67</v>
      </c>
      <c r="M500" t="s">
        <v>773</v>
      </c>
      <c r="N500" t="s">
        <v>2083</v>
      </c>
      <c r="Q500">
        <f t="shared" si="7"/>
        <v>3.3816326620479158</v>
      </c>
      <c r="S500" s="48"/>
    </row>
    <row r="501" spans="1:19" x14ac:dyDescent="0.35">
      <c r="B501" s="102"/>
      <c r="C501" s="54" t="s">
        <v>3437</v>
      </c>
      <c r="D501" s="71">
        <v>-2.7982772564167089</v>
      </c>
      <c r="E501" s="69">
        <v>51.937082197073849</v>
      </c>
      <c r="F501" s="72" t="s">
        <v>231</v>
      </c>
      <c r="G501" s="35">
        <v>98</v>
      </c>
      <c r="H501" s="1" t="s">
        <v>1158</v>
      </c>
      <c r="I501" s="35">
        <v>17</v>
      </c>
      <c r="J501" s="46">
        <v>12</v>
      </c>
      <c r="K501" s="11" t="s">
        <v>641</v>
      </c>
      <c r="L501" s="27">
        <v>37</v>
      </c>
      <c r="M501" t="s">
        <v>799</v>
      </c>
      <c r="N501" t="s">
        <v>2086</v>
      </c>
      <c r="Q501">
        <f t="shared" si="7"/>
        <v>2.7982772564167089</v>
      </c>
      <c r="S501" s="48"/>
    </row>
    <row r="502" spans="1:19" x14ac:dyDescent="0.35">
      <c r="B502" s="102" t="s">
        <v>1111</v>
      </c>
      <c r="C502" s="54" t="s">
        <v>3438</v>
      </c>
      <c r="D502" s="71">
        <v>0.16966728973915621</v>
      </c>
      <c r="E502" s="69">
        <v>86.712356742310547</v>
      </c>
      <c r="F502" s="72" t="s">
        <v>129</v>
      </c>
      <c r="G502" s="35">
        <v>13</v>
      </c>
      <c r="H502" s="1" t="s">
        <v>704</v>
      </c>
      <c r="I502" s="35">
        <v>24</v>
      </c>
      <c r="J502" s="46">
        <v>23</v>
      </c>
      <c r="K502" s="11" t="s">
        <v>670</v>
      </c>
      <c r="L502" s="27">
        <v>28</v>
      </c>
      <c r="M502" t="s">
        <v>1781</v>
      </c>
      <c r="N502" t="s">
        <v>1994</v>
      </c>
      <c r="P502" s="70" t="s">
        <v>1995</v>
      </c>
      <c r="Q502">
        <f t="shared" si="7"/>
        <v>0.16966728973915621</v>
      </c>
      <c r="S502" s="48"/>
    </row>
    <row r="503" spans="1:19" x14ac:dyDescent="0.35">
      <c r="B503" s="102"/>
      <c r="C503" s="54" t="s">
        <v>3438</v>
      </c>
      <c r="D503" s="71">
        <v>7.3521608279639707</v>
      </c>
      <c r="E503" s="69">
        <v>63.773610896308888</v>
      </c>
      <c r="F503" s="72" t="s">
        <v>129</v>
      </c>
      <c r="G503" s="35">
        <v>2</v>
      </c>
      <c r="H503" s="1" t="s">
        <v>245</v>
      </c>
      <c r="I503" s="35">
        <v>33</v>
      </c>
      <c r="J503" s="46">
        <v>16</v>
      </c>
      <c r="K503" s="11" t="s">
        <v>734</v>
      </c>
      <c r="L503" s="27">
        <v>96</v>
      </c>
      <c r="M503" t="s">
        <v>754</v>
      </c>
      <c r="N503" t="s">
        <v>1998</v>
      </c>
      <c r="P503" s="68" t="s">
        <v>1999</v>
      </c>
      <c r="Q503">
        <f t="shared" si="7"/>
        <v>7.3521608279639707</v>
      </c>
      <c r="S503" s="48"/>
    </row>
    <row r="504" spans="1:19" x14ac:dyDescent="0.35">
      <c r="B504" s="102"/>
      <c r="C504" s="54" t="s">
        <v>3438</v>
      </c>
      <c r="D504" s="71">
        <v>8.5478908833315798E-2</v>
      </c>
      <c r="E504" s="69">
        <v>84.837906415750012</v>
      </c>
      <c r="F504" s="72" t="s">
        <v>231</v>
      </c>
      <c r="G504" s="35">
        <v>27</v>
      </c>
      <c r="H504" s="1" t="s">
        <v>467</v>
      </c>
      <c r="I504" s="35">
        <v>11</v>
      </c>
      <c r="J504" s="46">
        <v>8</v>
      </c>
      <c r="K504" s="11" t="s">
        <v>755</v>
      </c>
      <c r="L504" s="27">
        <v>20</v>
      </c>
      <c r="M504" t="s">
        <v>714</v>
      </c>
      <c r="N504" t="s">
        <v>2002</v>
      </c>
      <c r="P504" s="70" t="s">
        <v>2003</v>
      </c>
      <c r="Q504">
        <f t="shared" si="7"/>
        <v>8.5478908833315798E-2</v>
      </c>
      <c r="S504" s="48"/>
    </row>
    <row r="505" spans="1:19" ht="15" thickBot="1" x14ac:dyDescent="0.4">
      <c r="B505" s="102"/>
      <c r="C505" s="54" t="s">
        <v>3438</v>
      </c>
      <c r="D505" s="82">
        <v>5.352221249477938</v>
      </c>
      <c r="E505" s="76">
        <v>60.237857768192761</v>
      </c>
      <c r="F505" s="83" t="s">
        <v>129</v>
      </c>
      <c r="G505" s="49">
        <v>12</v>
      </c>
      <c r="H505" s="45" t="s">
        <v>647</v>
      </c>
      <c r="I505" s="49">
        <v>19</v>
      </c>
      <c r="J505" s="50">
        <v>4</v>
      </c>
      <c r="K505" s="51" t="s">
        <v>720</v>
      </c>
      <c r="L505" s="77">
        <v>101</v>
      </c>
      <c r="M505" s="40" t="s">
        <v>1175</v>
      </c>
      <c r="N505" s="45" t="s">
        <v>2006</v>
      </c>
      <c r="O505" s="45" t="s">
        <v>1390</v>
      </c>
      <c r="P505" s="78" t="s">
        <v>2007</v>
      </c>
      <c r="Q505">
        <f t="shared" si="7"/>
        <v>5.352221249477938</v>
      </c>
      <c r="S505" s="48"/>
    </row>
    <row r="506" spans="1:19" x14ac:dyDescent="0.35">
      <c r="B506" s="102"/>
      <c r="C506" s="54" t="s">
        <v>3438</v>
      </c>
      <c r="D506" s="71">
        <v>-1.1971174273695657</v>
      </c>
      <c r="E506" s="69">
        <v>36.483861203309012</v>
      </c>
      <c r="F506" s="72" t="s">
        <v>231</v>
      </c>
      <c r="G506" s="35">
        <v>99</v>
      </c>
      <c r="H506" s="1" t="s">
        <v>767</v>
      </c>
      <c r="I506" s="35">
        <v>13</v>
      </c>
      <c r="J506" s="46">
        <v>11</v>
      </c>
      <c r="K506" s="11" t="s">
        <v>665</v>
      </c>
      <c r="L506" s="27">
        <v>61</v>
      </c>
      <c r="M506" t="s">
        <v>710</v>
      </c>
      <c r="N506" t="s">
        <v>2010</v>
      </c>
      <c r="P506" s="70" t="s">
        <v>2011</v>
      </c>
      <c r="Q506">
        <f t="shared" si="7"/>
        <v>1.1971174273695657</v>
      </c>
      <c r="S506" s="48"/>
    </row>
    <row r="507" spans="1:19" x14ac:dyDescent="0.35">
      <c r="B507" s="102"/>
      <c r="C507" s="54" t="s">
        <v>3438</v>
      </c>
      <c r="D507" s="71">
        <v>-2.2261563153585162</v>
      </c>
      <c r="E507" s="69">
        <v>48.998064774159054</v>
      </c>
      <c r="F507" s="72" t="s">
        <v>231</v>
      </c>
      <c r="G507" s="35">
        <v>94</v>
      </c>
      <c r="H507" s="1" t="s">
        <v>638</v>
      </c>
      <c r="I507" s="35">
        <v>17</v>
      </c>
      <c r="J507" s="46">
        <v>9</v>
      </c>
      <c r="K507" s="11" t="s">
        <v>785</v>
      </c>
      <c r="L507" s="27">
        <v>51</v>
      </c>
      <c r="M507" t="s">
        <v>752</v>
      </c>
      <c r="N507" t="s">
        <v>2013</v>
      </c>
      <c r="P507" s="70" t="s">
        <v>2014</v>
      </c>
      <c r="Q507">
        <f t="shared" si="7"/>
        <v>2.2261563153585162</v>
      </c>
      <c r="S507" s="48"/>
    </row>
    <row r="508" spans="1:19" x14ac:dyDescent="0.35">
      <c r="A508" s="2" t="s">
        <v>2051</v>
      </c>
      <c r="B508" s="102"/>
      <c r="C508" s="54" t="s">
        <v>3438</v>
      </c>
      <c r="D508" s="71">
        <v>2.2141018143927109</v>
      </c>
      <c r="E508" s="69">
        <v>82.826648833604693</v>
      </c>
      <c r="F508" s="72" t="s">
        <v>129</v>
      </c>
      <c r="G508" s="35">
        <v>9</v>
      </c>
      <c r="H508" s="1" t="s">
        <v>644</v>
      </c>
      <c r="I508" s="35">
        <v>16</v>
      </c>
      <c r="J508" s="46">
        <v>11</v>
      </c>
      <c r="K508" s="11" t="s">
        <v>681</v>
      </c>
      <c r="L508" s="27">
        <v>40</v>
      </c>
      <c r="M508" t="s">
        <v>705</v>
      </c>
      <c r="N508" t="s">
        <v>2017</v>
      </c>
      <c r="P508" s="70" t="s">
        <v>2018</v>
      </c>
      <c r="Q508">
        <f t="shared" si="7"/>
        <v>2.2141018143927109</v>
      </c>
      <c r="S508" s="48"/>
    </row>
    <row r="509" spans="1:19" x14ac:dyDescent="0.35">
      <c r="B509" s="102"/>
      <c r="C509" s="54" t="s">
        <v>3438</v>
      </c>
      <c r="D509" s="71">
        <v>1.0875055872991695</v>
      </c>
      <c r="E509" s="69">
        <v>76.519639265307688</v>
      </c>
      <c r="F509" s="72" t="s">
        <v>231</v>
      </c>
      <c r="G509" s="35">
        <v>31</v>
      </c>
      <c r="H509" s="1" t="s">
        <v>671</v>
      </c>
      <c r="I509" s="35">
        <v>19</v>
      </c>
      <c r="J509" s="46">
        <v>9</v>
      </c>
      <c r="K509" s="11" t="s">
        <v>750</v>
      </c>
      <c r="L509" s="27">
        <v>32</v>
      </c>
      <c r="M509" t="s">
        <v>821</v>
      </c>
      <c r="N509" t="s">
        <v>2021</v>
      </c>
      <c r="P509" s="70" t="s">
        <v>2022</v>
      </c>
      <c r="Q509">
        <f t="shared" si="7"/>
        <v>1.0875055872991695</v>
      </c>
      <c r="S509" s="48"/>
    </row>
    <row r="510" spans="1:19" x14ac:dyDescent="0.35">
      <c r="B510" s="102"/>
      <c r="C510" s="54" t="s">
        <v>3438</v>
      </c>
      <c r="D510" s="71">
        <v>4.7657906981923333</v>
      </c>
      <c r="E510" s="69">
        <v>61.137170265447779</v>
      </c>
      <c r="F510" s="72" t="s">
        <v>231</v>
      </c>
      <c r="G510" s="35">
        <v>26</v>
      </c>
      <c r="H510" s="1" t="s">
        <v>731</v>
      </c>
      <c r="I510" s="35">
        <v>21</v>
      </c>
      <c r="J510" s="46">
        <v>6</v>
      </c>
      <c r="K510" s="11" t="s">
        <v>768</v>
      </c>
      <c r="L510" s="27">
        <v>73</v>
      </c>
      <c r="M510" t="s">
        <v>870</v>
      </c>
      <c r="N510" s="1" t="s">
        <v>2024</v>
      </c>
      <c r="O510" s="1" t="s">
        <v>1390</v>
      </c>
      <c r="P510" s="70" t="s">
        <v>2025</v>
      </c>
      <c r="Q510">
        <f t="shared" si="7"/>
        <v>4.7657906981923333</v>
      </c>
      <c r="S510" s="48"/>
    </row>
    <row r="511" spans="1:19" x14ac:dyDescent="0.35">
      <c r="B511" s="102"/>
      <c r="C511" s="54" t="s">
        <v>3438</v>
      </c>
      <c r="D511" s="71">
        <v>2.6166202301108559</v>
      </c>
      <c r="E511" s="69">
        <v>92.130386994928742</v>
      </c>
      <c r="F511" s="72" t="s">
        <v>129</v>
      </c>
      <c r="G511" s="35">
        <v>1</v>
      </c>
      <c r="H511" s="1" t="s">
        <v>242</v>
      </c>
      <c r="I511" s="35">
        <v>13</v>
      </c>
      <c r="J511" s="46">
        <v>6</v>
      </c>
      <c r="K511" s="11" t="s">
        <v>746</v>
      </c>
      <c r="L511" s="27">
        <v>21</v>
      </c>
      <c r="M511" t="s">
        <v>762</v>
      </c>
      <c r="N511" t="s">
        <v>2027</v>
      </c>
      <c r="P511" s="70" t="s">
        <v>2028</v>
      </c>
      <c r="Q511">
        <f t="shared" si="7"/>
        <v>2.6166202301108559</v>
      </c>
      <c r="S511" s="48"/>
    </row>
    <row r="512" spans="1:19" x14ac:dyDescent="0.35">
      <c r="B512" s="102"/>
      <c r="C512" s="54" t="s">
        <v>3438</v>
      </c>
      <c r="D512" s="71">
        <v>4.7579736288525156</v>
      </c>
      <c r="E512" s="69">
        <v>83.76273123859481</v>
      </c>
      <c r="F512" s="72" t="s">
        <v>231</v>
      </c>
      <c r="G512" s="35">
        <v>5</v>
      </c>
      <c r="H512" s="1" t="s">
        <v>328</v>
      </c>
      <c r="I512" s="35">
        <v>18</v>
      </c>
      <c r="J512" s="46">
        <v>16</v>
      </c>
      <c r="K512" s="11" t="s">
        <v>783</v>
      </c>
      <c r="L512" s="27">
        <v>36</v>
      </c>
      <c r="M512" t="s">
        <v>769</v>
      </c>
      <c r="N512" t="s">
        <v>2031</v>
      </c>
      <c r="P512" s="70" t="s">
        <v>2032</v>
      </c>
      <c r="Q512">
        <f t="shared" si="7"/>
        <v>4.7579736288525156</v>
      </c>
      <c r="S512" s="48"/>
    </row>
    <row r="513" spans="1:19" x14ac:dyDescent="0.35">
      <c r="B513" s="102"/>
      <c r="C513" s="54" t="s">
        <v>3438</v>
      </c>
      <c r="D513" s="71">
        <v>-3.7164760024207335</v>
      </c>
      <c r="E513" s="69">
        <v>82.4605917158419</v>
      </c>
      <c r="F513" s="72" t="s">
        <v>231</v>
      </c>
      <c r="G513" s="35">
        <v>56</v>
      </c>
      <c r="H513" s="1" t="s">
        <v>713</v>
      </c>
      <c r="I513" s="35">
        <v>16</v>
      </c>
      <c r="J513" s="46">
        <v>8</v>
      </c>
      <c r="K513" s="11" t="s">
        <v>468</v>
      </c>
      <c r="L513" s="27">
        <v>6</v>
      </c>
      <c r="M513" t="s">
        <v>801</v>
      </c>
      <c r="N513" t="s">
        <v>2034</v>
      </c>
      <c r="O513" s="6" t="s">
        <v>1972</v>
      </c>
      <c r="P513" s="85" t="s">
        <v>2035</v>
      </c>
      <c r="Q513">
        <f t="shared" si="7"/>
        <v>3.7164760024207335</v>
      </c>
      <c r="S513" s="48"/>
    </row>
    <row r="514" spans="1:19" x14ac:dyDescent="0.35">
      <c r="A514" s="2" t="s">
        <v>2061</v>
      </c>
      <c r="B514" s="102"/>
      <c r="C514" s="54" t="s">
        <v>3438</v>
      </c>
      <c r="D514" s="71">
        <v>-0.2698452778731979</v>
      </c>
      <c r="E514" s="69">
        <v>93.142221964347058</v>
      </c>
      <c r="F514" s="72" t="s">
        <v>129</v>
      </c>
      <c r="G514" s="35">
        <v>10</v>
      </c>
      <c r="H514" s="1" t="s">
        <v>747</v>
      </c>
      <c r="I514" s="35">
        <v>11</v>
      </c>
      <c r="J514" s="46">
        <v>8</v>
      </c>
      <c r="K514" s="11" t="s">
        <v>643</v>
      </c>
      <c r="L514" s="27">
        <v>15</v>
      </c>
      <c r="M514" t="s">
        <v>821</v>
      </c>
      <c r="N514" t="s">
        <v>2037</v>
      </c>
      <c r="P514" s="70" t="s">
        <v>2038</v>
      </c>
      <c r="Q514">
        <f t="shared" si="7"/>
        <v>0.2698452778731979</v>
      </c>
      <c r="S514" s="48"/>
    </row>
    <row r="515" spans="1:19" x14ac:dyDescent="0.35">
      <c r="B515" s="102"/>
      <c r="C515" s="54" t="s">
        <v>3438</v>
      </c>
      <c r="D515" s="71">
        <v>0.92163434953572465</v>
      </c>
      <c r="E515" s="69">
        <v>39.139663632441327</v>
      </c>
      <c r="F515" s="72" t="s">
        <v>231</v>
      </c>
      <c r="G515" s="35">
        <v>76</v>
      </c>
      <c r="H515" s="1" t="s">
        <v>1157</v>
      </c>
      <c r="I515" s="35">
        <v>19</v>
      </c>
      <c r="J515" s="46">
        <v>16</v>
      </c>
      <c r="K515" s="11" t="s">
        <v>636</v>
      </c>
      <c r="L515" s="27">
        <v>74</v>
      </c>
      <c r="M515" t="s">
        <v>1229</v>
      </c>
      <c r="N515" t="s">
        <v>2040</v>
      </c>
      <c r="P515" s="70" t="s">
        <v>2041</v>
      </c>
      <c r="Q515">
        <f t="shared" ref="Q515:Q578" si="8">ABS(D515)</f>
        <v>0.92163434953572465</v>
      </c>
      <c r="S515" s="48"/>
    </row>
    <row r="516" spans="1:19" x14ac:dyDescent="0.35">
      <c r="B516" s="102"/>
      <c r="C516" s="54" t="s">
        <v>3438</v>
      </c>
      <c r="D516" s="71">
        <v>5.7440758868896546</v>
      </c>
      <c r="E516" s="69">
        <v>63.521665501285227</v>
      </c>
      <c r="F516" s="72" t="s">
        <v>231</v>
      </c>
      <c r="G516" s="35">
        <v>19</v>
      </c>
      <c r="H516" s="1" t="s">
        <v>663</v>
      </c>
      <c r="I516" s="35">
        <v>19</v>
      </c>
      <c r="J516" s="46">
        <v>17</v>
      </c>
      <c r="K516" s="11" t="s">
        <v>1164</v>
      </c>
      <c r="L516" s="27">
        <v>83</v>
      </c>
      <c r="M516" t="s">
        <v>928</v>
      </c>
      <c r="N516" t="s">
        <v>2043</v>
      </c>
      <c r="P516" s="70" t="s">
        <v>2044</v>
      </c>
      <c r="Q516">
        <f t="shared" si="8"/>
        <v>5.7440758868896546</v>
      </c>
      <c r="S516" s="48"/>
    </row>
    <row r="517" spans="1:19" x14ac:dyDescent="0.35">
      <c r="B517" s="102"/>
      <c r="C517" s="54" t="s">
        <v>3438</v>
      </c>
      <c r="D517" s="106">
        <v>1.5627411384893506</v>
      </c>
      <c r="E517" s="107">
        <v>81.959666410971138</v>
      </c>
      <c r="F517" s="108" t="s">
        <v>129</v>
      </c>
      <c r="G517" s="109">
        <v>11</v>
      </c>
      <c r="H517" s="110" t="s">
        <v>718</v>
      </c>
      <c r="I517" s="109">
        <v>20</v>
      </c>
      <c r="J517" s="111">
        <v>12</v>
      </c>
      <c r="K517" s="112" t="s">
        <v>632</v>
      </c>
      <c r="L517" s="113">
        <v>42</v>
      </c>
      <c r="M517" s="52" t="s">
        <v>719</v>
      </c>
      <c r="N517" s="52" t="s">
        <v>2046</v>
      </c>
      <c r="O517" s="114"/>
      <c r="P517" s="114" t="s">
        <v>2047</v>
      </c>
      <c r="Q517">
        <f t="shared" si="8"/>
        <v>1.5627411384893506</v>
      </c>
      <c r="S517" s="48"/>
    </row>
    <row r="518" spans="1:19" x14ac:dyDescent="0.35">
      <c r="B518" s="102"/>
      <c r="C518" s="54" t="s">
        <v>3438</v>
      </c>
      <c r="D518" s="71">
        <v>-0.94836439048253263</v>
      </c>
      <c r="E518" s="69">
        <v>52.199996599459951</v>
      </c>
      <c r="F518" s="72" t="s">
        <v>231</v>
      </c>
      <c r="G518" s="35">
        <v>79</v>
      </c>
      <c r="H518" s="1" t="s">
        <v>778</v>
      </c>
      <c r="I518" s="35">
        <v>18</v>
      </c>
      <c r="J518" s="46">
        <v>11</v>
      </c>
      <c r="K518" s="11" t="s">
        <v>630</v>
      </c>
      <c r="L518" s="27">
        <v>52</v>
      </c>
      <c r="M518" t="s">
        <v>793</v>
      </c>
      <c r="N518" t="s">
        <v>2049</v>
      </c>
      <c r="O518" s="6" t="s">
        <v>1972</v>
      </c>
      <c r="P518" s="85" t="s">
        <v>2050</v>
      </c>
      <c r="Q518">
        <f t="shared" si="8"/>
        <v>0.94836439048253263</v>
      </c>
      <c r="S518" s="48"/>
    </row>
    <row r="519" spans="1:19" x14ac:dyDescent="0.35">
      <c r="B519" s="102"/>
      <c r="C519" s="54" t="s">
        <v>3438</v>
      </c>
      <c r="D519" s="71">
        <v>3.3051392308907697</v>
      </c>
      <c r="E519" s="69">
        <v>81.728051362557494</v>
      </c>
      <c r="F519" s="72" t="s">
        <v>129</v>
      </c>
      <c r="G519" s="35">
        <v>4</v>
      </c>
      <c r="H519" s="1" t="s">
        <v>649</v>
      </c>
      <c r="I519" s="35">
        <v>13</v>
      </c>
      <c r="J519" s="46">
        <v>3</v>
      </c>
      <c r="K519" s="11" t="s">
        <v>648</v>
      </c>
      <c r="L519" s="27">
        <v>45</v>
      </c>
      <c r="M519" t="s">
        <v>801</v>
      </c>
      <c r="N519" s="1" t="s">
        <v>2053</v>
      </c>
      <c r="O519" s="1" t="s">
        <v>1390</v>
      </c>
      <c r="P519" s="70" t="s">
        <v>2054</v>
      </c>
      <c r="Q519">
        <f t="shared" si="8"/>
        <v>3.3051392308907697</v>
      </c>
      <c r="S519" s="48"/>
    </row>
    <row r="520" spans="1:19" x14ac:dyDescent="0.35">
      <c r="B520" s="102"/>
      <c r="C520" s="54" t="s">
        <v>3438</v>
      </c>
      <c r="D520" s="71">
        <v>1.6308544928598603</v>
      </c>
      <c r="E520" s="69">
        <v>93.178295618977799</v>
      </c>
      <c r="F520" s="72" t="s">
        <v>129</v>
      </c>
      <c r="G520" s="35">
        <v>3</v>
      </c>
      <c r="H520" s="1" t="s">
        <v>466</v>
      </c>
      <c r="I520" s="35">
        <v>15</v>
      </c>
      <c r="J520" s="46">
        <v>11</v>
      </c>
      <c r="K520" s="11" t="s">
        <v>640</v>
      </c>
      <c r="L520" s="27">
        <v>17</v>
      </c>
      <c r="M520" t="s">
        <v>705</v>
      </c>
      <c r="N520" t="s">
        <v>2056</v>
      </c>
      <c r="P520" s="70" t="s">
        <v>2057</v>
      </c>
      <c r="Q520">
        <f t="shared" si="8"/>
        <v>1.6308544928598603</v>
      </c>
      <c r="S520" s="48"/>
    </row>
    <row r="521" spans="1:19" x14ac:dyDescent="0.35">
      <c r="B521" s="102"/>
      <c r="C521" s="54" t="s">
        <v>3438</v>
      </c>
      <c r="D521" s="71">
        <v>2.972477646201753</v>
      </c>
      <c r="E521" s="69">
        <v>58.864514689638845</v>
      </c>
      <c r="F521" s="72" t="s">
        <v>231</v>
      </c>
      <c r="G521" s="35">
        <v>35</v>
      </c>
      <c r="H521" s="1" t="s">
        <v>780</v>
      </c>
      <c r="I521" s="35">
        <v>20</v>
      </c>
      <c r="J521" s="46">
        <v>3</v>
      </c>
      <c r="K521" s="11" t="s">
        <v>751</v>
      </c>
      <c r="L521" s="27">
        <v>71</v>
      </c>
      <c r="M521" t="s">
        <v>899</v>
      </c>
      <c r="N521" s="1" t="s">
        <v>2059</v>
      </c>
      <c r="O521" s="1" t="s">
        <v>1390</v>
      </c>
      <c r="P521" s="70" t="s">
        <v>2060</v>
      </c>
      <c r="Q521">
        <f t="shared" si="8"/>
        <v>2.972477646201753</v>
      </c>
      <c r="S521" s="48"/>
    </row>
    <row r="522" spans="1:19" x14ac:dyDescent="0.35">
      <c r="B522" s="102"/>
      <c r="C522" s="54" t="s">
        <v>3438</v>
      </c>
      <c r="D522" s="71">
        <v>1.5674999945363415</v>
      </c>
      <c r="E522" s="69">
        <v>60.157428575018976</v>
      </c>
      <c r="F522" s="72" t="s">
        <v>231</v>
      </c>
      <c r="G522" s="35">
        <v>50</v>
      </c>
      <c r="H522" s="1" t="s">
        <v>679</v>
      </c>
      <c r="I522" s="35">
        <v>19</v>
      </c>
      <c r="J522" s="46">
        <v>6</v>
      </c>
      <c r="K522" s="11" t="s">
        <v>729</v>
      </c>
      <c r="L522" s="27">
        <v>55</v>
      </c>
      <c r="M522" t="s">
        <v>905</v>
      </c>
      <c r="N522" s="1" t="s">
        <v>2063</v>
      </c>
      <c r="O522" s="1" t="s">
        <v>1390</v>
      </c>
      <c r="P522" s="70" t="s">
        <v>2064</v>
      </c>
      <c r="Q522">
        <f t="shared" si="8"/>
        <v>1.5674999945363415</v>
      </c>
      <c r="S522" s="48"/>
    </row>
    <row r="523" spans="1:19" x14ac:dyDescent="0.35">
      <c r="B523" s="102"/>
      <c r="C523" s="54" t="s">
        <v>3438</v>
      </c>
      <c r="D523" s="71">
        <v>2.2324965566228272</v>
      </c>
      <c r="E523" s="69">
        <v>77.832930834219283</v>
      </c>
      <c r="F523" s="72" t="s">
        <v>231</v>
      </c>
      <c r="G523" s="35">
        <v>22</v>
      </c>
      <c r="H523" s="1" t="s">
        <v>651</v>
      </c>
      <c r="I523" s="35">
        <v>20</v>
      </c>
      <c r="J523" s="46">
        <v>19</v>
      </c>
      <c r="K523" s="11" t="s">
        <v>667</v>
      </c>
      <c r="L523" s="27">
        <v>41</v>
      </c>
      <c r="M523" t="s">
        <v>727</v>
      </c>
      <c r="N523" t="s">
        <v>2067</v>
      </c>
      <c r="O523" s="6" t="s">
        <v>1386</v>
      </c>
      <c r="P523" s="70" t="s">
        <v>2068</v>
      </c>
      <c r="Q523">
        <f t="shared" si="8"/>
        <v>2.2324965566228272</v>
      </c>
      <c r="S523" s="48"/>
    </row>
    <row r="524" spans="1:19" x14ac:dyDescent="0.35">
      <c r="B524" s="102"/>
      <c r="C524" s="54" t="s">
        <v>3438</v>
      </c>
      <c r="D524" s="71">
        <v>1.1848727226911888</v>
      </c>
      <c r="E524" s="69">
        <v>87.064226496517222</v>
      </c>
      <c r="F524" s="72" t="s">
        <v>129</v>
      </c>
      <c r="G524" s="35">
        <v>8</v>
      </c>
      <c r="H524" s="1" t="s">
        <v>334</v>
      </c>
      <c r="I524" s="35">
        <v>16</v>
      </c>
      <c r="J524" s="46">
        <v>13</v>
      </c>
      <c r="K524" s="11" t="s">
        <v>661</v>
      </c>
      <c r="L524" s="27">
        <v>29</v>
      </c>
      <c r="M524" t="s">
        <v>806</v>
      </c>
      <c r="N524" t="s">
        <v>2071</v>
      </c>
      <c r="P524" s="70" t="s">
        <v>2072</v>
      </c>
      <c r="Q524">
        <f t="shared" si="8"/>
        <v>1.1848727226911888</v>
      </c>
      <c r="S524" s="48"/>
    </row>
    <row r="525" spans="1:19" x14ac:dyDescent="0.35">
      <c r="B525" s="102"/>
      <c r="C525" s="54" t="s">
        <v>3438</v>
      </c>
      <c r="D525" s="71">
        <v>-1.186649667403771</v>
      </c>
      <c r="E525" s="69">
        <v>62.336941210008192</v>
      </c>
      <c r="F525" s="72" t="s">
        <v>231</v>
      </c>
      <c r="G525" s="35">
        <v>70</v>
      </c>
      <c r="H525" s="1" t="s">
        <v>1155</v>
      </c>
      <c r="I525" s="35">
        <v>15</v>
      </c>
      <c r="J525" s="46">
        <v>10</v>
      </c>
      <c r="K525" s="11" t="s">
        <v>692</v>
      </c>
      <c r="L525" s="27">
        <v>34</v>
      </c>
      <c r="M525" t="s">
        <v>740</v>
      </c>
      <c r="N525" t="s">
        <v>2074</v>
      </c>
      <c r="P525" s="70" t="s">
        <v>2075</v>
      </c>
      <c r="Q525">
        <f t="shared" si="8"/>
        <v>1.186649667403771</v>
      </c>
      <c r="S525" s="48"/>
    </row>
    <row r="526" spans="1:19" x14ac:dyDescent="0.35">
      <c r="A526" s="2" t="s">
        <v>2082</v>
      </c>
      <c r="B526" s="102"/>
      <c r="C526" s="54" t="s">
        <v>3438</v>
      </c>
      <c r="D526" s="71">
        <v>-2.1257228138039785</v>
      </c>
      <c r="E526" s="69">
        <v>28.700474991928328</v>
      </c>
      <c r="F526" s="72" t="s">
        <v>129</v>
      </c>
      <c r="G526" s="35">
        <v>97</v>
      </c>
      <c r="H526" s="1" t="s">
        <v>637</v>
      </c>
      <c r="I526" s="35">
        <v>25</v>
      </c>
      <c r="J526" s="46">
        <v>23</v>
      </c>
      <c r="K526" s="11" t="s">
        <v>1165</v>
      </c>
      <c r="L526" s="27">
        <v>80</v>
      </c>
      <c r="M526" t="s">
        <v>1177</v>
      </c>
      <c r="N526" t="s">
        <v>2077</v>
      </c>
      <c r="P526" s="70" t="s">
        <v>2078</v>
      </c>
      <c r="Q526">
        <f t="shared" si="8"/>
        <v>2.1257228138039785</v>
      </c>
      <c r="S526" s="48"/>
    </row>
    <row r="527" spans="1:19" x14ac:dyDescent="0.35">
      <c r="B527" s="102"/>
      <c r="C527" s="54" t="s">
        <v>3438</v>
      </c>
      <c r="D527" s="71">
        <v>3.0889771258010041</v>
      </c>
      <c r="E527" s="69">
        <v>76.941529317330776</v>
      </c>
      <c r="F527" s="72" t="s">
        <v>231</v>
      </c>
      <c r="G527" s="35">
        <v>18</v>
      </c>
      <c r="H527" s="1" t="s">
        <v>650</v>
      </c>
      <c r="I527" s="35">
        <v>26</v>
      </c>
      <c r="J527" s="46">
        <v>11</v>
      </c>
      <c r="K527" s="11" t="s">
        <v>676</v>
      </c>
      <c r="L527" s="27">
        <v>46</v>
      </c>
      <c r="M527" t="s">
        <v>748</v>
      </c>
      <c r="N527" s="1" t="s">
        <v>2080</v>
      </c>
      <c r="O527" s="1" t="s">
        <v>1390</v>
      </c>
      <c r="P527" s="70" t="s">
        <v>2081</v>
      </c>
      <c r="Q527">
        <f t="shared" si="8"/>
        <v>3.0889771258010041</v>
      </c>
      <c r="S527" s="48"/>
    </row>
    <row r="528" spans="1:19" x14ac:dyDescent="0.35">
      <c r="B528" s="102"/>
      <c r="C528" s="54" t="s">
        <v>3438</v>
      </c>
      <c r="D528" s="71">
        <v>5.437188217603472</v>
      </c>
      <c r="E528" s="69">
        <v>69.812704885574874</v>
      </c>
      <c r="F528" s="72" t="s">
        <v>231</v>
      </c>
      <c r="G528" s="35">
        <v>14</v>
      </c>
      <c r="H528" s="1" t="s">
        <v>642</v>
      </c>
      <c r="I528" s="35">
        <v>17</v>
      </c>
      <c r="J528" s="46">
        <v>8</v>
      </c>
      <c r="K528" s="11" t="s">
        <v>761</v>
      </c>
      <c r="L528" s="27">
        <v>67</v>
      </c>
      <c r="M528" t="s">
        <v>721</v>
      </c>
      <c r="N528" t="s">
        <v>2084</v>
      </c>
      <c r="P528" s="70" t="s">
        <v>2085</v>
      </c>
      <c r="Q528">
        <f t="shared" si="8"/>
        <v>5.437188217603472</v>
      </c>
      <c r="S528" s="48"/>
    </row>
    <row r="529" spans="1:19" ht="15" thickBot="1" x14ac:dyDescent="0.4">
      <c r="B529" s="102"/>
      <c r="C529" s="54" t="s">
        <v>3438</v>
      </c>
      <c r="D529" s="82">
        <v>5.1732772564167089</v>
      </c>
      <c r="E529" s="76">
        <v>46.698632088640444</v>
      </c>
      <c r="F529" s="83" t="s">
        <v>231</v>
      </c>
      <c r="G529" s="49">
        <v>37</v>
      </c>
      <c r="H529" s="45" t="s">
        <v>641</v>
      </c>
      <c r="I529" s="49">
        <v>18</v>
      </c>
      <c r="J529" s="50">
        <v>15</v>
      </c>
      <c r="K529" s="51" t="s">
        <v>1158</v>
      </c>
      <c r="L529" s="77">
        <v>98</v>
      </c>
      <c r="M529" s="40" t="s">
        <v>702</v>
      </c>
      <c r="N529" s="40" t="s">
        <v>2087</v>
      </c>
      <c r="O529" s="78"/>
      <c r="P529" s="78" t="s">
        <v>2088</v>
      </c>
      <c r="Q529">
        <f t="shared" si="8"/>
        <v>5.1732772564167089</v>
      </c>
      <c r="S529" s="48"/>
    </row>
    <row r="530" spans="1:19" x14ac:dyDescent="0.35">
      <c r="A530" s="2" t="s">
        <v>2089</v>
      </c>
      <c r="B530" s="102" t="s">
        <v>1112</v>
      </c>
      <c r="C530" s="11" t="s">
        <v>2090</v>
      </c>
      <c r="D530" s="71">
        <v>10.225509949430867</v>
      </c>
      <c r="E530" s="69">
        <v>46.981778607549373</v>
      </c>
      <c r="F530" s="72" t="s">
        <v>129</v>
      </c>
      <c r="G530" s="35">
        <v>16</v>
      </c>
      <c r="H530" s="1" t="s">
        <v>652</v>
      </c>
      <c r="I530" s="35">
        <v>24</v>
      </c>
      <c r="J530" s="46">
        <v>20</v>
      </c>
      <c r="K530" s="11" t="s">
        <v>706</v>
      </c>
      <c r="L530" s="27">
        <v>112</v>
      </c>
      <c r="M530" t="s">
        <v>786</v>
      </c>
      <c r="N530" t="s">
        <v>2091</v>
      </c>
      <c r="O530" s="6" t="s">
        <v>1386</v>
      </c>
      <c r="P530" s="2"/>
      <c r="Q530">
        <f t="shared" si="8"/>
        <v>10.225509949430867</v>
      </c>
      <c r="S530" s="48"/>
    </row>
    <row r="531" spans="1:19" x14ac:dyDescent="0.35">
      <c r="B531" s="102"/>
      <c r="C531" s="86" t="s">
        <v>2092</v>
      </c>
      <c r="D531" s="71">
        <v>8.7377987312098071</v>
      </c>
      <c r="E531" s="69">
        <v>36.303358049135845</v>
      </c>
      <c r="F531" s="72" t="s">
        <v>129</v>
      </c>
      <c r="G531" s="35">
        <v>32</v>
      </c>
      <c r="H531" s="1" t="s">
        <v>750</v>
      </c>
      <c r="I531" s="35">
        <v>28</v>
      </c>
      <c r="J531" s="46">
        <v>16</v>
      </c>
      <c r="K531" s="11" t="s">
        <v>737</v>
      </c>
      <c r="L531" s="27">
        <v>111</v>
      </c>
      <c r="M531" t="s">
        <v>910</v>
      </c>
      <c r="N531" t="s">
        <v>2093</v>
      </c>
      <c r="Q531">
        <f t="shared" si="8"/>
        <v>8.7377987312098071</v>
      </c>
      <c r="S531" s="48"/>
    </row>
    <row r="532" spans="1:19" x14ac:dyDescent="0.35">
      <c r="B532" s="102"/>
      <c r="D532" s="71">
        <v>5.4177719406134948</v>
      </c>
      <c r="E532" s="69">
        <v>17.11230575670465</v>
      </c>
      <c r="F532" s="72" t="s">
        <v>231</v>
      </c>
      <c r="G532" s="35">
        <v>67</v>
      </c>
      <c r="H532" s="1" t="s">
        <v>761</v>
      </c>
      <c r="I532" s="35">
        <v>21</v>
      </c>
      <c r="J532" s="46">
        <v>11</v>
      </c>
      <c r="K532" s="11" t="s">
        <v>639</v>
      </c>
      <c r="L532" s="27">
        <v>110</v>
      </c>
      <c r="M532" t="s">
        <v>781</v>
      </c>
      <c r="N532" t="s">
        <v>2094</v>
      </c>
      <c r="Q532">
        <f t="shared" si="8"/>
        <v>5.4177719406134948</v>
      </c>
      <c r="S532" s="48"/>
    </row>
    <row r="533" spans="1:19" x14ac:dyDescent="0.35">
      <c r="B533" s="102"/>
      <c r="D533" s="71">
        <v>-1.0943973069346509</v>
      </c>
      <c r="E533" s="69">
        <v>5.6924266478104553</v>
      </c>
      <c r="F533" s="72" t="s">
        <v>231</v>
      </c>
      <c r="G533" s="35">
        <v>109</v>
      </c>
      <c r="H533" s="1" t="s">
        <v>582</v>
      </c>
      <c r="I533" s="35">
        <v>19</v>
      </c>
      <c r="J533" s="46">
        <v>13</v>
      </c>
      <c r="K533" s="11" t="s">
        <v>777</v>
      </c>
      <c r="L533" s="27">
        <v>104</v>
      </c>
      <c r="M533" t="s">
        <v>823</v>
      </c>
      <c r="N533" t="s">
        <v>2095</v>
      </c>
      <c r="Q533">
        <f t="shared" si="8"/>
        <v>1.0943973069346509</v>
      </c>
      <c r="S533" s="48"/>
    </row>
    <row r="534" spans="1:19" x14ac:dyDescent="0.35">
      <c r="B534" s="102"/>
      <c r="D534" s="71">
        <v>3.0219761650460382</v>
      </c>
      <c r="E534" s="69">
        <v>13.912874167824253</v>
      </c>
      <c r="F534" s="72" t="s">
        <v>231</v>
      </c>
      <c r="G534" s="35">
        <v>80</v>
      </c>
      <c r="H534" s="1" t="s">
        <v>1165</v>
      </c>
      <c r="I534" s="35">
        <v>27</v>
      </c>
      <c r="J534" s="46">
        <v>10</v>
      </c>
      <c r="K534" s="11" t="s">
        <v>700</v>
      </c>
      <c r="L534" s="27">
        <v>108</v>
      </c>
      <c r="M534" t="s">
        <v>844</v>
      </c>
      <c r="N534" s="1" t="s">
        <v>2096</v>
      </c>
      <c r="O534" s="1" t="s">
        <v>1390</v>
      </c>
      <c r="Q534">
        <f t="shared" si="8"/>
        <v>3.0219761650460382</v>
      </c>
      <c r="S534" s="48"/>
    </row>
    <row r="535" spans="1:19" x14ac:dyDescent="0.35">
      <c r="B535" s="102"/>
      <c r="D535" s="71">
        <v>6.3923906513448694</v>
      </c>
      <c r="E535" s="69">
        <v>34.362578106182241</v>
      </c>
      <c r="F535" s="72" t="s">
        <v>231</v>
      </c>
      <c r="G535" s="35">
        <v>45</v>
      </c>
      <c r="H535" s="1" t="s">
        <v>648</v>
      </c>
      <c r="I535" s="35">
        <v>20</v>
      </c>
      <c r="J535" s="46">
        <v>14</v>
      </c>
      <c r="K535" s="11" t="s">
        <v>709</v>
      </c>
      <c r="L535" s="27">
        <v>107</v>
      </c>
      <c r="M535" t="s">
        <v>898</v>
      </c>
      <c r="N535" t="s">
        <v>2097</v>
      </c>
      <c r="Q535">
        <f t="shared" si="8"/>
        <v>6.3923906513448694</v>
      </c>
      <c r="S535" s="48"/>
    </row>
    <row r="536" spans="1:19" x14ac:dyDescent="0.35">
      <c r="B536" s="102"/>
      <c r="D536" s="71">
        <v>3.5010183694956041</v>
      </c>
      <c r="E536" s="69">
        <v>17.588558307503142</v>
      </c>
      <c r="F536" s="72" t="s">
        <v>231</v>
      </c>
      <c r="G536" s="35">
        <v>73</v>
      </c>
      <c r="H536" s="1" t="s">
        <v>768</v>
      </c>
      <c r="I536" s="35">
        <v>24</v>
      </c>
      <c r="J536" s="46">
        <v>10</v>
      </c>
      <c r="K536" s="11" t="s">
        <v>760</v>
      </c>
      <c r="L536" s="27">
        <v>106</v>
      </c>
      <c r="M536" t="s">
        <v>821</v>
      </c>
      <c r="N536" t="s">
        <v>2098</v>
      </c>
      <c r="Q536">
        <f t="shared" si="8"/>
        <v>3.5010183694956041</v>
      </c>
      <c r="S536" s="48"/>
    </row>
    <row r="537" spans="1:19" x14ac:dyDescent="0.35">
      <c r="B537" s="102"/>
      <c r="D537" s="71">
        <v>8.6387758524991458</v>
      </c>
      <c r="E537" s="69">
        <v>48.472302962500599</v>
      </c>
      <c r="F537" s="72" t="s">
        <v>231</v>
      </c>
      <c r="G537" s="35">
        <v>22</v>
      </c>
      <c r="H537" s="1" t="s">
        <v>651</v>
      </c>
      <c r="I537" s="35">
        <v>24</v>
      </c>
      <c r="J537" s="46">
        <v>14</v>
      </c>
      <c r="K537" s="11" t="s">
        <v>716</v>
      </c>
      <c r="L537" s="27">
        <v>105</v>
      </c>
      <c r="M537" t="s">
        <v>898</v>
      </c>
      <c r="N537" t="s">
        <v>2099</v>
      </c>
      <c r="Q537">
        <f t="shared" si="8"/>
        <v>8.6387758524991458</v>
      </c>
      <c r="S537" s="48"/>
    </row>
    <row r="538" spans="1:19" x14ac:dyDescent="0.35">
      <c r="B538" s="102"/>
      <c r="D538" s="71">
        <v>9.3970517207450808</v>
      </c>
      <c r="E538" s="69">
        <v>52.57353448518208</v>
      </c>
      <c r="F538" s="72" t="s">
        <v>129</v>
      </c>
      <c r="G538" s="35">
        <v>11</v>
      </c>
      <c r="H538" s="1" t="s">
        <v>718</v>
      </c>
      <c r="I538" s="35">
        <v>34</v>
      </c>
      <c r="J538" s="46">
        <v>15</v>
      </c>
      <c r="K538" s="11" t="s">
        <v>792</v>
      </c>
      <c r="L538" s="27">
        <v>103</v>
      </c>
      <c r="M538" t="s">
        <v>754</v>
      </c>
      <c r="N538" t="s">
        <v>2100</v>
      </c>
      <c r="Q538">
        <f t="shared" si="8"/>
        <v>9.3970517207450808</v>
      </c>
      <c r="S538" s="48"/>
    </row>
    <row r="539" spans="1:19" x14ac:dyDescent="0.35">
      <c r="B539" s="102"/>
      <c r="D539" s="71">
        <v>-11.144420980588521</v>
      </c>
      <c r="E539" s="69">
        <v>69.031729271848945</v>
      </c>
      <c r="F539" s="72" t="s">
        <v>129</v>
      </c>
      <c r="G539" s="35">
        <v>102</v>
      </c>
      <c r="H539" s="1" t="s">
        <v>723</v>
      </c>
      <c r="I539" s="35">
        <v>17</v>
      </c>
      <c r="J539" s="46">
        <v>15</v>
      </c>
      <c r="K539" s="11" t="s">
        <v>352</v>
      </c>
      <c r="L539" s="27">
        <v>7</v>
      </c>
      <c r="M539" t="s">
        <v>799</v>
      </c>
      <c r="N539" t="s">
        <v>2101</v>
      </c>
      <c r="P539" s="70" t="s">
        <v>2102</v>
      </c>
      <c r="Q539">
        <f t="shared" si="8"/>
        <v>11.144420980588521</v>
      </c>
      <c r="S539" s="48"/>
    </row>
    <row r="540" spans="1:19" x14ac:dyDescent="0.35">
      <c r="B540" s="102"/>
      <c r="D540" s="71">
        <v>4.4653421562810944</v>
      </c>
      <c r="E540" s="69">
        <v>20.024755602656363</v>
      </c>
      <c r="F540" s="72" t="s">
        <v>231</v>
      </c>
      <c r="G540" s="35">
        <v>71</v>
      </c>
      <c r="H540" s="1" t="s">
        <v>751</v>
      </c>
      <c r="I540" s="35">
        <v>34</v>
      </c>
      <c r="J540" s="46">
        <v>25</v>
      </c>
      <c r="K540" s="11" t="s">
        <v>720</v>
      </c>
      <c r="L540" s="27">
        <v>101</v>
      </c>
      <c r="M540" t="s">
        <v>2103</v>
      </c>
      <c r="N540" t="s">
        <v>2104</v>
      </c>
      <c r="Q540">
        <f t="shared" si="8"/>
        <v>4.4653421562810944</v>
      </c>
      <c r="S540" s="48"/>
    </row>
    <row r="541" spans="1:19" x14ac:dyDescent="0.35">
      <c r="B541" s="102"/>
      <c r="D541" s="71">
        <v>2.5201929850267812</v>
      </c>
      <c r="E541" s="69">
        <v>15.164147867838018</v>
      </c>
      <c r="F541" s="72" t="s">
        <v>231</v>
      </c>
      <c r="G541" s="35">
        <v>86</v>
      </c>
      <c r="H541" s="1" t="s">
        <v>701</v>
      </c>
      <c r="I541" s="35">
        <v>22</v>
      </c>
      <c r="J541" s="46">
        <v>9</v>
      </c>
      <c r="K541" s="11" t="s">
        <v>631</v>
      </c>
      <c r="L541" s="27">
        <v>100</v>
      </c>
      <c r="M541" t="s">
        <v>790</v>
      </c>
      <c r="N541" s="1" t="s">
        <v>2105</v>
      </c>
      <c r="O541" s="1" t="s">
        <v>1390</v>
      </c>
      <c r="Q541">
        <f t="shared" si="8"/>
        <v>2.5201929850267812</v>
      </c>
      <c r="S541" s="48"/>
    </row>
    <row r="542" spans="1:19" x14ac:dyDescent="0.35">
      <c r="A542" s="2" t="s">
        <v>2106</v>
      </c>
      <c r="B542" s="102"/>
      <c r="D542" s="71">
        <v>3.6458906966582267</v>
      </c>
      <c r="E542" s="69">
        <v>17.038649502386981</v>
      </c>
      <c r="F542" s="72" t="s">
        <v>231</v>
      </c>
      <c r="G542" s="35">
        <v>81</v>
      </c>
      <c r="H542" s="1" t="s">
        <v>635</v>
      </c>
      <c r="I542" s="35">
        <v>20</v>
      </c>
      <c r="J542" s="46">
        <v>9</v>
      </c>
      <c r="K542" s="11" t="s">
        <v>767</v>
      </c>
      <c r="L542" s="27">
        <v>99</v>
      </c>
      <c r="M542" t="s">
        <v>748</v>
      </c>
      <c r="N542" t="s">
        <v>2107</v>
      </c>
      <c r="Q542">
        <f t="shared" si="8"/>
        <v>3.6458906966582267</v>
      </c>
      <c r="S542" s="48"/>
    </row>
    <row r="543" spans="1:19" x14ac:dyDescent="0.35">
      <c r="B543" s="102"/>
      <c r="D543" s="71">
        <v>7.4182152964331527</v>
      </c>
      <c r="E543" s="69">
        <v>40.460203359690603</v>
      </c>
      <c r="F543" s="72" t="s">
        <v>231</v>
      </c>
      <c r="G543" s="35">
        <v>37</v>
      </c>
      <c r="H543" s="1" t="s">
        <v>641</v>
      </c>
      <c r="I543" s="35">
        <v>24</v>
      </c>
      <c r="J543" s="46">
        <v>21</v>
      </c>
      <c r="K543" s="11" t="s">
        <v>1158</v>
      </c>
      <c r="L543" s="27">
        <v>98</v>
      </c>
      <c r="M543" t="s">
        <v>972</v>
      </c>
      <c r="N543" t="s">
        <v>2108</v>
      </c>
      <c r="O543" s="6" t="s">
        <v>1386</v>
      </c>
      <c r="P543" s="2"/>
      <c r="Q543">
        <f t="shared" si="8"/>
        <v>7.4182152964331527</v>
      </c>
      <c r="S543" s="48"/>
    </row>
    <row r="544" spans="1:19" x14ac:dyDescent="0.35">
      <c r="B544" s="102"/>
      <c r="D544" s="71">
        <v>7.5011249398298681</v>
      </c>
      <c r="E544" s="69">
        <v>53.927767900121523</v>
      </c>
      <c r="F544" s="72" t="s">
        <v>129</v>
      </c>
      <c r="G544" s="35">
        <v>17</v>
      </c>
      <c r="H544" s="1" t="s">
        <v>640</v>
      </c>
      <c r="I544" s="35">
        <v>23</v>
      </c>
      <c r="J544" s="46">
        <v>12</v>
      </c>
      <c r="K544" s="11" t="s">
        <v>637</v>
      </c>
      <c r="L544" s="27">
        <v>97</v>
      </c>
      <c r="M544" t="s">
        <v>705</v>
      </c>
      <c r="N544" t="s">
        <v>2109</v>
      </c>
      <c r="Q544">
        <f t="shared" si="8"/>
        <v>7.5011249398298681</v>
      </c>
      <c r="S544" s="48"/>
    </row>
    <row r="545" spans="1:19" x14ac:dyDescent="0.35">
      <c r="B545" s="102"/>
      <c r="D545" s="71">
        <v>4.3187510114449816</v>
      </c>
      <c r="E545" s="69">
        <v>23.25446356325358</v>
      </c>
      <c r="F545" s="72" t="s">
        <v>231</v>
      </c>
      <c r="G545" s="35">
        <v>69</v>
      </c>
      <c r="H545" s="1" t="s">
        <v>645</v>
      </c>
      <c r="I545" s="35">
        <v>25</v>
      </c>
      <c r="J545" s="46">
        <v>11</v>
      </c>
      <c r="K545" s="11" t="s">
        <v>734</v>
      </c>
      <c r="L545" s="27">
        <v>96</v>
      </c>
      <c r="M545" t="s">
        <v>744</v>
      </c>
      <c r="N545" t="s">
        <v>2110</v>
      </c>
      <c r="Q545">
        <f t="shared" si="8"/>
        <v>4.3187510114449816</v>
      </c>
      <c r="S545" s="48"/>
    </row>
    <row r="546" spans="1:19" x14ac:dyDescent="0.35">
      <c r="A546" s="2" t="s">
        <v>2111</v>
      </c>
      <c r="B546" s="102"/>
      <c r="D546" s="71">
        <v>1.6626445294188898</v>
      </c>
      <c r="E546" s="69">
        <v>16.669539621843654</v>
      </c>
      <c r="F546" s="72" t="s">
        <v>231</v>
      </c>
      <c r="G546" s="35">
        <v>89</v>
      </c>
      <c r="H546" s="1" t="s">
        <v>779</v>
      </c>
      <c r="I546" s="35">
        <v>20</v>
      </c>
      <c r="J546" s="46">
        <v>12</v>
      </c>
      <c r="K546" s="11" t="s">
        <v>1156</v>
      </c>
      <c r="L546" s="27">
        <v>95</v>
      </c>
      <c r="M546" t="s">
        <v>781</v>
      </c>
      <c r="N546" t="s">
        <v>2112</v>
      </c>
      <c r="Q546">
        <f t="shared" si="8"/>
        <v>1.6626445294188898</v>
      </c>
      <c r="S546" s="48"/>
    </row>
    <row r="547" spans="1:19" x14ac:dyDescent="0.35">
      <c r="B547" s="102"/>
      <c r="D547" s="71">
        <v>7.250542733012308</v>
      </c>
      <c r="E547" s="69">
        <v>37.365683762134061</v>
      </c>
      <c r="F547" s="72" t="s">
        <v>231</v>
      </c>
      <c r="G547" s="35">
        <v>49</v>
      </c>
      <c r="H547" s="1" t="s">
        <v>765</v>
      </c>
      <c r="I547" s="35">
        <v>31</v>
      </c>
      <c r="J547" s="46">
        <v>14</v>
      </c>
      <c r="K547" s="11" t="s">
        <v>638</v>
      </c>
      <c r="L547" s="27">
        <v>94</v>
      </c>
      <c r="M547" t="s">
        <v>744</v>
      </c>
      <c r="N547" t="s">
        <v>2113</v>
      </c>
      <c r="Q547">
        <f t="shared" si="8"/>
        <v>7.250542733012308</v>
      </c>
      <c r="S547" s="48"/>
    </row>
    <row r="548" spans="1:19" x14ac:dyDescent="0.35">
      <c r="B548" s="102"/>
      <c r="D548" s="71">
        <v>3.4974492598794313</v>
      </c>
      <c r="E548" s="69">
        <v>28.751821957228973</v>
      </c>
      <c r="F548" s="72" t="s">
        <v>231</v>
      </c>
      <c r="G548" s="35">
        <v>61</v>
      </c>
      <c r="H548" s="1" t="s">
        <v>665</v>
      </c>
      <c r="I548" s="35">
        <v>19</v>
      </c>
      <c r="J548" s="46">
        <v>18</v>
      </c>
      <c r="K548" s="11" t="s">
        <v>756</v>
      </c>
      <c r="L548" s="27">
        <v>93</v>
      </c>
      <c r="M548" t="s">
        <v>806</v>
      </c>
      <c r="N548" t="s">
        <v>2114</v>
      </c>
      <c r="P548"/>
      <c r="Q548">
        <f t="shared" si="8"/>
        <v>3.4974492598794313</v>
      </c>
      <c r="S548" s="48"/>
    </row>
    <row r="549" spans="1:19" x14ac:dyDescent="0.35">
      <c r="B549" s="102"/>
      <c r="D549" s="71">
        <v>9.5252046951964182</v>
      </c>
      <c r="E549" s="69">
        <v>44.981996646288266</v>
      </c>
      <c r="F549" s="72" t="s">
        <v>231</v>
      </c>
      <c r="G549" s="35">
        <v>28</v>
      </c>
      <c r="H549" s="1" t="s">
        <v>670</v>
      </c>
      <c r="I549" s="35">
        <v>34</v>
      </c>
      <c r="J549" s="46">
        <v>19</v>
      </c>
      <c r="K549" s="11" t="s">
        <v>732</v>
      </c>
      <c r="L549" s="27">
        <v>92</v>
      </c>
      <c r="M549" t="s">
        <v>887</v>
      </c>
      <c r="N549" t="s">
        <v>2115</v>
      </c>
      <c r="Q549">
        <f t="shared" si="8"/>
        <v>9.5252046951964182</v>
      </c>
      <c r="S549" s="48"/>
    </row>
    <row r="550" spans="1:19" x14ac:dyDescent="0.35">
      <c r="B550" s="102"/>
      <c r="D550" s="71">
        <v>6.9040950209241556</v>
      </c>
      <c r="E550" s="69">
        <v>54.354217842197031</v>
      </c>
      <c r="F550" s="72" t="s">
        <v>129</v>
      </c>
      <c r="G550" s="35">
        <v>23</v>
      </c>
      <c r="H550" s="1" t="s">
        <v>664</v>
      </c>
      <c r="I550" s="35">
        <v>26</v>
      </c>
      <c r="J550" s="46">
        <v>13</v>
      </c>
      <c r="K550" s="11" t="s">
        <v>722</v>
      </c>
      <c r="L550" s="27">
        <v>91</v>
      </c>
      <c r="M550" t="s">
        <v>952</v>
      </c>
      <c r="N550" t="s">
        <v>2116</v>
      </c>
      <c r="Q550">
        <f t="shared" si="8"/>
        <v>6.9040950209241556</v>
      </c>
      <c r="S550" s="48"/>
    </row>
    <row r="551" spans="1:19" x14ac:dyDescent="0.35">
      <c r="B551" s="102"/>
      <c r="D551" s="71">
        <v>-1.4285376692969938</v>
      </c>
      <c r="E551" s="69">
        <v>21.556098335212148</v>
      </c>
      <c r="F551" s="72" t="s">
        <v>129</v>
      </c>
      <c r="G551" s="35">
        <v>88</v>
      </c>
      <c r="H551" s="1" t="s">
        <v>738</v>
      </c>
      <c r="I551" s="35">
        <v>22</v>
      </c>
      <c r="J551" s="46">
        <v>18</v>
      </c>
      <c r="K551" s="11" t="s">
        <v>633</v>
      </c>
      <c r="L551" s="27">
        <v>90</v>
      </c>
      <c r="M551" t="s">
        <v>847</v>
      </c>
      <c r="N551" t="s">
        <v>2117</v>
      </c>
      <c r="Q551">
        <f t="shared" si="8"/>
        <v>1.4285376692969938</v>
      </c>
      <c r="S551" s="48"/>
    </row>
    <row r="552" spans="1:19" x14ac:dyDescent="0.35">
      <c r="B552" s="102"/>
      <c r="D552" s="71">
        <v>11.922193977095487</v>
      </c>
      <c r="E552" s="69">
        <v>58.984147159217514</v>
      </c>
      <c r="F552" s="72" t="s">
        <v>231</v>
      </c>
      <c r="G552" s="35">
        <v>4</v>
      </c>
      <c r="H552" s="1" t="s">
        <v>649</v>
      </c>
      <c r="I552" s="35">
        <v>24</v>
      </c>
      <c r="J552" s="46">
        <v>23</v>
      </c>
      <c r="K552" s="11" t="s">
        <v>757</v>
      </c>
      <c r="L552" s="27">
        <v>87</v>
      </c>
      <c r="M552" t="s">
        <v>988</v>
      </c>
      <c r="N552" t="s">
        <v>2118</v>
      </c>
      <c r="O552" s="6" t="s">
        <v>1386</v>
      </c>
      <c r="P552" s="70" t="s">
        <v>1591</v>
      </c>
      <c r="Q552">
        <f t="shared" si="8"/>
        <v>11.922193977095487</v>
      </c>
      <c r="S552" s="48"/>
    </row>
    <row r="553" spans="1:19" x14ac:dyDescent="0.35">
      <c r="B553" s="102"/>
      <c r="D553" s="71">
        <v>-0.16809109125741026</v>
      </c>
      <c r="E553" s="69">
        <v>28.367663763880191</v>
      </c>
      <c r="F553" s="72" t="s">
        <v>231</v>
      </c>
      <c r="G553" s="35">
        <v>85</v>
      </c>
      <c r="H553" s="1" t="s">
        <v>784</v>
      </c>
      <c r="I553" s="35">
        <v>16</v>
      </c>
      <c r="J553" s="46">
        <v>13</v>
      </c>
      <c r="K553" s="11" t="s">
        <v>778</v>
      </c>
      <c r="L553" s="27">
        <v>79</v>
      </c>
      <c r="M553" t="s">
        <v>866</v>
      </c>
      <c r="N553" t="s">
        <v>2119</v>
      </c>
      <c r="P553" t="s">
        <v>2120</v>
      </c>
      <c r="Q553">
        <f t="shared" si="8"/>
        <v>0.16809109125741026</v>
      </c>
      <c r="S553" s="48"/>
    </row>
    <row r="554" spans="1:19" x14ac:dyDescent="0.35">
      <c r="B554" s="102"/>
      <c r="D554" s="71">
        <v>-6.1233102269057627</v>
      </c>
      <c r="E554" s="69">
        <v>67.230935876361258</v>
      </c>
      <c r="F554" s="72" t="s">
        <v>231</v>
      </c>
      <c r="G554" s="35">
        <v>84</v>
      </c>
      <c r="H554" s="1" t="s">
        <v>743</v>
      </c>
      <c r="I554" s="35">
        <v>12</v>
      </c>
      <c r="J554" s="46">
        <v>11</v>
      </c>
      <c r="K554" s="11" t="s">
        <v>755</v>
      </c>
      <c r="L554" s="27">
        <v>20</v>
      </c>
      <c r="M554" t="s">
        <v>874</v>
      </c>
      <c r="N554" t="s">
        <v>2121</v>
      </c>
      <c r="P554" s="70" t="s">
        <v>2122</v>
      </c>
      <c r="Q554">
        <f t="shared" si="8"/>
        <v>6.1233102269057627</v>
      </c>
      <c r="S554" s="48"/>
    </row>
    <row r="555" spans="1:19" x14ac:dyDescent="0.35">
      <c r="B555" s="102"/>
      <c r="D555" s="71">
        <v>7.6737308499876358</v>
      </c>
      <c r="E555" s="69">
        <v>55.947335107151687</v>
      </c>
      <c r="F555" s="72" t="s">
        <v>231</v>
      </c>
      <c r="G555" s="35">
        <v>25</v>
      </c>
      <c r="H555" s="1" t="s">
        <v>465</v>
      </c>
      <c r="I555" s="35">
        <v>21</v>
      </c>
      <c r="J555" s="46">
        <v>18</v>
      </c>
      <c r="K555" s="11" t="s">
        <v>1164</v>
      </c>
      <c r="L555" s="27">
        <v>83</v>
      </c>
      <c r="M555" t="s">
        <v>928</v>
      </c>
      <c r="N555" t="s">
        <v>2123</v>
      </c>
      <c r="Q555">
        <f t="shared" si="8"/>
        <v>7.6737308499876358</v>
      </c>
      <c r="S555" s="48"/>
    </row>
    <row r="556" spans="1:19" x14ac:dyDescent="0.35">
      <c r="B556" s="102"/>
      <c r="D556" s="71">
        <v>4.7277451078545631</v>
      </c>
      <c r="E556" s="69">
        <v>60.9087534943896</v>
      </c>
      <c r="F556" s="72" t="s">
        <v>129</v>
      </c>
      <c r="G556" s="35">
        <v>18</v>
      </c>
      <c r="H556" s="1" t="s">
        <v>650</v>
      </c>
      <c r="I556" s="35">
        <v>10</v>
      </c>
      <c r="J556" s="46">
        <v>8</v>
      </c>
      <c r="K556" s="11" t="s">
        <v>776</v>
      </c>
      <c r="L556" s="27">
        <v>82</v>
      </c>
      <c r="M556" t="s">
        <v>2124</v>
      </c>
      <c r="N556" t="s">
        <v>2125</v>
      </c>
      <c r="P556" s="70" t="s">
        <v>2126</v>
      </c>
      <c r="Q556">
        <f t="shared" si="8"/>
        <v>4.7277451078545631</v>
      </c>
      <c r="S556" s="48"/>
    </row>
    <row r="557" spans="1:19" x14ac:dyDescent="0.35">
      <c r="B557" s="102"/>
      <c r="D557" s="71">
        <v>-3.490585168515886</v>
      </c>
      <c r="E557" s="69">
        <v>59.502203691797064</v>
      </c>
      <c r="F557" s="72" t="s">
        <v>231</v>
      </c>
      <c r="G557" s="35">
        <v>78</v>
      </c>
      <c r="H557" s="1" t="s">
        <v>1162</v>
      </c>
      <c r="I557" s="35">
        <v>13</v>
      </c>
      <c r="J557" s="46">
        <v>8</v>
      </c>
      <c r="K557" s="11" t="s">
        <v>661</v>
      </c>
      <c r="L557" s="27">
        <v>29</v>
      </c>
      <c r="M557" t="s">
        <v>874</v>
      </c>
      <c r="N557" t="s">
        <v>2127</v>
      </c>
      <c r="Q557">
        <f t="shared" si="8"/>
        <v>3.490585168515886</v>
      </c>
      <c r="S557" s="48"/>
    </row>
    <row r="558" spans="1:19" x14ac:dyDescent="0.35">
      <c r="B558" s="102"/>
      <c r="D558" s="71">
        <v>0.56572971601091449</v>
      </c>
      <c r="E558" s="69">
        <v>38.881621631420771</v>
      </c>
      <c r="F558" s="72" t="s">
        <v>129</v>
      </c>
      <c r="G558" s="35">
        <v>59</v>
      </c>
      <c r="H558" s="1" t="s">
        <v>680</v>
      </c>
      <c r="I558" s="35">
        <v>17</v>
      </c>
      <c r="J558" s="46">
        <v>13</v>
      </c>
      <c r="K558" s="11" t="s">
        <v>726</v>
      </c>
      <c r="L558" s="27">
        <v>77</v>
      </c>
      <c r="M558" t="s">
        <v>910</v>
      </c>
      <c r="N558" t="s">
        <v>2128</v>
      </c>
      <c r="Q558">
        <f t="shared" si="8"/>
        <v>0.56572971601091449</v>
      </c>
      <c r="S558" s="48"/>
    </row>
    <row r="559" spans="1:19" x14ac:dyDescent="0.35">
      <c r="A559" s="2" t="s">
        <v>2129</v>
      </c>
      <c r="B559" s="102"/>
      <c r="D559" s="71">
        <v>3.7217818094177528</v>
      </c>
      <c r="E559" s="69">
        <v>47.52015585041589</v>
      </c>
      <c r="F559" s="72" t="s">
        <v>129</v>
      </c>
      <c r="G559" s="35">
        <v>48</v>
      </c>
      <c r="H559" s="1" t="s">
        <v>677</v>
      </c>
      <c r="I559" s="35">
        <v>22</v>
      </c>
      <c r="J559" s="46">
        <v>6</v>
      </c>
      <c r="K559" s="11" t="s">
        <v>1157</v>
      </c>
      <c r="L559" s="27">
        <v>76</v>
      </c>
      <c r="M559" s="41" t="s">
        <v>724</v>
      </c>
      <c r="N559" s="43" t="s">
        <v>2130</v>
      </c>
      <c r="O559" s="1" t="s">
        <v>1390</v>
      </c>
      <c r="Q559">
        <f t="shared" si="8"/>
        <v>3.7217818094177528</v>
      </c>
      <c r="S559" s="48"/>
    </row>
    <row r="560" spans="1:19" x14ac:dyDescent="0.35">
      <c r="B560" s="102"/>
      <c r="D560" s="71">
        <v>2.7608075027248802</v>
      </c>
      <c r="E560" s="69">
        <v>50.617280355196527</v>
      </c>
      <c r="F560" s="72" t="s">
        <v>129</v>
      </c>
      <c r="G560" s="35">
        <v>43</v>
      </c>
      <c r="H560" s="1" t="s">
        <v>672</v>
      </c>
      <c r="I560" s="35">
        <v>23</v>
      </c>
      <c r="J560" s="46">
        <v>12</v>
      </c>
      <c r="K560" s="11" t="s">
        <v>1161</v>
      </c>
      <c r="L560" s="27">
        <v>75</v>
      </c>
      <c r="M560" s="41" t="s">
        <v>699</v>
      </c>
      <c r="N560" s="41" t="s">
        <v>2131</v>
      </c>
      <c r="Q560">
        <f t="shared" si="8"/>
        <v>2.7608075027248802</v>
      </c>
      <c r="S560" s="48"/>
    </row>
    <row r="561" spans="1:19" x14ac:dyDescent="0.35">
      <c r="B561" s="102"/>
      <c r="D561" s="71">
        <v>2.876197123419538</v>
      </c>
      <c r="E561" s="69">
        <v>45.71343062612889</v>
      </c>
      <c r="F561" s="72" t="s">
        <v>231</v>
      </c>
      <c r="G561" s="35">
        <v>56</v>
      </c>
      <c r="H561" s="1" t="s">
        <v>713</v>
      </c>
      <c r="I561" s="35">
        <v>18</v>
      </c>
      <c r="J561" s="46">
        <v>11</v>
      </c>
      <c r="K561" s="11" t="s">
        <v>636</v>
      </c>
      <c r="L561" s="27">
        <v>74</v>
      </c>
      <c r="M561" s="41" t="s">
        <v>699</v>
      </c>
      <c r="N561" s="41" t="s">
        <v>2132</v>
      </c>
      <c r="Q561">
        <f t="shared" si="8"/>
        <v>2.876197123419538</v>
      </c>
      <c r="S561" s="48"/>
    </row>
    <row r="562" spans="1:19" x14ac:dyDescent="0.35">
      <c r="A562" s="2" t="s">
        <v>2133</v>
      </c>
      <c r="D562" s="71">
        <v>10.949643068424432</v>
      </c>
      <c r="E562" s="69">
        <v>63.250254951125399</v>
      </c>
      <c r="F562" s="72" t="s">
        <v>231</v>
      </c>
      <c r="G562" s="35">
        <v>9</v>
      </c>
      <c r="H562" s="1" t="s">
        <v>644</v>
      </c>
      <c r="I562" s="35">
        <v>22</v>
      </c>
      <c r="J562" s="46">
        <v>15</v>
      </c>
      <c r="K562" s="11" t="s">
        <v>764</v>
      </c>
      <c r="L562" s="27">
        <v>72</v>
      </c>
      <c r="M562" s="41" t="s">
        <v>717</v>
      </c>
      <c r="N562" s="41" t="s">
        <v>2134</v>
      </c>
      <c r="Q562">
        <f t="shared" si="8"/>
        <v>10.949643068424432</v>
      </c>
    </row>
    <row r="563" spans="1:19" x14ac:dyDescent="0.35">
      <c r="D563" s="71">
        <v>0.97906224346112314</v>
      </c>
      <c r="E563" s="69">
        <v>49.077455540384904</v>
      </c>
      <c r="F563" s="72" t="s">
        <v>129</v>
      </c>
      <c r="G563" s="35">
        <v>55</v>
      </c>
      <c r="H563" s="1" t="s">
        <v>729</v>
      </c>
      <c r="I563" s="35">
        <v>19</v>
      </c>
      <c r="J563" s="46">
        <v>14</v>
      </c>
      <c r="K563" s="11" t="s">
        <v>1155</v>
      </c>
      <c r="L563" s="27">
        <v>70</v>
      </c>
      <c r="M563" s="41" t="s">
        <v>831</v>
      </c>
      <c r="N563" s="41" t="s">
        <v>2135</v>
      </c>
      <c r="Q563">
        <f t="shared" si="8"/>
        <v>0.97906224346112314</v>
      </c>
    </row>
    <row r="564" spans="1:19" x14ac:dyDescent="0.35">
      <c r="D564" s="71">
        <v>4.3820186928340616</v>
      </c>
      <c r="E564" s="69">
        <v>67.941415219404249</v>
      </c>
      <c r="F564" s="72" t="s">
        <v>129</v>
      </c>
      <c r="G564" s="35">
        <v>13</v>
      </c>
      <c r="H564" s="1" t="s">
        <v>704</v>
      </c>
      <c r="I564" s="35">
        <v>16</v>
      </c>
      <c r="J564" s="46">
        <v>15</v>
      </c>
      <c r="K564" s="11" t="s">
        <v>634</v>
      </c>
      <c r="L564" s="27">
        <v>68</v>
      </c>
      <c r="M564" s="41" t="s">
        <v>857</v>
      </c>
      <c r="N564" s="41" t="s">
        <v>2136</v>
      </c>
      <c r="Q564">
        <f t="shared" si="8"/>
        <v>4.3820186928340616</v>
      </c>
    </row>
    <row r="565" spans="1:19" x14ac:dyDescent="0.35">
      <c r="A565" s="2" t="s">
        <v>2137</v>
      </c>
      <c r="D565" s="71">
        <v>1.4857794367224297</v>
      </c>
      <c r="E565" s="69">
        <v>42.688728973769699</v>
      </c>
      <c r="F565" s="72" t="s">
        <v>231</v>
      </c>
      <c r="G565" s="35">
        <v>60</v>
      </c>
      <c r="H565" s="1" t="s">
        <v>742</v>
      </c>
      <c r="I565" s="35">
        <v>19</v>
      </c>
      <c r="J565" s="46">
        <v>17</v>
      </c>
      <c r="K565" s="11" t="s">
        <v>1163</v>
      </c>
      <c r="L565" s="27">
        <v>66</v>
      </c>
      <c r="M565" s="41" t="s">
        <v>866</v>
      </c>
      <c r="N565" s="41" t="s">
        <v>2138</v>
      </c>
      <c r="Q565">
        <f t="shared" si="8"/>
        <v>1.4857794367224297</v>
      </c>
    </row>
    <row r="566" spans="1:19" x14ac:dyDescent="0.35">
      <c r="D566" s="71">
        <v>-5.2736186872555573</v>
      </c>
      <c r="E566" s="69">
        <v>73.766870490896835</v>
      </c>
      <c r="F566" s="72" t="s">
        <v>129</v>
      </c>
      <c r="G566" s="35">
        <v>65</v>
      </c>
      <c r="H566" s="1" t="s">
        <v>771</v>
      </c>
      <c r="I566" s="35">
        <v>24</v>
      </c>
      <c r="J566" s="46">
        <v>16</v>
      </c>
      <c r="K566" s="11" t="s">
        <v>663</v>
      </c>
      <c r="L566" s="27">
        <v>19</v>
      </c>
      <c r="M566" s="41" t="s">
        <v>790</v>
      </c>
      <c r="N566" s="41" t="s">
        <v>2139</v>
      </c>
      <c r="Q566">
        <f t="shared" si="8"/>
        <v>5.2736186872555573</v>
      </c>
    </row>
    <row r="567" spans="1:19" x14ac:dyDescent="0.35">
      <c r="D567" s="71">
        <v>4.2592374948224663</v>
      </c>
      <c r="E567" s="69">
        <v>60.395187503698232</v>
      </c>
      <c r="F567" s="72" t="s">
        <v>231</v>
      </c>
      <c r="G567" s="35">
        <v>27</v>
      </c>
      <c r="H567" s="1" t="s">
        <v>467</v>
      </c>
      <c r="I567" s="35">
        <v>14</v>
      </c>
      <c r="J567" s="46">
        <v>13</v>
      </c>
      <c r="K567" s="11" t="s">
        <v>712</v>
      </c>
      <c r="L567" s="27">
        <v>64</v>
      </c>
      <c r="M567" s="41" t="s">
        <v>878</v>
      </c>
      <c r="N567" s="41" t="s">
        <v>2140</v>
      </c>
      <c r="P567" s="70" t="s">
        <v>2141</v>
      </c>
      <c r="Q567">
        <f t="shared" si="8"/>
        <v>4.2592374948224663</v>
      </c>
    </row>
    <row r="568" spans="1:19" x14ac:dyDescent="0.35">
      <c r="D568" s="71">
        <v>7.6249646689375874</v>
      </c>
      <c r="E568" s="69">
        <v>66.696453807901719</v>
      </c>
      <c r="F568" s="72" t="s">
        <v>231</v>
      </c>
      <c r="G568" s="35">
        <v>15</v>
      </c>
      <c r="H568" s="1" t="s">
        <v>643</v>
      </c>
      <c r="I568" s="35">
        <v>18</v>
      </c>
      <c r="J568" s="46">
        <v>4</v>
      </c>
      <c r="K568" s="11" t="s">
        <v>763</v>
      </c>
      <c r="L568" s="27">
        <v>63</v>
      </c>
      <c r="M568" s="41" t="s">
        <v>969</v>
      </c>
      <c r="N568" s="43" t="s">
        <v>2142</v>
      </c>
      <c r="O568" s="1" t="s">
        <v>1390</v>
      </c>
      <c r="Q568">
        <f t="shared" si="8"/>
        <v>7.6249646689375874</v>
      </c>
    </row>
    <row r="569" spans="1:19" x14ac:dyDescent="0.35">
      <c r="D569" s="71">
        <v>-1.0494344794812231</v>
      </c>
      <c r="E569" s="69">
        <v>62.178167485343728</v>
      </c>
      <c r="F569" s="72" t="s">
        <v>231</v>
      </c>
      <c r="G569" s="35">
        <v>62</v>
      </c>
      <c r="H569" s="1" t="s">
        <v>678</v>
      </c>
      <c r="I569" s="35">
        <v>13</v>
      </c>
      <c r="J569" s="46">
        <v>11</v>
      </c>
      <c r="K569" s="11" t="s">
        <v>692</v>
      </c>
      <c r="L569" s="27">
        <v>34</v>
      </c>
      <c r="M569" s="41" t="s">
        <v>710</v>
      </c>
      <c r="N569" s="41" t="s">
        <v>2143</v>
      </c>
      <c r="Q569">
        <f t="shared" si="8"/>
        <v>1.0494344794812231</v>
      </c>
    </row>
    <row r="570" spans="1:19" x14ac:dyDescent="0.35">
      <c r="D570" s="71">
        <v>0.93141159671095985</v>
      </c>
      <c r="E570" s="69">
        <v>62.772206002349321</v>
      </c>
      <c r="F570" s="72" t="s">
        <v>129</v>
      </c>
      <c r="G570" s="35">
        <v>33</v>
      </c>
      <c r="H570" s="1" t="s">
        <v>693</v>
      </c>
      <c r="I570" s="35">
        <v>13</v>
      </c>
      <c r="J570" s="46">
        <v>8</v>
      </c>
      <c r="K570" s="11" t="s">
        <v>673</v>
      </c>
      <c r="L570" s="27">
        <v>58</v>
      </c>
      <c r="M570" s="41" t="s">
        <v>769</v>
      </c>
      <c r="N570" s="41" t="s">
        <v>2144</v>
      </c>
      <c r="Q570">
        <f t="shared" si="8"/>
        <v>0.93141159671095985</v>
      </c>
    </row>
    <row r="571" spans="1:19" x14ac:dyDescent="0.35">
      <c r="D571" s="71">
        <v>9.0490443704482857</v>
      </c>
      <c r="E571" s="69">
        <v>72.464968306822655</v>
      </c>
      <c r="F571" s="72" t="s">
        <v>129</v>
      </c>
      <c r="G571" s="35">
        <v>2</v>
      </c>
      <c r="H571" s="1" t="s">
        <v>245</v>
      </c>
      <c r="I571" s="35">
        <v>26</v>
      </c>
      <c r="J571" s="46">
        <v>20</v>
      </c>
      <c r="K571" s="11" t="s">
        <v>774</v>
      </c>
      <c r="L571" s="27">
        <v>57</v>
      </c>
      <c r="M571" s="41" t="s">
        <v>1229</v>
      </c>
      <c r="N571" s="41" t="s">
        <v>2145</v>
      </c>
      <c r="O571" s="6" t="s">
        <v>1386</v>
      </c>
      <c r="Q571">
        <f t="shared" si="8"/>
        <v>9.0490443704482857</v>
      </c>
    </row>
    <row r="572" spans="1:19" x14ac:dyDescent="0.35">
      <c r="D572" s="71">
        <v>-6.6683819546673129E-2</v>
      </c>
      <c r="E572" s="69">
        <v>59.869059871104767</v>
      </c>
      <c r="F572" s="72" t="s">
        <v>231</v>
      </c>
      <c r="G572" s="35">
        <v>54</v>
      </c>
      <c r="H572" s="1" t="s">
        <v>629</v>
      </c>
      <c r="I572" s="35">
        <v>19</v>
      </c>
      <c r="J572" s="46">
        <v>15</v>
      </c>
      <c r="K572" s="11" t="s">
        <v>676</v>
      </c>
      <c r="L572" s="27">
        <v>46</v>
      </c>
      <c r="M572" s="41" t="s">
        <v>866</v>
      </c>
      <c r="N572" s="41" t="s">
        <v>2146</v>
      </c>
      <c r="Q572">
        <f t="shared" si="8"/>
        <v>6.6683819546673129E-2</v>
      </c>
    </row>
    <row r="573" spans="1:19" x14ac:dyDescent="0.35">
      <c r="D573" s="71">
        <v>1.3386147227298237</v>
      </c>
      <c r="E573" s="69">
        <v>57.258132340907267</v>
      </c>
      <c r="F573" s="72" t="s">
        <v>231</v>
      </c>
      <c r="G573" s="35">
        <v>53</v>
      </c>
      <c r="H573" s="1" t="s">
        <v>772</v>
      </c>
      <c r="I573" s="35">
        <v>16</v>
      </c>
      <c r="J573" s="46">
        <v>13</v>
      </c>
      <c r="K573" s="11" t="s">
        <v>785</v>
      </c>
      <c r="L573" s="27">
        <v>51</v>
      </c>
      <c r="M573" s="41" t="s">
        <v>705</v>
      </c>
      <c r="N573" s="41" t="s">
        <v>2147</v>
      </c>
      <c r="Q573">
        <f t="shared" si="8"/>
        <v>1.3386147227298237</v>
      </c>
    </row>
    <row r="574" spans="1:19" x14ac:dyDescent="0.35">
      <c r="D574" s="71">
        <v>-2.6609288778024012</v>
      </c>
      <c r="E574" s="69">
        <v>65.739949198430295</v>
      </c>
      <c r="F574" s="72" t="s">
        <v>129</v>
      </c>
      <c r="G574" s="35">
        <v>52</v>
      </c>
      <c r="H574" s="1" t="s">
        <v>630</v>
      </c>
      <c r="I574" s="35">
        <v>15</v>
      </c>
      <c r="J574" s="46">
        <v>12</v>
      </c>
      <c r="K574" s="11" t="s">
        <v>660</v>
      </c>
      <c r="L574" s="27">
        <v>38</v>
      </c>
      <c r="M574" s="41" t="s">
        <v>721</v>
      </c>
      <c r="N574" s="41" t="s">
        <v>2148</v>
      </c>
      <c r="Q574">
        <f t="shared" si="8"/>
        <v>2.6609288778024012</v>
      </c>
    </row>
    <row r="575" spans="1:19" x14ac:dyDescent="0.35">
      <c r="D575" s="71">
        <v>1.7593528024103691</v>
      </c>
      <c r="E575" s="69">
        <v>64.591533712564015</v>
      </c>
      <c r="F575" s="72" t="s">
        <v>231</v>
      </c>
      <c r="G575" s="35">
        <v>35</v>
      </c>
      <c r="H575" s="1" t="s">
        <v>780</v>
      </c>
      <c r="I575" s="35">
        <v>22</v>
      </c>
      <c r="J575" s="46">
        <v>12</v>
      </c>
      <c r="K575" s="11" t="s">
        <v>679</v>
      </c>
      <c r="L575" s="27">
        <v>50</v>
      </c>
      <c r="M575" s="41" t="s">
        <v>789</v>
      </c>
      <c r="N575" s="41" t="s">
        <v>2149</v>
      </c>
      <c r="Q575">
        <f t="shared" si="8"/>
        <v>1.7593528024103691</v>
      </c>
    </row>
    <row r="576" spans="1:19" x14ac:dyDescent="0.35">
      <c r="D576" s="71">
        <v>-1.0968376992759044</v>
      </c>
      <c r="E576" s="69">
        <v>76.497741213768506</v>
      </c>
      <c r="F576" s="72" t="s">
        <v>231</v>
      </c>
      <c r="G576" s="35">
        <v>47</v>
      </c>
      <c r="H576" s="1" t="s">
        <v>753</v>
      </c>
      <c r="I576" s="35">
        <v>28</v>
      </c>
      <c r="J576" s="46">
        <v>15</v>
      </c>
      <c r="K576" s="11" t="s">
        <v>746</v>
      </c>
      <c r="L576" s="27">
        <v>21</v>
      </c>
      <c r="M576" s="41" t="s">
        <v>1188</v>
      </c>
      <c r="N576" s="43" t="s">
        <v>2150</v>
      </c>
      <c r="O576" s="1" t="s">
        <v>1390</v>
      </c>
      <c r="Q576">
        <f t="shared" si="8"/>
        <v>1.0968376992759044</v>
      </c>
    </row>
    <row r="577" spans="1:17" x14ac:dyDescent="0.35">
      <c r="D577" s="71">
        <v>1.134096369517432</v>
      </c>
      <c r="E577" s="69">
        <v>64.636359736058978</v>
      </c>
      <c r="F577" s="72" t="s">
        <v>231</v>
      </c>
      <c r="G577" s="35">
        <v>42</v>
      </c>
      <c r="H577" s="1" t="s">
        <v>632</v>
      </c>
      <c r="I577" s="35">
        <v>24</v>
      </c>
      <c r="J577" s="46">
        <v>19</v>
      </c>
      <c r="K577" s="11" t="s">
        <v>646</v>
      </c>
      <c r="L577" s="27">
        <v>44</v>
      </c>
      <c r="M577" s="41" t="s">
        <v>1219</v>
      </c>
      <c r="N577" s="41" t="s">
        <v>2151</v>
      </c>
      <c r="Q577">
        <f t="shared" si="8"/>
        <v>1.134096369517432</v>
      </c>
    </row>
    <row r="578" spans="1:17" x14ac:dyDescent="0.35">
      <c r="D578" s="71">
        <v>-2.0437896391502379</v>
      </c>
      <c r="E578" s="69">
        <v>73.080652747405168</v>
      </c>
      <c r="F578" s="72" t="s">
        <v>129</v>
      </c>
      <c r="G578" s="35">
        <v>41</v>
      </c>
      <c r="H578" s="1" t="s">
        <v>667</v>
      </c>
      <c r="I578" s="35">
        <v>18</v>
      </c>
      <c r="J578" s="46">
        <v>17</v>
      </c>
      <c r="K578" s="11" t="s">
        <v>671</v>
      </c>
      <c r="L578" s="27">
        <v>31</v>
      </c>
      <c r="M578" s="41" t="s">
        <v>907</v>
      </c>
      <c r="N578" s="41" t="s">
        <v>2152</v>
      </c>
      <c r="P578" t="s">
        <v>2153</v>
      </c>
      <c r="Q578">
        <f t="shared" si="8"/>
        <v>2.0437896391502379</v>
      </c>
    </row>
    <row r="579" spans="1:17" x14ac:dyDescent="0.35">
      <c r="D579" s="71">
        <v>5.5407968659343219</v>
      </c>
      <c r="E579" s="69">
        <v>77.470859381475492</v>
      </c>
      <c r="F579" s="72" t="s">
        <v>231</v>
      </c>
      <c r="G579" s="35">
        <v>12</v>
      </c>
      <c r="H579" s="1" t="s">
        <v>647</v>
      </c>
      <c r="I579" s="35">
        <v>15</v>
      </c>
      <c r="J579" s="46">
        <v>7</v>
      </c>
      <c r="K579" s="11" t="s">
        <v>681</v>
      </c>
      <c r="L579" s="27">
        <v>40</v>
      </c>
      <c r="M579" s="41" t="s">
        <v>707</v>
      </c>
      <c r="N579" s="41" t="s">
        <v>2154</v>
      </c>
      <c r="Q579">
        <f t="shared" ref="Q579:Q642" si="9">ABS(D579)</f>
        <v>5.5407968659343219</v>
      </c>
    </row>
    <row r="580" spans="1:17" x14ac:dyDescent="0.35">
      <c r="D580" s="71">
        <v>1.6025106243002831</v>
      </c>
      <c r="E580" s="69">
        <v>68.721420982642655</v>
      </c>
      <c r="F580" s="72" t="s">
        <v>231</v>
      </c>
      <c r="G580" s="35">
        <v>36</v>
      </c>
      <c r="H580" s="1" t="s">
        <v>783</v>
      </c>
      <c r="I580" s="35">
        <v>18</v>
      </c>
      <c r="J580" s="46">
        <v>15</v>
      </c>
      <c r="K580" s="11" t="s">
        <v>1160</v>
      </c>
      <c r="L580" s="27">
        <v>39</v>
      </c>
      <c r="M580" s="41" t="s">
        <v>806</v>
      </c>
      <c r="N580" s="41" t="s">
        <v>2155</v>
      </c>
      <c r="Q580">
        <f t="shared" si="9"/>
        <v>1.6025106243002831</v>
      </c>
    </row>
    <row r="581" spans="1:17" x14ac:dyDescent="0.35">
      <c r="D581" s="71">
        <v>5.9797680723572508</v>
      </c>
      <c r="E581" s="69">
        <v>81.443022805459108</v>
      </c>
      <c r="F581" s="72" t="s">
        <v>231</v>
      </c>
      <c r="G581" s="35">
        <v>10</v>
      </c>
      <c r="H581" s="1" t="s">
        <v>747</v>
      </c>
      <c r="I581" s="35">
        <v>18</v>
      </c>
      <c r="J581" s="46">
        <v>11</v>
      </c>
      <c r="K581" s="11" t="s">
        <v>666</v>
      </c>
      <c r="L581" s="27">
        <v>30</v>
      </c>
      <c r="M581" s="41" t="s">
        <v>769</v>
      </c>
      <c r="N581" s="41" t="s">
        <v>2156</v>
      </c>
      <c r="Q581">
        <f t="shared" si="9"/>
        <v>5.9797680723572508</v>
      </c>
    </row>
    <row r="582" spans="1:17" x14ac:dyDescent="0.35">
      <c r="D582" s="71">
        <v>5.6423299658314088</v>
      </c>
      <c r="E582" s="69">
        <v>84.541192881548994</v>
      </c>
      <c r="F582" s="72" t="s">
        <v>231</v>
      </c>
      <c r="G582" s="35">
        <v>6</v>
      </c>
      <c r="H582" s="1" t="s">
        <v>468</v>
      </c>
      <c r="I582" s="35">
        <v>25</v>
      </c>
      <c r="J582" s="46">
        <v>7</v>
      </c>
      <c r="K582" s="11" t="s">
        <v>731</v>
      </c>
      <c r="L582" s="27">
        <v>26</v>
      </c>
      <c r="M582" s="41" t="s">
        <v>789</v>
      </c>
      <c r="N582" s="43" t="s">
        <v>2157</v>
      </c>
      <c r="O582" s="1" t="s">
        <v>1390</v>
      </c>
      <c r="Q582">
        <f t="shared" si="9"/>
        <v>5.6423299658314088</v>
      </c>
    </row>
    <row r="583" spans="1:17" x14ac:dyDescent="0.35">
      <c r="D583" s="71">
        <v>-4.3969821701375551</v>
      </c>
      <c r="E583" s="69">
        <v>93.140701550098257</v>
      </c>
      <c r="F583" s="72" t="s">
        <v>129</v>
      </c>
      <c r="G583" s="35">
        <v>24</v>
      </c>
      <c r="H583" s="1" t="s">
        <v>758</v>
      </c>
      <c r="I583" s="35">
        <v>15</v>
      </c>
      <c r="J583" s="46">
        <v>12</v>
      </c>
      <c r="K583" s="11" t="s">
        <v>334</v>
      </c>
      <c r="L583" s="27">
        <v>8</v>
      </c>
      <c r="M583" s="41" t="s">
        <v>789</v>
      </c>
      <c r="N583" s="41" t="s">
        <v>2158</v>
      </c>
      <c r="P583" s="70" t="s">
        <v>2159</v>
      </c>
      <c r="Q583">
        <f t="shared" si="9"/>
        <v>4.3969821701375551</v>
      </c>
    </row>
    <row r="584" spans="1:17" x14ac:dyDescent="0.35">
      <c r="D584" s="71">
        <v>4.4119946276162523</v>
      </c>
      <c r="E584" s="69">
        <v>91.536075265988387</v>
      </c>
      <c r="F584" s="72" t="s">
        <v>231</v>
      </c>
      <c r="G584" s="35">
        <v>3</v>
      </c>
      <c r="H584" s="1" t="s">
        <v>466</v>
      </c>
      <c r="I584" s="35">
        <v>26</v>
      </c>
      <c r="J584" s="46">
        <v>12</v>
      </c>
      <c r="K584" s="11" t="s">
        <v>642</v>
      </c>
      <c r="L584" s="27">
        <v>14</v>
      </c>
      <c r="M584" s="41" t="s">
        <v>699</v>
      </c>
      <c r="N584" s="43" t="s">
        <v>2160</v>
      </c>
      <c r="O584" s="1" t="s">
        <v>1390</v>
      </c>
      <c r="Q584">
        <f t="shared" si="9"/>
        <v>4.4119946276162523</v>
      </c>
    </row>
    <row r="585" spans="1:17" ht="15" thickBot="1" x14ac:dyDescent="0.4">
      <c r="C585" s="51"/>
      <c r="D585" s="75">
        <v>-4.2124972793619602</v>
      </c>
      <c r="E585" s="87">
        <v>101.13392662811569</v>
      </c>
      <c r="F585" s="49" t="s">
        <v>129</v>
      </c>
      <c r="G585" s="49">
        <v>5</v>
      </c>
      <c r="H585" s="45" t="s">
        <v>328</v>
      </c>
      <c r="I585" s="49">
        <v>21</v>
      </c>
      <c r="J585" s="50">
        <v>16</v>
      </c>
      <c r="K585" s="51" t="s">
        <v>242</v>
      </c>
      <c r="L585" s="77">
        <v>1</v>
      </c>
      <c r="M585" s="42" t="s">
        <v>823</v>
      </c>
      <c r="N585" s="42" t="s">
        <v>2161</v>
      </c>
      <c r="O585" s="78"/>
      <c r="P585" s="78" t="s">
        <v>1194</v>
      </c>
      <c r="Q585">
        <f t="shared" si="9"/>
        <v>4.2124972793619602</v>
      </c>
    </row>
    <row r="586" spans="1:17" x14ac:dyDescent="0.35">
      <c r="A586" s="2" t="s">
        <v>2162</v>
      </c>
      <c r="B586" s="103" t="s">
        <v>1113</v>
      </c>
      <c r="C586" s="54" t="s">
        <v>3437</v>
      </c>
      <c r="D586" s="71">
        <v>6.6987026373724241</v>
      </c>
      <c r="E586" s="69">
        <v>88.381191161689159</v>
      </c>
      <c r="F586" s="72" t="s">
        <v>231</v>
      </c>
      <c r="G586" s="35">
        <v>1</v>
      </c>
      <c r="H586" s="1" t="s">
        <v>245</v>
      </c>
      <c r="I586" s="35">
        <v>19</v>
      </c>
      <c r="J586" s="46">
        <v>11</v>
      </c>
      <c r="K586" s="11" t="s">
        <v>670</v>
      </c>
      <c r="L586" s="27">
        <v>25</v>
      </c>
      <c r="M586" s="41" t="s">
        <v>769</v>
      </c>
      <c r="N586" s="41" t="s">
        <v>2163</v>
      </c>
      <c r="Q586">
        <f t="shared" si="9"/>
        <v>6.6987026373724241</v>
      </c>
    </row>
    <row r="587" spans="1:17" x14ac:dyDescent="0.35">
      <c r="C587" s="54" t="s">
        <v>3437</v>
      </c>
      <c r="D587" s="71">
        <v>12.243550084110737</v>
      </c>
      <c r="E587" s="69">
        <v>55.164860660214529</v>
      </c>
      <c r="F587" s="72" t="s">
        <v>231</v>
      </c>
      <c r="G587" s="35">
        <v>11</v>
      </c>
      <c r="H587" s="1" t="s">
        <v>704</v>
      </c>
      <c r="I587" s="35">
        <v>27</v>
      </c>
      <c r="J587" s="46">
        <v>21</v>
      </c>
      <c r="K587" s="11" t="s">
        <v>734</v>
      </c>
      <c r="L587" s="27">
        <v>104</v>
      </c>
      <c r="M587" s="41" t="s">
        <v>2166</v>
      </c>
      <c r="N587" s="41" t="s">
        <v>2167</v>
      </c>
      <c r="P587" s="70" t="s">
        <v>1591</v>
      </c>
      <c r="Q587">
        <f t="shared" si="9"/>
        <v>12.243550084110737</v>
      </c>
    </row>
    <row r="588" spans="1:17" x14ac:dyDescent="0.35">
      <c r="C588" s="54" t="s">
        <v>3437</v>
      </c>
      <c r="D588" s="71">
        <v>4.1732343022336371</v>
      </c>
      <c r="E588" s="69">
        <v>88.598456519992666</v>
      </c>
      <c r="F588" s="72" t="s">
        <v>231</v>
      </c>
      <c r="G588" s="35">
        <v>10</v>
      </c>
      <c r="H588" s="1" t="s">
        <v>647</v>
      </c>
      <c r="I588" s="35">
        <v>12</v>
      </c>
      <c r="J588" s="46">
        <v>11</v>
      </c>
      <c r="K588" s="11" t="s">
        <v>467</v>
      </c>
      <c r="L588" s="27">
        <v>21</v>
      </c>
      <c r="M588" s="41" t="s">
        <v>707</v>
      </c>
      <c r="N588" s="41" t="s">
        <v>2171</v>
      </c>
      <c r="O588" s="6" t="s">
        <v>1386</v>
      </c>
      <c r="Q588">
        <f t="shared" si="9"/>
        <v>4.1732343022336371</v>
      </c>
    </row>
    <row r="589" spans="1:17" x14ac:dyDescent="0.35">
      <c r="C589" s="54" t="s">
        <v>3437</v>
      </c>
      <c r="D589" s="71">
        <v>9.0538959400735681</v>
      </c>
      <c r="E589" s="69">
        <v>43.916245467095571</v>
      </c>
      <c r="F589" s="72" t="s">
        <v>231</v>
      </c>
      <c r="G589" s="35">
        <v>39</v>
      </c>
      <c r="H589" s="1" t="s">
        <v>755</v>
      </c>
      <c r="I589" s="35">
        <v>27</v>
      </c>
      <c r="J589" s="46">
        <v>15</v>
      </c>
      <c r="K589" s="11" t="s">
        <v>720</v>
      </c>
      <c r="L589" s="27">
        <v>100</v>
      </c>
      <c r="M589" s="41" t="s">
        <v>987</v>
      </c>
      <c r="N589" s="41" t="s">
        <v>2174</v>
      </c>
      <c r="Q589">
        <f t="shared" si="9"/>
        <v>9.0538959400735681</v>
      </c>
    </row>
    <row r="590" spans="1:17" x14ac:dyDescent="0.35">
      <c r="A590" s="2" t="s">
        <v>2170</v>
      </c>
      <c r="C590" s="54" t="s">
        <v>3437</v>
      </c>
      <c r="D590" s="71">
        <v>5.5340202110048802</v>
      </c>
      <c r="E590" s="69">
        <v>44.009379864354003</v>
      </c>
      <c r="F590" s="72" t="s">
        <v>231</v>
      </c>
      <c r="G590" s="35">
        <v>55</v>
      </c>
      <c r="H590" s="1" t="s">
        <v>785</v>
      </c>
      <c r="I590" s="35">
        <v>26</v>
      </c>
      <c r="J590" s="46">
        <v>17</v>
      </c>
      <c r="K590" s="11" t="s">
        <v>767</v>
      </c>
      <c r="L590" s="27">
        <v>90</v>
      </c>
      <c r="M590" s="41" t="s">
        <v>786</v>
      </c>
      <c r="N590" s="41" t="s">
        <v>2178</v>
      </c>
      <c r="Q590">
        <f t="shared" si="9"/>
        <v>5.5340202110048802</v>
      </c>
    </row>
    <row r="591" spans="1:17" x14ac:dyDescent="0.35">
      <c r="C591" s="54" t="s">
        <v>3437</v>
      </c>
      <c r="D591" s="71">
        <v>5.8772936433147311</v>
      </c>
      <c r="E591" s="69">
        <v>31.132454086440532</v>
      </c>
      <c r="F591" s="72" t="s">
        <v>231</v>
      </c>
      <c r="G591" s="35">
        <v>63</v>
      </c>
      <c r="H591" s="1" t="s">
        <v>665</v>
      </c>
      <c r="I591" s="35">
        <v>18</v>
      </c>
      <c r="J591" s="46">
        <v>9</v>
      </c>
      <c r="K591" s="11" t="s">
        <v>638</v>
      </c>
      <c r="L591" s="27">
        <v>99</v>
      </c>
      <c r="M591" s="41" t="s">
        <v>839</v>
      </c>
      <c r="N591" s="41" t="s">
        <v>2181</v>
      </c>
      <c r="Q591">
        <f t="shared" si="9"/>
        <v>5.8772936433147311</v>
      </c>
    </row>
    <row r="592" spans="1:17" x14ac:dyDescent="0.35">
      <c r="C592" s="54" t="s">
        <v>3437</v>
      </c>
      <c r="D592" s="71">
        <v>3.249154197498854</v>
      </c>
      <c r="E592" s="69">
        <v>68.259472301607886</v>
      </c>
      <c r="F592" s="72" t="s">
        <v>231</v>
      </c>
      <c r="G592" s="35">
        <v>28</v>
      </c>
      <c r="H592" s="1" t="s">
        <v>750</v>
      </c>
      <c r="I592" s="35">
        <v>13</v>
      </c>
      <c r="J592" s="46">
        <v>12</v>
      </c>
      <c r="K592" s="11" t="s">
        <v>681</v>
      </c>
      <c r="L592" s="27">
        <v>54</v>
      </c>
      <c r="M592" s="41" t="s">
        <v>826</v>
      </c>
      <c r="N592" s="41" t="s">
        <v>2184</v>
      </c>
      <c r="Q592">
        <f t="shared" si="9"/>
        <v>3.249154197498854</v>
      </c>
    </row>
    <row r="593" spans="1:17" x14ac:dyDescent="0.35">
      <c r="C593" s="54" t="s">
        <v>3437</v>
      </c>
      <c r="D593" s="71">
        <v>5.9510797923571825</v>
      </c>
      <c r="E593" s="69">
        <v>82.995734419198953</v>
      </c>
      <c r="F593" s="72" t="s">
        <v>231</v>
      </c>
      <c r="G593" s="35">
        <v>9</v>
      </c>
      <c r="H593" s="1" t="s">
        <v>644</v>
      </c>
      <c r="I593" s="35">
        <v>25</v>
      </c>
      <c r="J593" s="46">
        <v>22</v>
      </c>
      <c r="K593" s="11" t="s">
        <v>671</v>
      </c>
      <c r="L593" s="27">
        <v>32</v>
      </c>
      <c r="M593" s="41" t="s">
        <v>915</v>
      </c>
      <c r="N593" s="41" t="s">
        <v>2187</v>
      </c>
      <c r="Q593">
        <f t="shared" si="9"/>
        <v>5.9510797923571825</v>
      </c>
    </row>
    <row r="594" spans="1:17" x14ac:dyDescent="0.35">
      <c r="A594" s="2" t="s">
        <v>2177</v>
      </c>
      <c r="C594" s="54" t="s">
        <v>3437</v>
      </c>
      <c r="D594" s="71">
        <v>-7.8960504648274608</v>
      </c>
      <c r="E594" s="69">
        <v>91.897461013103367</v>
      </c>
      <c r="F594" s="72" t="s">
        <v>129</v>
      </c>
      <c r="G594" s="35">
        <v>38</v>
      </c>
      <c r="H594" s="1" t="s">
        <v>731</v>
      </c>
      <c r="I594" s="35">
        <v>23</v>
      </c>
      <c r="J594" s="46">
        <v>19</v>
      </c>
      <c r="K594" s="11" t="s">
        <v>242</v>
      </c>
      <c r="L594" s="27">
        <v>3</v>
      </c>
      <c r="M594" s="41" t="s">
        <v>790</v>
      </c>
      <c r="N594" s="41" t="s">
        <v>2190</v>
      </c>
      <c r="P594" s="70" t="s">
        <v>2191</v>
      </c>
      <c r="Q594">
        <f t="shared" si="9"/>
        <v>7.8960504648274608</v>
      </c>
    </row>
    <row r="595" spans="1:17" x14ac:dyDescent="0.35">
      <c r="C595" s="54" t="s">
        <v>3437</v>
      </c>
      <c r="D595" s="71">
        <v>0.97770458689372752</v>
      </c>
      <c r="E595" s="69">
        <v>60.679511336996896</v>
      </c>
      <c r="F595" s="72" t="s">
        <v>129</v>
      </c>
      <c r="G595" s="35">
        <v>43</v>
      </c>
      <c r="H595" s="1" t="s">
        <v>746</v>
      </c>
      <c r="I595" s="35">
        <v>13</v>
      </c>
      <c r="J595" s="46">
        <v>9</v>
      </c>
      <c r="K595" s="11" t="s">
        <v>768</v>
      </c>
      <c r="L595" s="27">
        <v>64</v>
      </c>
      <c r="M595" s="41" t="s">
        <v>714</v>
      </c>
      <c r="N595" s="41" t="s">
        <v>2194</v>
      </c>
      <c r="Q595">
        <f t="shared" si="9"/>
        <v>0.97770458689372752</v>
      </c>
    </row>
    <row r="596" spans="1:17" x14ac:dyDescent="0.35">
      <c r="C596" s="54" t="s">
        <v>3437</v>
      </c>
      <c r="D596" s="71">
        <v>2.2181856510215727</v>
      </c>
      <c r="E596" s="69">
        <v>96.042773510057572</v>
      </c>
      <c r="F596" s="72" t="s">
        <v>231</v>
      </c>
      <c r="G596" s="35">
        <v>4</v>
      </c>
      <c r="H596" s="1" t="s">
        <v>468</v>
      </c>
      <c r="I596" s="35">
        <v>28</v>
      </c>
      <c r="J596" s="46">
        <v>2</v>
      </c>
      <c r="K596" s="11" t="s">
        <v>328</v>
      </c>
      <c r="L596" s="27">
        <v>5</v>
      </c>
      <c r="M596" s="41" t="s">
        <v>2197</v>
      </c>
      <c r="N596" s="43" t="s">
        <v>2198</v>
      </c>
      <c r="O596" s="1" t="s">
        <v>1390</v>
      </c>
      <c r="P596" s="68" t="s">
        <v>2199</v>
      </c>
      <c r="Q596">
        <f t="shared" si="9"/>
        <v>2.2181856510215727</v>
      </c>
    </row>
    <row r="597" spans="1:17" x14ac:dyDescent="0.35">
      <c r="C597" s="54" t="s">
        <v>3437</v>
      </c>
      <c r="D597" s="71">
        <v>3.2218213714280197</v>
      </c>
      <c r="E597" s="69">
        <v>68.638650546939147</v>
      </c>
      <c r="F597" s="72" t="s">
        <v>231</v>
      </c>
      <c r="G597" s="35">
        <v>31</v>
      </c>
      <c r="H597" s="1" t="s">
        <v>783</v>
      </c>
      <c r="I597" s="35">
        <v>17</v>
      </c>
      <c r="J597" s="46">
        <v>11</v>
      </c>
      <c r="K597" s="11" t="s">
        <v>713</v>
      </c>
      <c r="L597" s="27">
        <v>50</v>
      </c>
      <c r="M597" s="41" t="s">
        <v>910</v>
      </c>
      <c r="N597" s="41" t="s">
        <v>2202</v>
      </c>
      <c r="Q597">
        <f t="shared" si="9"/>
        <v>3.2218213714280197</v>
      </c>
    </row>
    <row r="598" spans="1:17" x14ac:dyDescent="0.35">
      <c r="C598" s="54" t="s">
        <v>3437</v>
      </c>
      <c r="D598" s="71">
        <v>9.3038568417244694</v>
      </c>
      <c r="E598" s="69">
        <v>63.161806316034273</v>
      </c>
      <c r="F598" s="72" t="s">
        <v>129</v>
      </c>
      <c r="G598" s="35">
        <v>8</v>
      </c>
      <c r="H598" s="1" t="s">
        <v>643</v>
      </c>
      <c r="I598" s="35">
        <v>25</v>
      </c>
      <c r="J598" s="46">
        <v>5</v>
      </c>
      <c r="K598" s="11" t="s">
        <v>636</v>
      </c>
      <c r="L598" s="27">
        <v>88</v>
      </c>
      <c r="M598" s="41" t="s">
        <v>905</v>
      </c>
      <c r="N598" s="43" t="s">
        <v>2205</v>
      </c>
      <c r="O598" s="1" t="s">
        <v>1390</v>
      </c>
      <c r="Q598">
        <f t="shared" si="9"/>
        <v>9.3038568417244694</v>
      </c>
    </row>
    <row r="599" spans="1:17" x14ac:dyDescent="0.35">
      <c r="C599" s="54" t="s">
        <v>3437</v>
      </c>
      <c r="D599" s="71">
        <v>11.137670473977582</v>
      </c>
      <c r="E599" s="69">
        <v>62.625783266728696</v>
      </c>
      <c r="F599" s="72" t="s">
        <v>231</v>
      </c>
      <c r="G599" s="35">
        <v>12</v>
      </c>
      <c r="H599" s="1" t="s">
        <v>747</v>
      </c>
      <c r="I599" s="35">
        <v>36</v>
      </c>
      <c r="J599" s="46">
        <v>9</v>
      </c>
      <c r="K599" s="11" t="s">
        <v>1157</v>
      </c>
      <c r="L599" s="27">
        <v>82</v>
      </c>
      <c r="M599" s="41" t="s">
        <v>820</v>
      </c>
      <c r="N599" s="43" t="s">
        <v>2208</v>
      </c>
      <c r="O599" s="1" t="s">
        <v>1390</v>
      </c>
      <c r="P599" s="70" t="s">
        <v>2209</v>
      </c>
      <c r="Q599">
        <f t="shared" si="9"/>
        <v>11.137670473977582</v>
      </c>
    </row>
    <row r="600" spans="1:17" x14ac:dyDescent="0.35">
      <c r="C600" s="54" t="s">
        <v>3437</v>
      </c>
      <c r="D600" s="71">
        <v>6.8277494003169306</v>
      </c>
      <c r="E600" s="69">
        <v>84.039303956939122</v>
      </c>
      <c r="F600" s="72" t="s">
        <v>231</v>
      </c>
      <c r="G600" s="35">
        <v>6</v>
      </c>
      <c r="H600" s="1" t="s">
        <v>718</v>
      </c>
      <c r="I600" s="35">
        <v>21</v>
      </c>
      <c r="J600" s="46">
        <v>17</v>
      </c>
      <c r="K600" s="11" t="s">
        <v>663</v>
      </c>
      <c r="L600" s="27">
        <v>30</v>
      </c>
      <c r="M600" s="41" t="s">
        <v>910</v>
      </c>
      <c r="N600" s="41" t="s">
        <v>2212</v>
      </c>
      <c r="Q600">
        <f t="shared" si="9"/>
        <v>6.8277494003169306</v>
      </c>
    </row>
    <row r="601" spans="1:17" x14ac:dyDescent="0.35">
      <c r="C601" s="54" t="s">
        <v>3437</v>
      </c>
      <c r="D601" s="71">
        <v>3.4337070627792987</v>
      </c>
      <c r="E601" s="69">
        <v>54.038152602499025</v>
      </c>
      <c r="F601" s="72" t="s">
        <v>129</v>
      </c>
      <c r="G601" s="35">
        <v>41</v>
      </c>
      <c r="H601" s="1" t="s">
        <v>632</v>
      </c>
      <c r="I601" s="35">
        <v>20</v>
      </c>
      <c r="J601" s="46">
        <v>1</v>
      </c>
      <c r="K601" s="11" t="s">
        <v>1164</v>
      </c>
      <c r="L601" s="27">
        <v>80</v>
      </c>
      <c r="M601" s="41" t="s">
        <v>2215</v>
      </c>
      <c r="N601" s="43" t="s">
        <v>2216</v>
      </c>
      <c r="O601" s="1" t="s">
        <v>1390</v>
      </c>
      <c r="Q601">
        <f t="shared" si="9"/>
        <v>3.4337070627792987</v>
      </c>
    </row>
    <row r="602" spans="1:17" x14ac:dyDescent="0.35">
      <c r="B602" s="103" t="s">
        <v>1114</v>
      </c>
      <c r="C602" s="54" t="s">
        <v>3438</v>
      </c>
      <c r="D602" s="71">
        <v>-3.9209248595946469</v>
      </c>
      <c r="E602" s="69">
        <v>95.208094552596549</v>
      </c>
      <c r="F602" s="72" t="s">
        <v>231</v>
      </c>
      <c r="G602" s="35">
        <v>25</v>
      </c>
      <c r="H602" s="1" t="s">
        <v>670</v>
      </c>
      <c r="I602" s="35">
        <v>23</v>
      </c>
      <c r="J602" s="46">
        <v>20</v>
      </c>
      <c r="K602" s="11" t="s">
        <v>245</v>
      </c>
      <c r="L602" s="27">
        <v>1</v>
      </c>
      <c r="M602" s="41" t="s">
        <v>1471</v>
      </c>
      <c r="N602" s="41" t="s">
        <v>2164</v>
      </c>
      <c r="P602" s="70" t="s">
        <v>2165</v>
      </c>
      <c r="Q602">
        <f t="shared" si="9"/>
        <v>3.9209248595946469</v>
      </c>
    </row>
    <row r="603" spans="1:17" x14ac:dyDescent="0.35">
      <c r="C603" s="54" t="s">
        <v>3438</v>
      </c>
      <c r="D603" s="71">
        <v>9.618550084110737</v>
      </c>
      <c r="E603" s="69">
        <v>56.852360660214529</v>
      </c>
      <c r="F603" s="72" t="s">
        <v>129</v>
      </c>
      <c r="G603" s="35">
        <v>11</v>
      </c>
      <c r="H603" s="1" t="s">
        <v>704</v>
      </c>
      <c r="I603" s="35">
        <v>17</v>
      </c>
      <c r="J603" s="46">
        <v>9</v>
      </c>
      <c r="K603" s="11" t="s">
        <v>734</v>
      </c>
      <c r="L603" s="27">
        <v>104</v>
      </c>
      <c r="M603" s="41" t="s">
        <v>955</v>
      </c>
      <c r="N603" s="41" t="s">
        <v>2168</v>
      </c>
      <c r="P603" s="70" t="s">
        <v>2169</v>
      </c>
      <c r="Q603">
        <f t="shared" si="9"/>
        <v>9.618550084110737</v>
      </c>
    </row>
    <row r="604" spans="1:17" x14ac:dyDescent="0.35">
      <c r="C604" s="54" t="s">
        <v>3438</v>
      </c>
      <c r="D604" s="71">
        <v>-1.7232343022336374</v>
      </c>
      <c r="E604" s="69">
        <v>92.389043480007331</v>
      </c>
      <c r="F604" s="72" t="s">
        <v>231</v>
      </c>
      <c r="G604" s="35">
        <v>21</v>
      </c>
      <c r="H604" s="1" t="s">
        <v>467</v>
      </c>
      <c r="I604" s="35">
        <v>16</v>
      </c>
      <c r="J604" s="46">
        <v>13</v>
      </c>
      <c r="K604" s="11" t="s">
        <v>647</v>
      </c>
      <c r="L604" s="27">
        <v>10</v>
      </c>
      <c r="M604" s="41" t="s">
        <v>773</v>
      </c>
      <c r="N604" s="41" t="s">
        <v>2172</v>
      </c>
      <c r="P604" s="70" t="s">
        <v>2173</v>
      </c>
      <c r="Q604">
        <f t="shared" si="9"/>
        <v>1.7232343022336374</v>
      </c>
    </row>
    <row r="605" spans="1:17" x14ac:dyDescent="0.35">
      <c r="C605" s="54" t="s">
        <v>3438</v>
      </c>
      <c r="D605" s="71">
        <v>-6.4844514956291235</v>
      </c>
      <c r="E605" s="69">
        <v>53.905183104333013</v>
      </c>
      <c r="F605" s="72" t="s">
        <v>231</v>
      </c>
      <c r="G605" s="35">
        <v>100</v>
      </c>
      <c r="H605" s="1" t="s">
        <v>720</v>
      </c>
      <c r="I605" s="35">
        <v>15</v>
      </c>
      <c r="J605" s="46">
        <v>14</v>
      </c>
      <c r="K605" s="11" t="s">
        <v>755</v>
      </c>
      <c r="L605" s="27">
        <v>39</v>
      </c>
      <c r="M605" s="41" t="s">
        <v>724</v>
      </c>
      <c r="N605" s="41" t="s">
        <v>2175</v>
      </c>
      <c r="P605" s="70" t="s">
        <v>2176</v>
      </c>
      <c r="Q605">
        <f t="shared" si="9"/>
        <v>6.4844514956291235</v>
      </c>
    </row>
    <row r="606" spans="1:17" x14ac:dyDescent="0.35">
      <c r="C606" s="54" t="s">
        <v>3438</v>
      </c>
      <c r="D606" s="71">
        <v>2.8395757665604355</v>
      </c>
      <c r="E606" s="69">
        <v>45.741522721496878</v>
      </c>
      <c r="F606" s="72" t="s">
        <v>129</v>
      </c>
      <c r="G606" s="35">
        <v>55</v>
      </c>
      <c r="H606" s="1" t="s">
        <v>785</v>
      </c>
      <c r="I606" s="35">
        <v>21</v>
      </c>
      <c r="J606" s="46">
        <v>17</v>
      </c>
      <c r="K606" s="11" t="s">
        <v>767</v>
      </c>
      <c r="L606" s="27">
        <v>90</v>
      </c>
      <c r="M606" s="41" t="s">
        <v>831</v>
      </c>
      <c r="N606" s="41" t="s">
        <v>2179</v>
      </c>
      <c r="P606" s="70" t="s">
        <v>2180</v>
      </c>
      <c r="Q606">
        <f t="shared" si="9"/>
        <v>2.8395757665604355</v>
      </c>
    </row>
    <row r="607" spans="1:17" x14ac:dyDescent="0.35">
      <c r="C607" s="54" t="s">
        <v>3438</v>
      </c>
      <c r="D607" s="71">
        <v>2.8911825322036204</v>
      </c>
      <c r="E607" s="69">
        <v>33.0520969435834</v>
      </c>
      <c r="F607" s="72" t="s">
        <v>129</v>
      </c>
      <c r="G607" s="35">
        <v>63</v>
      </c>
      <c r="H607" s="1" t="s">
        <v>665</v>
      </c>
      <c r="I607" s="35">
        <v>13</v>
      </c>
      <c r="J607" s="46">
        <v>12</v>
      </c>
      <c r="K607" s="11" t="s">
        <v>638</v>
      </c>
      <c r="L607" s="27">
        <v>99</v>
      </c>
      <c r="M607" s="41" t="s">
        <v>955</v>
      </c>
      <c r="N607" s="41" t="s">
        <v>2182</v>
      </c>
      <c r="P607" s="70" t="s">
        <v>2183</v>
      </c>
      <c r="Q607">
        <f t="shared" si="9"/>
        <v>2.8911825322036204</v>
      </c>
    </row>
    <row r="608" spans="1:17" x14ac:dyDescent="0.35">
      <c r="C608" s="54" t="s">
        <v>3438</v>
      </c>
      <c r="D608" s="71">
        <v>-0.49915419749885437</v>
      </c>
      <c r="E608" s="69">
        <v>70.669099126963559</v>
      </c>
      <c r="F608" s="72" t="s">
        <v>231</v>
      </c>
      <c r="G608" s="35">
        <v>54</v>
      </c>
      <c r="H608" s="1" t="s">
        <v>681</v>
      </c>
      <c r="I608" s="35">
        <v>17</v>
      </c>
      <c r="J608" s="46">
        <v>8</v>
      </c>
      <c r="K608" s="11" t="s">
        <v>750</v>
      </c>
      <c r="L608" s="27">
        <v>28</v>
      </c>
      <c r="M608" s="41" t="s">
        <v>790</v>
      </c>
      <c r="N608" s="41" t="s">
        <v>2185</v>
      </c>
      <c r="P608" s="70" t="s">
        <v>2186</v>
      </c>
      <c r="Q608">
        <f t="shared" si="9"/>
        <v>0.49915419749885437</v>
      </c>
    </row>
    <row r="609" spans="1:17" x14ac:dyDescent="0.35">
      <c r="C609" s="54" t="s">
        <v>3438</v>
      </c>
      <c r="D609" s="71">
        <v>3.4510797923571825</v>
      </c>
      <c r="E609" s="69">
        <v>84.602877276341815</v>
      </c>
      <c r="F609" s="72" t="s">
        <v>129</v>
      </c>
      <c r="G609" s="35">
        <v>9</v>
      </c>
      <c r="H609" s="1" t="s">
        <v>644</v>
      </c>
      <c r="I609" s="35">
        <v>20</v>
      </c>
      <c r="J609" s="46">
        <v>16</v>
      </c>
      <c r="K609" s="11" t="s">
        <v>671</v>
      </c>
      <c r="L609" s="27">
        <v>32</v>
      </c>
      <c r="M609" s="41" t="s">
        <v>928</v>
      </c>
      <c r="N609" s="41" t="s">
        <v>2188</v>
      </c>
      <c r="P609" s="70" t="s">
        <v>2189</v>
      </c>
      <c r="Q609">
        <f t="shared" si="9"/>
        <v>3.4510797923571825</v>
      </c>
    </row>
    <row r="610" spans="1:17" x14ac:dyDescent="0.35">
      <c r="C610" s="54" t="s">
        <v>3438</v>
      </c>
      <c r="D610" s="71">
        <v>5.0488282426052375</v>
      </c>
      <c r="E610" s="69">
        <v>83.575753272610925</v>
      </c>
      <c r="F610" s="72" t="s">
        <v>129</v>
      </c>
      <c r="G610" s="35">
        <v>3</v>
      </c>
      <c r="H610" s="1" t="s">
        <v>242</v>
      </c>
      <c r="I610" s="35">
        <v>25</v>
      </c>
      <c r="J610" s="46">
        <v>17</v>
      </c>
      <c r="K610" s="11" t="s">
        <v>731</v>
      </c>
      <c r="L610" s="27">
        <v>38</v>
      </c>
      <c r="M610" s="41" t="s">
        <v>806</v>
      </c>
      <c r="N610" s="41" t="s">
        <v>2192</v>
      </c>
      <c r="P610" s="70" t="s">
        <v>2193</v>
      </c>
      <c r="Q610">
        <f t="shared" si="9"/>
        <v>5.0488282426052375</v>
      </c>
    </row>
    <row r="611" spans="1:17" x14ac:dyDescent="0.35">
      <c r="C611" s="54" t="s">
        <v>3438</v>
      </c>
      <c r="D611" s="71">
        <v>3.8499268091159498</v>
      </c>
      <c r="E611" s="69">
        <v>58.833082765568314</v>
      </c>
      <c r="F611" s="72" t="s">
        <v>231</v>
      </c>
      <c r="G611" s="35">
        <v>43</v>
      </c>
      <c r="H611" s="1" t="s">
        <v>746</v>
      </c>
      <c r="I611" s="35">
        <v>25</v>
      </c>
      <c r="J611" s="46">
        <v>16</v>
      </c>
      <c r="K611" s="11" t="s">
        <v>768</v>
      </c>
      <c r="L611" s="27">
        <v>64</v>
      </c>
      <c r="M611" s="41" t="s">
        <v>820</v>
      </c>
      <c r="N611" s="41" t="s">
        <v>2195</v>
      </c>
      <c r="P611" s="70" t="s">
        <v>2196</v>
      </c>
      <c r="Q611">
        <f t="shared" si="9"/>
        <v>3.8499268091159498</v>
      </c>
    </row>
    <row r="612" spans="1:17" x14ac:dyDescent="0.35">
      <c r="C612" s="54" t="s">
        <v>3438</v>
      </c>
      <c r="D612" s="71">
        <v>-0.83736990453398286</v>
      </c>
      <c r="E612" s="69">
        <v>98.007059224343294</v>
      </c>
      <c r="F612" s="72" t="s">
        <v>129</v>
      </c>
      <c r="G612" s="35">
        <v>4</v>
      </c>
      <c r="H612" s="1" t="s">
        <v>468</v>
      </c>
      <c r="I612" s="35">
        <v>26</v>
      </c>
      <c r="J612" s="46">
        <v>10</v>
      </c>
      <c r="K612" s="11" t="s">
        <v>328</v>
      </c>
      <c r="L612" s="27">
        <v>5</v>
      </c>
      <c r="M612" t="s">
        <v>699</v>
      </c>
      <c r="N612" s="1" t="s">
        <v>2200</v>
      </c>
      <c r="O612" s="1" t="s">
        <v>1390</v>
      </c>
      <c r="P612" s="68" t="s">
        <v>2201</v>
      </c>
      <c r="Q612">
        <f t="shared" si="9"/>
        <v>0.83736990453398286</v>
      </c>
    </row>
    <row r="613" spans="1:17" x14ac:dyDescent="0.35">
      <c r="C613" s="54" t="s">
        <v>3438</v>
      </c>
      <c r="D613" s="71">
        <v>0.59682137142801961</v>
      </c>
      <c r="E613" s="69">
        <v>70.326150546939132</v>
      </c>
      <c r="F613" s="72" t="s">
        <v>129</v>
      </c>
      <c r="G613" s="35">
        <v>31</v>
      </c>
      <c r="H613" s="1" t="s">
        <v>783</v>
      </c>
      <c r="I613" s="35">
        <v>15</v>
      </c>
      <c r="J613" s="46">
        <v>13</v>
      </c>
      <c r="K613" s="11" t="s">
        <v>713</v>
      </c>
      <c r="L613" s="27">
        <v>50</v>
      </c>
      <c r="M613" s="41" t="s">
        <v>705</v>
      </c>
      <c r="N613" s="41" t="s">
        <v>2203</v>
      </c>
      <c r="P613" s="70" t="s">
        <v>2204</v>
      </c>
      <c r="Q613">
        <f t="shared" si="9"/>
        <v>0.59682137142801961</v>
      </c>
    </row>
    <row r="614" spans="1:17" x14ac:dyDescent="0.35">
      <c r="C614" s="54" t="s">
        <v>3438</v>
      </c>
      <c r="D614" s="71">
        <v>12.637190175057803</v>
      </c>
      <c r="E614" s="69">
        <v>61.018949173177127</v>
      </c>
      <c r="F614" s="72" t="s">
        <v>231</v>
      </c>
      <c r="G614" s="35">
        <v>8</v>
      </c>
      <c r="H614" s="1" t="s">
        <v>643</v>
      </c>
      <c r="I614" s="35">
        <v>24</v>
      </c>
      <c r="J614" s="46">
        <v>15</v>
      </c>
      <c r="K614" s="11" t="s">
        <v>636</v>
      </c>
      <c r="L614" s="27">
        <v>88</v>
      </c>
      <c r="M614" s="41" t="s">
        <v>826</v>
      </c>
      <c r="N614" s="41" t="s">
        <v>2206</v>
      </c>
      <c r="P614" s="70" t="s">
        <v>2207</v>
      </c>
      <c r="Q614">
        <f t="shared" si="9"/>
        <v>12.637190175057803</v>
      </c>
    </row>
    <row r="615" spans="1:17" x14ac:dyDescent="0.35">
      <c r="C615" s="54" t="s">
        <v>3438</v>
      </c>
      <c r="D615" s="71">
        <v>8.5543371406442485</v>
      </c>
      <c r="E615" s="69">
        <v>64.286497552442981</v>
      </c>
      <c r="F615" s="72" t="s">
        <v>129</v>
      </c>
      <c r="G615" s="35">
        <v>12</v>
      </c>
      <c r="H615" s="1" t="s">
        <v>747</v>
      </c>
      <c r="I615" s="35">
        <v>30</v>
      </c>
      <c r="J615" s="46">
        <v>17</v>
      </c>
      <c r="K615" s="11" t="s">
        <v>1157</v>
      </c>
      <c r="L615" s="27">
        <v>82</v>
      </c>
      <c r="M615" s="41" t="s">
        <v>851</v>
      </c>
      <c r="N615" s="41" t="s">
        <v>2210</v>
      </c>
      <c r="P615" s="70" t="s">
        <v>2211</v>
      </c>
      <c r="Q615">
        <f t="shared" si="9"/>
        <v>8.5543371406442485</v>
      </c>
    </row>
    <row r="616" spans="1:17" x14ac:dyDescent="0.35">
      <c r="C616" s="54" t="s">
        <v>3438</v>
      </c>
      <c r="D616" s="71">
        <v>-3.8416382892058194</v>
      </c>
      <c r="E616" s="69">
        <v>90.898196043060892</v>
      </c>
      <c r="F616" s="72" t="s">
        <v>231</v>
      </c>
      <c r="G616" s="35">
        <v>30</v>
      </c>
      <c r="H616" s="1" t="s">
        <v>663</v>
      </c>
      <c r="I616" s="35">
        <v>22</v>
      </c>
      <c r="J616" s="46">
        <v>16</v>
      </c>
      <c r="K616" s="11" t="s">
        <v>718</v>
      </c>
      <c r="L616" s="27">
        <v>6</v>
      </c>
      <c r="M616" s="41" t="s">
        <v>881</v>
      </c>
      <c r="N616" s="41" t="s">
        <v>2213</v>
      </c>
      <c r="P616" s="70" t="s">
        <v>2214</v>
      </c>
      <c r="Q616">
        <f t="shared" si="9"/>
        <v>3.8416382892058194</v>
      </c>
    </row>
    <row r="617" spans="1:17" ht="15" thickBot="1" x14ac:dyDescent="0.4">
      <c r="C617" s="54" t="s">
        <v>3438</v>
      </c>
      <c r="D617" s="82">
        <v>6.2670403961126322</v>
      </c>
      <c r="E617" s="76">
        <v>52.216724031070449</v>
      </c>
      <c r="F617" s="83" t="s">
        <v>231</v>
      </c>
      <c r="G617" s="49">
        <v>41</v>
      </c>
      <c r="H617" s="45" t="s">
        <v>632</v>
      </c>
      <c r="I617" s="49">
        <v>15</v>
      </c>
      <c r="J617" s="50">
        <v>12</v>
      </c>
      <c r="K617" s="51" t="s">
        <v>1164</v>
      </c>
      <c r="L617" s="77">
        <v>80</v>
      </c>
      <c r="M617" s="42" t="s">
        <v>714</v>
      </c>
      <c r="N617" s="42" t="s">
        <v>2217</v>
      </c>
      <c r="O617" s="78"/>
      <c r="P617" s="78" t="s">
        <v>2218</v>
      </c>
      <c r="Q617">
        <f t="shared" si="9"/>
        <v>6.2670403961126322</v>
      </c>
    </row>
    <row r="618" spans="1:17" x14ac:dyDescent="0.35">
      <c r="B618" s="103" t="s">
        <v>1115</v>
      </c>
      <c r="C618" s="11" t="s">
        <v>2219</v>
      </c>
      <c r="D618" s="71">
        <v>2.8593728723898191</v>
      </c>
      <c r="E618" s="69">
        <v>89.039287173218412</v>
      </c>
      <c r="F618" s="72" t="s">
        <v>231</v>
      </c>
      <c r="G618" s="35">
        <v>11</v>
      </c>
      <c r="H618" s="1" t="s">
        <v>704</v>
      </c>
      <c r="I618" s="35">
        <v>15</v>
      </c>
      <c r="J618" s="46">
        <v>13</v>
      </c>
      <c r="K618" s="11" t="s">
        <v>758</v>
      </c>
      <c r="L618" s="27">
        <v>19</v>
      </c>
      <c r="M618" s="41" t="s">
        <v>2220</v>
      </c>
      <c r="N618" s="41" t="s">
        <v>2221</v>
      </c>
      <c r="Q618">
        <f t="shared" si="9"/>
        <v>2.8593728723898191</v>
      </c>
    </row>
    <row r="619" spans="1:17" x14ac:dyDescent="0.35">
      <c r="A619" s="2" t="s">
        <v>2222</v>
      </c>
      <c r="C619" s="11" t="s">
        <v>2219</v>
      </c>
      <c r="D619" s="71">
        <v>0.53797611163484238</v>
      </c>
      <c r="E619" s="69">
        <v>82.831102094878958</v>
      </c>
      <c r="F619" s="72" t="s">
        <v>129</v>
      </c>
      <c r="G619" s="35">
        <v>17</v>
      </c>
      <c r="H619" s="1" t="s">
        <v>640</v>
      </c>
      <c r="I619" s="35">
        <v>19</v>
      </c>
      <c r="J619" s="46">
        <v>17</v>
      </c>
      <c r="K619" s="11" t="s">
        <v>671</v>
      </c>
      <c r="L619" s="27">
        <v>32</v>
      </c>
      <c r="M619" s="41" t="s">
        <v>702</v>
      </c>
      <c r="N619" s="41" t="s">
        <v>2223</v>
      </c>
      <c r="P619" s="70" t="s">
        <v>2224</v>
      </c>
      <c r="Q619">
        <f t="shared" si="9"/>
        <v>0.53797611163484238</v>
      </c>
    </row>
    <row r="620" spans="1:17" x14ac:dyDescent="0.35">
      <c r="C620" s="11" t="s">
        <v>2219</v>
      </c>
      <c r="D620" s="71">
        <v>11.237288902533251</v>
      </c>
      <c r="E620" s="69">
        <v>69.290677451156242</v>
      </c>
      <c r="F620" s="72" t="s">
        <v>231</v>
      </c>
      <c r="G620" s="35">
        <v>3</v>
      </c>
      <c r="H620" s="1" t="s">
        <v>242</v>
      </c>
      <c r="I620" s="35">
        <v>23</v>
      </c>
      <c r="J620" s="46">
        <v>21</v>
      </c>
      <c r="K620" s="11" t="s">
        <v>761</v>
      </c>
      <c r="L620" s="27">
        <v>66</v>
      </c>
      <c r="M620" s="41" t="s">
        <v>717</v>
      </c>
      <c r="N620" s="41" t="s">
        <v>2225</v>
      </c>
      <c r="O620" s="6" t="s">
        <v>1386</v>
      </c>
      <c r="P620" t="s">
        <v>2226</v>
      </c>
      <c r="Q620">
        <f t="shared" si="9"/>
        <v>11.237288902533251</v>
      </c>
    </row>
    <row r="621" spans="1:17" x14ac:dyDescent="0.35">
      <c r="C621" s="11" t="s">
        <v>2219</v>
      </c>
      <c r="D621" s="71">
        <v>-4.0323887884662089</v>
      </c>
      <c r="E621" s="69">
        <v>47.60792374066255</v>
      </c>
      <c r="F621" s="72" t="s">
        <v>231</v>
      </c>
      <c r="G621" s="35">
        <v>90</v>
      </c>
      <c r="H621" s="1" t="s">
        <v>767</v>
      </c>
      <c r="I621" s="35">
        <v>19</v>
      </c>
      <c r="J621" s="46">
        <v>17</v>
      </c>
      <c r="K621" s="11" t="s">
        <v>646</v>
      </c>
      <c r="L621" s="27">
        <v>53</v>
      </c>
      <c r="M621" s="41" t="s">
        <v>823</v>
      </c>
      <c r="N621" s="41" t="s">
        <v>2227</v>
      </c>
      <c r="Q621">
        <f t="shared" si="9"/>
        <v>4.0323887884662089</v>
      </c>
    </row>
    <row r="622" spans="1:17" x14ac:dyDescent="0.35">
      <c r="C622" s="11" t="s">
        <v>2228</v>
      </c>
      <c r="D622" s="71">
        <v>3.3301820252143375</v>
      </c>
      <c r="E622" s="69">
        <v>63.002160896995882</v>
      </c>
      <c r="F622" s="72" t="s">
        <v>231</v>
      </c>
      <c r="G622" s="35">
        <v>31</v>
      </c>
      <c r="H622" s="1" t="s">
        <v>783</v>
      </c>
      <c r="I622" s="35">
        <v>18</v>
      </c>
      <c r="J622" s="46">
        <v>5</v>
      </c>
      <c r="K622" s="11" t="s">
        <v>742</v>
      </c>
      <c r="L622" s="27">
        <v>59</v>
      </c>
      <c r="M622" s="41" t="s">
        <v>924</v>
      </c>
      <c r="N622" s="43" t="s">
        <v>2229</v>
      </c>
      <c r="O622" s="1" t="s">
        <v>1390</v>
      </c>
      <c r="Q622">
        <f t="shared" si="9"/>
        <v>3.3301820252143375</v>
      </c>
    </row>
    <row r="623" spans="1:17" x14ac:dyDescent="0.35">
      <c r="C623" s="11" t="s">
        <v>2228</v>
      </c>
      <c r="D623" s="71">
        <v>-1.1806174143048194</v>
      </c>
      <c r="E623" s="69">
        <v>94.33020026389039</v>
      </c>
      <c r="F623" s="72" t="s">
        <v>129</v>
      </c>
      <c r="G623" s="35">
        <v>12</v>
      </c>
      <c r="H623" s="1" t="s">
        <v>747</v>
      </c>
      <c r="I623" s="35">
        <v>20</v>
      </c>
      <c r="J623" s="46">
        <v>17</v>
      </c>
      <c r="K623" s="11" t="s">
        <v>647</v>
      </c>
      <c r="L623" s="27">
        <v>10</v>
      </c>
      <c r="M623" s="41" t="s">
        <v>719</v>
      </c>
      <c r="N623" s="41" t="s">
        <v>2230</v>
      </c>
      <c r="P623" t="s">
        <v>2231</v>
      </c>
      <c r="Q623">
        <f t="shared" si="9"/>
        <v>1.1806174143048194</v>
      </c>
    </row>
    <row r="624" spans="1:17" x14ac:dyDescent="0.35">
      <c r="C624" s="11" t="s">
        <v>2228</v>
      </c>
      <c r="D624" s="71">
        <v>6.0517283847442833</v>
      </c>
      <c r="E624" s="69">
        <v>41.850243393318209</v>
      </c>
      <c r="F624" s="72" t="s">
        <v>129</v>
      </c>
      <c r="G624" s="35">
        <v>36</v>
      </c>
      <c r="H624" s="1" t="s">
        <v>641</v>
      </c>
      <c r="I624" s="35">
        <v>21</v>
      </c>
      <c r="J624" s="46">
        <v>9</v>
      </c>
      <c r="K624" s="11" t="s">
        <v>734</v>
      </c>
      <c r="L624" s="27">
        <v>104</v>
      </c>
      <c r="M624" s="41" t="s">
        <v>773</v>
      </c>
      <c r="N624" s="41" t="s">
        <v>2232</v>
      </c>
      <c r="Q624">
        <f t="shared" si="9"/>
        <v>6.0517283847442833</v>
      </c>
    </row>
    <row r="625" spans="1:17" x14ac:dyDescent="0.35">
      <c r="C625" s="11" t="s">
        <v>2228</v>
      </c>
      <c r="D625" s="71">
        <v>1.9668913316589238</v>
      </c>
      <c r="E625" s="69">
        <v>65.865560229719605</v>
      </c>
      <c r="F625" s="72" t="s">
        <v>231</v>
      </c>
      <c r="G625" s="35">
        <v>38</v>
      </c>
      <c r="H625" s="1" t="s">
        <v>731</v>
      </c>
      <c r="I625" s="35">
        <v>16</v>
      </c>
      <c r="J625" s="46">
        <v>12</v>
      </c>
      <c r="K625" s="11" t="s">
        <v>729</v>
      </c>
      <c r="L625" s="27">
        <v>47</v>
      </c>
      <c r="M625" s="41" t="s">
        <v>821</v>
      </c>
      <c r="N625" s="41" t="s">
        <v>2233</v>
      </c>
      <c r="Q625">
        <f t="shared" si="9"/>
        <v>1.9668913316589238</v>
      </c>
    </row>
    <row r="626" spans="1:17" x14ac:dyDescent="0.35">
      <c r="C626" s="11" t="s">
        <v>2234</v>
      </c>
      <c r="D626" s="71">
        <v>1.5527349294670412</v>
      </c>
      <c r="E626" s="69">
        <v>80.420981762651166</v>
      </c>
      <c r="F626" s="72" t="s">
        <v>129</v>
      </c>
      <c r="G626" s="35">
        <v>15</v>
      </c>
      <c r="H626" s="1" t="s">
        <v>642</v>
      </c>
      <c r="I626" s="35">
        <v>15</v>
      </c>
      <c r="J626" s="46">
        <v>11</v>
      </c>
      <c r="K626" s="11" t="s">
        <v>755</v>
      </c>
      <c r="L626" s="27">
        <v>39</v>
      </c>
      <c r="M626" s="41" t="s">
        <v>705</v>
      </c>
      <c r="N626" s="41" t="s">
        <v>2235</v>
      </c>
      <c r="Q626">
        <f t="shared" si="9"/>
        <v>1.5527349294670412</v>
      </c>
    </row>
    <row r="627" spans="1:17" x14ac:dyDescent="0.35">
      <c r="C627" s="11" t="s">
        <v>2234</v>
      </c>
      <c r="D627" s="71">
        <v>-2.9326620716191685</v>
      </c>
      <c r="E627" s="69">
        <v>75.010968277681727</v>
      </c>
      <c r="F627" s="72" t="s">
        <v>129</v>
      </c>
      <c r="G627" s="35">
        <v>42</v>
      </c>
      <c r="H627" s="1" t="s">
        <v>648</v>
      </c>
      <c r="I627" s="35">
        <v>19</v>
      </c>
      <c r="J627" s="46">
        <v>9</v>
      </c>
      <c r="K627" s="11" t="s">
        <v>750</v>
      </c>
      <c r="L627" s="27">
        <v>28</v>
      </c>
      <c r="M627" s="41" t="s">
        <v>799</v>
      </c>
      <c r="N627" s="43" t="s">
        <v>2236</v>
      </c>
      <c r="O627" s="1" t="s">
        <v>1390</v>
      </c>
      <c r="Q627">
        <f t="shared" si="9"/>
        <v>2.9326620716191685</v>
      </c>
    </row>
    <row r="628" spans="1:17" x14ac:dyDescent="0.35">
      <c r="C628" s="11" t="s">
        <v>2234</v>
      </c>
      <c r="D628" s="71">
        <v>5.1944713667442313E-2</v>
      </c>
      <c r="E628" s="69">
        <v>72.192952196342318</v>
      </c>
      <c r="F628" s="72" t="s">
        <v>231</v>
      </c>
      <c r="G628" s="35">
        <v>43</v>
      </c>
      <c r="H628" s="1" t="s">
        <v>746</v>
      </c>
      <c r="I628" s="35">
        <v>21</v>
      </c>
      <c r="J628" s="46">
        <v>8</v>
      </c>
      <c r="K628" s="11" t="s">
        <v>753</v>
      </c>
      <c r="L628" s="27">
        <v>29</v>
      </c>
      <c r="M628" s="41" t="s">
        <v>1138</v>
      </c>
      <c r="N628" s="43" t="s">
        <v>2237</v>
      </c>
      <c r="O628" s="1" t="s">
        <v>1390</v>
      </c>
      <c r="Q628">
        <f t="shared" si="9"/>
        <v>5.1944713667442313E-2</v>
      </c>
    </row>
    <row r="629" spans="1:17" x14ac:dyDescent="0.35">
      <c r="C629" s="11" t="s">
        <v>2234</v>
      </c>
      <c r="D629" s="71">
        <v>3.7185043709884535</v>
      </c>
      <c r="E629" s="69">
        <v>89.350168431322203</v>
      </c>
      <c r="F629" s="72" t="s">
        <v>129</v>
      </c>
      <c r="G629" s="35">
        <v>2</v>
      </c>
      <c r="H629" s="1" t="s">
        <v>466</v>
      </c>
      <c r="I629" s="35">
        <v>11</v>
      </c>
      <c r="J629" s="46">
        <v>6</v>
      </c>
      <c r="K629" s="11" t="s">
        <v>670</v>
      </c>
      <c r="L629" s="27">
        <v>25</v>
      </c>
      <c r="M629" s="41" t="s">
        <v>1003</v>
      </c>
      <c r="N629" s="41" t="s">
        <v>2238</v>
      </c>
      <c r="Q629">
        <f t="shared" si="9"/>
        <v>3.7185043709884535</v>
      </c>
    </row>
    <row r="630" spans="1:17" x14ac:dyDescent="0.35">
      <c r="C630" s="11" t="s">
        <v>2239</v>
      </c>
      <c r="D630" s="71">
        <v>6.856433595674881</v>
      </c>
      <c r="E630" s="69">
        <v>71.298445534394375</v>
      </c>
      <c r="F630" s="72" t="s">
        <v>129</v>
      </c>
      <c r="G630" s="35">
        <v>6</v>
      </c>
      <c r="H630" s="1" t="s">
        <v>718</v>
      </c>
      <c r="I630" s="35">
        <v>28</v>
      </c>
      <c r="J630" s="46">
        <v>13</v>
      </c>
      <c r="K630" s="11" t="s">
        <v>768</v>
      </c>
      <c r="L630" s="27">
        <v>64</v>
      </c>
      <c r="M630" s="41" t="s">
        <v>799</v>
      </c>
      <c r="N630" s="41" t="s">
        <v>2240</v>
      </c>
      <c r="Q630">
        <f t="shared" si="9"/>
        <v>6.856433595674881</v>
      </c>
    </row>
    <row r="631" spans="1:17" x14ac:dyDescent="0.35">
      <c r="C631" s="11" t="s">
        <v>2239</v>
      </c>
      <c r="D631" s="71">
        <v>1.4438311234930683</v>
      </c>
      <c r="E631" s="69">
        <v>55.809944372461892</v>
      </c>
      <c r="F631" s="72" t="s">
        <v>231</v>
      </c>
      <c r="G631" s="35">
        <v>55</v>
      </c>
      <c r="H631" s="1" t="s">
        <v>785</v>
      </c>
      <c r="I631" s="35">
        <v>20</v>
      </c>
      <c r="J631" s="46">
        <v>17</v>
      </c>
      <c r="K631" s="11" t="s">
        <v>679</v>
      </c>
      <c r="L631" s="27">
        <v>57</v>
      </c>
      <c r="M631" s="41" t="s">
        <v>987</v>
      </c>
      <c r="N631" s="41" t="s">
        <v>2241</v>
      </c>
      <c r="Q631">
        <f t="shared" si="9"/>
        <v>1.4438311234930683</v>
      </c>
    </row>
    <row r="632" spans="1:17" x14ac:dyDescent="0.35">
      <c r="A632" s="2" t="s">
        <v>2242</v>
      </c>
      <c r="C632" s="11" t="s">
        <v>2239</v>
      </c>
      <c r="D632" s="71">
        <v>5.5579195213923942</v>
      </c>
      <c r="E632" s="69">
        <v>86.588855185330928</v>
      </c>
      <c r="F632" s="72" t="s">
        <v>231</v>
      </c>
      <c r="G632" s="35">
        <v>8</v>
      </c>
      <c r="H632" s="1" t="s">
        <v>643</v>
      </c>
      <c r="I632" s="35">
        <v>18</v>
      </c>
      <c r="J632" s="46">
        <v>9</v>
      </c>
      <c r="K632" s="11" t="s">
        <v>780</v>
      </c>
      <c r="L632" s="27">
        <v>24</v>
      </c>
      <c r="M632" s="41" t="s">
        <v>721</v>
      </c>
      <c r="N632" s="41" t="s">
        <v>2243</v>
      </c>
      <c r="Q632">
        <f t="shared" si="9"/>
        <v>5.5579195213923942</v>
      </c>
    </row>
    <row r="633" spans="1:17" x14ac:dyDescent="0.35">
      <c r="C633" s="11" t="s">
        <v>2239</v>
      </c>
      <c r="D633" s="71">
        <v>-2.3514846385957364</v>
      </c>
      <c r="E633" s="69">
        <v>93.212446609322782</v>
      </c>
      <c r="F633" s="72" t="s">
        <v>231</v>
      </c>
      <c r="G633" s="35">
        <v>21</v>
      </c>
      <c r="H633" s="1" t="s">
        <v>467</v>
      </c>
      <c r="I633" s="35">
        <v>19</v>
      </c>
      <c r="J633" s="46">
        <v>12</v>
      </c>
      <c r="K633" s="11" t="s">
        <v>649</v>
      </c>
      <c r="L633" s="27">
        <v>7</v>
      </c>
      <c r="M633" s="41" t="s">
        <v>759</v>
      </c>
      <c r="N633" s="41" t="s">
        <v>2244</v>
      </c>
      <c r="Q633">
        <f t="shared" si="9"/>
        <v>2.3514846385957364</v>
      </c>
    </row>
    <row r="634" spans="1:17" x14ac:dyDescent="0.35">
      <c r="C634" s="11" t="s">
        <v>2245</v>
      </c>
      <c r="D634" s="71">
        <v>9.935540040296436</v>
      </c>
      <c r="E634" s="69">
        <v>68.501343972368161</v>
      </c>
      <c r="F634" s="72" t="s">
        <v>231</v>
      </c>
      <c r="G634" s="35">
        <v>9</v>
      </c>
      <c r="H634" s="1" t="s">
        <v>644</v>
      </c>
      <c r="I634" s="35">
        <v>13</v>
      </c>
      <c r="J634" s="46">
        <v>12</v>
      </c>
      <c r="K634" s="11" t="s">
        <v>665</v>
      </c>
      <c r="L634" s="27">
        <v>63</v>
      </c>
      <c r="M634" s="41" t="s">
        <v>2246</v>
      </c>
      <c r="N634" s="41" t="s">
        <v>2247</v>
      </c>
      <c r="O634" s="6" t="s">
        <v>1386</v>
      </c>
      <c r="Q634">
        <f t="shared" si="9"/>
        <v>9.935540040296436</v>
      </c>
    </row>
    <row r="635" spans="1:17" x14ac:dyDescent="0.35">
      <c r="C635" s="11" t="s">
        <v>2245</v>
      </c>
      <c r="D635" s="71">
        <v>10.133494411794167</v>
      </c>
      <c r="E635" s="69">
        <v>64</v>
      </c>
      <c r="F635" s="72" t="s">
        <v>231</v>
      </c>
      <c r="G635" s="35">
        <v>1</v>
      </c>
      <c r="H635" s="1" t="s">
        <v>245</v>
      </c>
      <c r="I635" s="35">
        <v>21</v>
      </c>
      <c r="J635" s="46">
        <v>18</v>
      </c>
      <c r="K635" s="11" t="s">
        <v>776</v>
      </c>
      <c r="L635" s="27">
        <v>83</v>
      </c>
      <c r="M635" t="s">
        <v>705</v>
      </c>
      <c r="N635" t="s">
        <v>2248</v>
      </c>
      <c r="O635" s="6" t="s">
        <v>1386</v>
      </c>
      <c r="Q635">
        <f t="shared" si="9"/>
        <v>10.133494411794167</v>
      </c>
    </row>
    <row r="636" spans="1:17" x14ac:dyDescent="0.35">
      <c r="C636" s="11" t="s">
        <v>2245</v>
      </c>
      <c r="D636" s="71">
        <v>9.1700420745781432</v>
      </c>
      <c r="E636" s="69">
        <v>53.940542577432126</v>
      </c>
      <c r="F636" s="72" t="s">
        <v>129</v>
      </c>
      <c r="G636" s="35">
        <v>16</v>
      </c>
      <c r="H636" s="1" t="s">
        <v>650</v>
      </c>
      <c r="I636" s="35">
        <v>26</v>
      </c>
      <c r="J636" s="46">
        <v>7</v>
      </c>
      <c r="K636" s="11" t="s">
        <v>720</v>
      </c>
      <c r="L636" s="27">
        <v>100</v>
      </c>
      <c r="M636" s="41" t="s">
        <v>748</v>
      </c>
      <c r="N636" s="41" t="s">
        <v>2249</v>
      </c>
      <c r="Q636">
        <f t="shared" si="9"/>
        <v>9.1700420745781432</v>
      </c>
    </row>
    <row r="637" spans="1:17" x14ac:dyDescent="0.35">
      <c r="C637" s="11" t="s">
        <v>2245</v>
      </c>
      <c r="D637" s="71">
        <v>-5.1269760350398386</v>
      </c>
      <c r="E637" s="69">
        <v>58.77278356688447</v>
      </c>
      <c r="F637" s="72" t="s">
        <v>129</v>
      </c>
      <c r="G637" s="35">
        <v>86</v>
      </c>
      <c r="H637" s="1" t="s">
        <v>726</v>
      </c>
      <c r="I637" s="35">
        <v>12</v>
      </c>
      <c r="J637" s="46">
        <v>8</v>
      </c>
      <c r="K637" s="11" t="s">
        <v>663</v>
      </c>
      <c r="L637" s="27">
        <v>30</v>
      </c>
      <c r="M637" s="41" t="s">
        <v>838</v>
      </c>
      <c r="N637" s="41" t="s">
        <v>2250</v>
      </c>
      <c r="Q637">
        <f t="shared" si="9"/>
        <v>5.1269760350398386</v>
      </c>
    </row>
    <row r="638" spans="1:17" x14ac:dyDescent="0.35">
      <c r="A638" s="2" t="s">
        <v>2251</v>
      </c>
      <c r="C638" s="11" t="s">
        <v>2252</v>
      </c>
      <c r="D638" s="71">
        <v>-0.18759370420502988</v>
      </c>
      <c r="E638" s="69">
        <v>60.092027201394806</v>
      </c>
      <c r="F638" s="72" t="s">
        <v>231</v>
      </c>
      <c r="G638" s="35">
        <v>61</v>
      </c>
      <c r="H638" s="1" t="s">
        <v>1165</v>
      </c>
      <c r="I638" s="35">
        <v>21</v>
      </c>
      <c r="J638" s="46">
        <v>19</v>
      </c>
      <c r="K638" s="11" t="s">
        <v>1160</v>
      </c>
      <c r="L638" s="27">
        <v>45</v>
      </c>
      <c r="M638" s="41" t="s">
        <v>972</v>
      </c>
      <c r="N638" s="41" t="s">
        <v>2253</v>
      </c>
      <c r="P638" t="s">
        <v>2254</v>
      </c>
      <c r="Q638">
        <f t="shared" si="9"/>
        <v>0.18759370420502988</v>
      </c>
    </row>
    <row r="639" spans="1:17" x14ac:dyDescent="0.35">
      <c r="C639" s="11" t="s">
        <v>2252</v>
      </c>
      <c r="D639" s="71">
        <v>9.1871114164609828</v>
      </c>
      <c r="E639" s="69">
        <v>68.671695028712463</v>
      </c>
      <c r="F639" s="72" t="s">
        <v>231</v>
      </c>
      <c r="G639" s="35">
        <v>4</v>
      </c>
      <c r="H639" s="1" t="s">
        <v>468</v>
      </c>
      <c r="I639" s="35">
        <v>35</v>
      </c>
      <c r="J639" s="46">
        <v>11</v>
      </c>
      <c r="K639" s="11" t="s">
        <v>1163</v>
      </c>
      <c r="L639" s="27">
        <v>69</v>
      </c>
      <c r="M639" s="41" t="s">
        <v>1179</v>
      </c>
      <c r="N639" s="43" t="s">
        <v>2255</v>
      </c>
      <c r="O639" s="1" t="s">
        <v>1390</v>
      </c>
      <c r="P639" s="70" t="s">
        <v>2256</v>
      </c>
      <c r="Q639">
        <f t="shared" si="9"/>
        <v>9.1871114164609828</v>
      </c>
    </row>
    <row r="640" spans="1:17" x14ac:dyDescent="0.35">
      <c r="C640" s="11" t="s">
        <v>2252</v>
      </c>
      <c r="D640" s="71">
        <v>6.9997596175720149</v>
      </c>
      <c r="E640" s="69">
        <v>60.914450547950615</v>
      </c>
      <c r="F640" s="72" t="s">
        <v>129</v>
      </c>
      <c r="G640" s="35">
        <v>18</v>
      </c>
      <c r="H640" s="1" t="s">
        <v>664</v>
      </c>
      <c r="I640" s="35">
        <v>21</v>
      </c>
      <c r="J640" s="46">
        <v>15</v>
      </c>
      <c r="K640" s="11" t="s">
        <v>1157</v>
      </c>
      <c r="L640" s="27">
        <v>82</v>
      </c>
      <c r="M640" s="41" t="s">
        <v>988</v>
      </c>
      <c r="N640" s="41" t="s">
        <v>2257</v>
      </c>
      <c r="Q640">
        <f t="shared" si="9"/>
        <v>6.9997596175720149</v>
      </c>
    </row>
    <row r="641" spans="1:17" x14ac:dyDescent="0.35">
      <c r="C641" s="11" t="s">
        <v>2252</v>
      </c>
      <c r="D641" s="71">
        <v>-2.154379537760239</v>
      </c>
      <c r="E641" s="69">
        <v>76.105860254464162</v>
      </c>
      <c r="F641" s="72" t="s">
        <v>231</v>
      </c>
      <c r="G641" s="35">
        <v>54</v>
      </c>
      <c r="H641" s="1" t="s">
        <v>681</v>
      </c>
      <c r="I641" s="35">
        <v>13</v>
      </c>
      <c r="J641" s="46">
        <v>9</v>
      </c>
      <c r="K641" s="11" t="s">
        <v>651</v>
      </c>
      <c r="L641" s="27">
        <v>20</v>
      </c>
      <c r="M641" s="41" t="s">
        <v>789</v>
      </c>
      <c r="N641" s="41" t="s">
        <v>2258</v>
      </c>
      <c r="Q641">
        <f t="shared" si="9"/>
        <v>2.154379537760239</v>
      </c>
    </row>
    <row r="642" spans="1:17" x14ac:dyDescent="0.35">
      <c r="C642" s="11" t="s">
        <v>2259</v>
      </c>
      <c r="D642" s="71">
        <v>-1.4996493829013362</v>
      </c>
      <c r="E642" s="69">
        <v>70.942616719703778</v>
      </c>
      <c r="F642" s="72" t="s">
        <v>129</v>
      </c>
      <c r="G642" s="35">
        <v>37</v>
      </c>
      <c r="H642" s="1" t="s">
        <v>667</v>
      </c>
      <c r="I642" s="35">
        <v>20</v>
      </c>
      <c r="J642" s="46">
        <v>11</v>
      </c>
      <c r="K642" s="11" t="s">
        <v>632</v>
      </c>
      <c r="L642" s="27">
        <v>41</v>
      </c>
      <c r="M642" s="41" t="s">
        <v>748</v>
      </c>
      <c r="N642" s="41" t="s">
        <v>2260</v>
      </c>
      <c r="Q642">
        <f t="shared" si="9"/>
        <v>1.4996493829013362</v>
      </c>
    </row>
    <row r="643" spans="1:17" x14ac:dyDescent="0.35">
      <c r="C643" s="11" t="s">
        <v>2259</v>
      </c>
      <c r="D643" s="71">
        <v>2.5825811653182691</v>
      </c>
      <c r="E643" s="69">
        <v>20.657658629496044</v>
      </c>
      <c r="F643" s="72" t="s">
        <v>231</v>
      </c>
      <c r="G643" s="35">
        <v>88</v>
      </c>
      <c r="H643" s="1" t="s">
        <v>636</v>
      </c>
      <c r="I643" s="35">
        <v>23</v>
      </c>
      <c r="J643" s="46">
        <v>15</v>
      </c>
      <c r="K643" s="11" t="s">
        <v>637</v>
      </c>
      <c r="L643" s="27">
        <v>93</v>
      </c>
      <c r="M643" s="41" t="s">
        <v>910</v>
      </c>
      <c r="N643" s="41" t="s">
        <v>2261</v>
      </c>
      <c r="Q643">
        <f t="shared" ref="Q643:Q706" si="10">ABS(D643)</f>
        <v>2.5825811653182691</v>
      </c>
    </row>
    <row r="644" spans="1:17" x14ac:dyDescent="0.35">
      <c r="C644" s="11" t="s">
        <v>2259</v>
      </c>
      <c r="D644" s="71">
        <v>10.491318714807838</v>
      </c>
      <c r="E644" s="69">
        <v>54.063095738417488</v>
      </c>
      <c r="F644" s="72" t="s">
        <v>129</v>
      </c>
      <c r="G644" s="35">
        <v>14</v>
      </c>
      <c r="H644" s="1" t="s">
        <v>334</v>
      </c>
      <c r="I644" s="35">
        <v>42</v>
      </c>
      <c r="J644" s="46">
        <v>14</v>
      </c>
      <c r="K644" s="11" t="s">
        <v>638</v>
      </c>
      <c r="L644" s="27">
        <v>99</v>
      </c>
      <c r="M644" s="41" t="s">
        <v>818</v>
      </c>
      <c r="N644" s="43" t="s">
        <v>2262</v>
      </c>
      <c r="O644" s="1" t="s">
        <v>1390</v>
      </c>
      <c r="P644" s="70" t="s">
        <v>2263</v>
      </c>
      <c r="Q644">
        <f t="shared" si="10"/>
        <v>10.491318714807838</v>
      </c>
    </row>
    <row r="645" spans="1:17" ht="15" thickBot="1" x14ac:dyDescent="0.4">
      <c r="C645" s="51" t="s">
        <v>2259</v>
      </c>
      <c r="D645" s="82">
        <v>4.8735293698056283</v>
      </c>
      <c r="E645" s="76">
        <v>88.55815128927614</v>
      </c>
      <c r="F645" s="83" t="s">
        <v>231</v>
      </c>
      <c r="G645" s="49">
        <v>5</v>
      </c>
      <c r="H645" s="45" t="s">
        <v>328</v>
      </c>
      <c r="I645" s="49">
        <v>29</v>
      </c>
      <c r="J645" s="50">
        <v>9</v>
      </c>
      <c r="K645" s="51" t="s">
        <v>652</v>
      </c>
      <c r="L645" s="77">
        <v>22</v>
      </c>
      <c r="M645" s="42" t="s">
        <v>793</v>
      </c>
      <c r="N645" s="88" t="s">
        <v>2264</v>
      </c>
      <c r="O645" s="79" t="s">
        <v>1390</v>
      </c>
      <c r="P645" s="78"/>
      <c r="Q645">
        <f t="shared" si="10"/>
        <v>4.8735293698056283</v>
      </c>
    </row>
    <row r="646" spans="1:17" x14ac:dyDescent="0.35">
      <c r="B646" s="103" t="s">
        <v>1135</v>
      </c>
      <c r="C646" s="11" t="s">
        <v>2265</v>
      </c>
      <c r="D646" s="71">
        <v>6.7245258629608236</v>
      </c>
      <c r="E646" s="69">
        <v>9.9289100978851348</v>
      </c>
      <c r="F646" s="72" t="s">
        <v>231</v>
      </c>
      <c r="G646" s="35">
        <v>79</v>
      </c>
      <c r="H646" s="1" t="s">
        <v>701</v>
      </c>
      <c r="I646" s="35">
        <v>29</v>
      </c>
      <c r="J646" s="46">
        <v>10</v>
      </c>
      <c r="K646" s="11" t="s">
        <v>706</v>
      </c>
      <c r="L646" s="27">
        <v>112</v>
      </c>
      <c r="M646" s="41" t="s">
        <v>748</v>
      </c>
      <c r="N646" s="41" t="s">
        <v>2266</v>
      </c>
      <c r="Q646">
        <f t="shared" si="10"/>
        <v>6.7245258629608236</v>
      </c>
    </row>
    <row r="647" spans="1:17" x14ac:dyDescent="0.35">
      <c r="C647" s="37" t="s">
        <v>2267</v>
      </c>
      <c r="D647" s="71">
        <v>8.9075024298352332</v>
      </c>
      <c r="E647" s="69">
        <v>17.298212550117686</v>
      </c>
      <c r="F647" s="72" t="s">
        <v>231</v>
      </c>
      <c r="G647" s="35">
        <v>60</v>
      </c>
      <c r="H647" s="1" t="s">
        <v>678</v>
      </c>
      <c r="I647" s="35">
        <v>34</v>
      </c>
      <c r="J647" s="46">
        <v>5</v>
      </c>
      <c r="K647" s="11" t="s">
        <v>737</v>
      </c>
      <c r="L647" s="27">
        <v>111</v>
      </c>
      <c r="M647" s="41" t="s">
        <v>1138</v>
      </c>
      <c r="N647" s="43" t="s">
        <v>2268</v>
      </c>
      <c r="O647" s="1" t="s">
        <v>1390</v>
      </c>
      <c r="Q647">
        <f t="shared" si="10"/>
        <v>8.9075024298352332</v>
      </c>
    </row>
    <row r="648" spans="1:17" x14ac:dyDescent="0.35">
      <c r="C648" s="37" t="s">
        <v>2269</v>
      </c>
      <c r="D648" s="71">
        <v>5.5388658682258534</v>
      </c>
      <c r="E648" s="69">
        <v>31.356167236981534</v>
      </c>
      <c r="F648" s="72" t="s">
        <v>129</v>
      </c>
      <c r="G648" s="35">
        <v>51</v>
      </c>
      <c r="H648" s="1" t="s">
        <v>630</v>
      </c>
      <c r="I648" s="35">
        <v>20</v>
      </c>
      <c r="J648" s="46">
        <v>12</v>
      </c>
      <c r="K648" s="11" t="s">
        <v>639</v>
      </c>
      <c r="L648" s="27">
        <v>110</v>
      </c>
      <c r="M648" s="41" t="s">
        <v>769</v>
      </c>
      <c r="N648" s="41" t="s">
        <v>2270</v>
      </c>
      <c r="Q648">
        <f t="shared" si="10"/>
        <v>5.5388658682258534</v>
      </c>
    </row>
    <row r="649" spans="1:17" x14ac:dyDescent="0.35">
      <c r="D649" s="71">
        <v>-7.6058589422889575</v>
      </c>
      <c r="E649" s="69">
        <v>47.977399244492112</v>
      </c>
      <c r="F649" s="72" t="s">
        <v>129</v>
      </c>
      <c r="G649" s="35">
        <v>109</v>
      </c>
      <c r="H649" s="1" t="s">
        <v>700</v>
      </c>
      <c r="I649" s="35">
        <v>22</v>
      </c>
      <c r="J649" s="46">
        <v>20</v>
      </c>
      <c r="K649" s="11" t="s">
        <v>661</v>
      </c>
      <c r="L649" s="27">
        <v>34</v>
      </c>
      <c r="M649" s="41" t="s">
        <v>820</v>
      </c>
      <c r="N649" s="41" t="s">
        <v>2271</v>
      </c>
      <c r="P649" s="70" t="s">
        <v>2272</v>
      </c>
      <c r="Q649">
        <f t="shared" si="10"/>
        <v>7.6058589422889575</v>
      </c>
    </row>
    <row r="650" spans="1:17" x14ac:dyDescent="0.35">
      <c r="D650" s="71">
        <v>-0.71154740495982172</v>
      </c>
      <c r="E650" s="69">
        <v>11.668962432114149</v>
      </c>
      <c r="F650" s="72" t="s">
        <v>231</v>
      </c>
      <c r="G650" s="35">
        <v>108</v>
      </c>
      <c r="H650" s="1" t="s">
        <v>760</v>
      </c>
      <c r="I650" s="35">
        <v>14</v>
      </c>
      <c r="J650" s="46">
        <v>9</v>
      </c>
      <c r="K650" s="11" t="s">
        <v>757</v>
      </c>
      <c r="L650" s="27">
        <v>91</v>
      </c>
      <c r="M650" s="41" t="s">
        <v>770</v>
      </c>
      <c r="N650" s="41" t="s">
        <v>2273</v>
      </c>
      <c r="Q650">
        <f t="shared" si="10"/>
        <v>0.71154740495982172</v>
      </c>
    </row>
    <row r="651" spans="1:17" x14ac:dyDescent="0.35">
      <c r="D651" s="71">
        <v>6.2019345628325917</v>
      </c>
      <c r="E651" s="69">
        <v>49.855761026548151</v>
      </c>
      <c r="F651" s="72" t="s">
        <v>129</v>
      </c>
      <c r="G651" s="35">
        <v>21</v>
      </c>
      <c r="H651" s="1" t="s">
        <v>467</v>
      </c>
      <c r="I651" s="35">
        <v>22</v>
      </c>
      <c r="J651" s="46">
        <v>3</v>
      </c>
      <c r="K651" s="11" t="s">
        <v>792</v>
      </c>
      <c r="L651" s="27">
        <v>107</v>
      </c>
      <c r="M651" s="41" t="s">
        <v>739</v>
      </c>
      <c r="N651" s="43" t="s">
        <v>2274</v>
      </c>
      <c r="O651" s="1" t="s">
        <v>1390</v>
      </c>
      <c r="Q651">
        <f t="shared" si="10"/>
        <v>6.2019345628325917</v>
      </c>
    </row>
    <row r="652" spans="1:17" x14ac:dyDescent="0.35">
      <c r="D652" s="71">
        <v>7.4302467568677599</v>
      </c>
      <c r="E652" s="69">
        <v>47.906966602237311</v>
      </c>
      <c r="F652" s="72" t="s">
        <v>231</v>
      </c>
      <c r="G652" s="35">
        <v>25</v>
      </c>
      <c r="H652" s="1" t="s">
        <v>670</v>
      </c>
      <c r="I652" s="35">
        <v>24</v>
      </c>
      <c r="J652" s="46">
        <v>7</v>
      </c>
      <c r="K652" s="11" t="s">
        <v>582</v>
      </c>
      <c r="L652" s="27">
        <v>106</v>
      </c>
      <c r="M652" s="41" t="s">
        <v>741</v>
      </c>
      <c r="N652" s="43" t="s">
        <v>2275</v>
      </c>
      <c r="O652" s="1" t="s">
        <v>1390</v>
      </c>
      <c r="P652" s="68" t="s">
        <v>2276</v>
      </c>
      <c r="Q652">
        <f t="shared" si="10"/>
        <v>7.4302467568677599</v>
      </c>
    </row>
    <row r="653" spans="1:17" x14ac:dyDescent="0.35">
      <c r="A653" s="2" t="s">
        <v>2277</v>
      </c>
      <c r="D653" s="71">
        <v>7.1256055086631056</v>
      </c>
      <c r="E653" s="69">
        <v>52.053138922383503</v>
      </c>
      <c r="F653" s="72" t="s">
        <v>129</v>
      </c>
      <c r="G653" s="35">
        <v>15</v>
      </c>
      <c r="H653" s="1" t="s">
        <v>642</v>
      </c>
      <c r="I653" s="35">
        <v>27</v>
      </c>
      <c r="J653" s="46">
        <v>24</v>
      </c>
      <c r="K653" s="11" t="s">
        <v>709</v>
      </c>
      <c r="L653" s="27">
        <v>105</v>
      </c>
      <c r="M653" s="41" t="s">
        <v>2278</v>
      </c>
      <c r="N653" s="41" t="s">
        <v>2279</v>
      </c>
      <c r="Q653">
        <f t="shared" si="10"/>
        <v>7.1256055086631056</v>
      </c>
    </row>
    <row r="654" spans="1:17" x14ac:dyDescent="0.35">
      <c r="D654" s="71">
        <v>-9.488337074279789</v>
      </c>
      <c r="E654" s="69">
        <v>48.920240767342705</v>
      </c>
      <c r="F654" s="72" t="s">
        <v>231</v>
      </c>
      <c r="G654" s="35">
        <v>104</v>
      </c>
      <c r="H654" s="1" t="s">
        <v>734</v>
      </c>
      <c r="I654" s="35">
        <v>21</v>
      </c>
      <c r="J654" s="46">
        <v>19</v>
      </c>
      <c r="K654" s="11" t="s">
        <v>677</v>
      </c>
      <c r="L654" s="27">
        <v>40</v>
      </c>
      <c r="M654" s="41" t="s">
        <v>796</v>
      </c>
      <c r="N654" s="41" t="s">
        <v>2280</v>
      </c>
      <c r="O654" t="s">
        <v>2281</v>
      </c>
      <c r="Q654">
        <f t="shared" si="10"/>
        <v>9.488337074279789</v>
      </c>
    </row>
    <row r="655" spans="1:17" x14ac:dyDescent="0.35">
      <c r="D655" s="71">
        <v>6.9657960679600688</v>
      </c>
      <c r="E655" s="69">
        <v>50.381574237171378</v>
      </c>
      <c r="F655" s="72" t="s">
        <v>129</v>
      </c>
      <c r="G655" s="35">
        <v>22</v>
      </c>
      <c r="H655" s="1" t="s">
        <v>652</v>
      </c>
      <c r="I655" s="35">
        <v>20</v>
      </c>
      <c r="J655" s="46">
        <v>19</v>
      </c>
      <c r="K655" s="11" t="s">
        <v>631</v>
      </c>
      <c r="L655" s="27">
        <v>103</v>
      </c>
      <c r="M655" s="41" t="s">
        <v>988</v>
      </c>
      <c r="N655" s="41" t="s">
        <v>2282</v>
      </c>
      <c r="O655" s="6" t="s">
        <v>1386</v>
      </c>
      <c r="P655" t="s">
        <v>2283</v>
      </c>
      <c r="Q655">
        <f t="shared" si="10"/>
        <v>6.9657960679600688</v>
      </c>
    </row>
    <row r="656" spans="1:17" x14ac:dyDescent="0.35">
      <c r="D656" s="71">
        <v>1.2370116388430226</v>
      </c>
      <c r="E656" s="69">
        <v>9.8307059722549823</v>
      </c>
      <c r="F656" s="72" t="s">
        <v>231</v>
      </c>
      <c r="G656" s="35">
        <v>98</v>
      </c>
      <c r="H656" s="1" t="s">
        <v>732</v>
      </c>
      <c r="I656" s="35">
        <v>11</v>
      </c>
      <c r="J656" s="46">
        <v>8</v>
      </c>
      <c r="K656" s="11" t="s">
        <v>777</v>
      </c>
      <c r="L656" s="27">
        <v>102</v>
      </c>
      <c r="M656" s="41" t="s">
        <v>842</v>
      </c>
      <c r="N656" s="41" t="s">
        <v>2284</v>
      </c>
      <c r="O656" t="s">
        <v>2281</v>
      </c>
      <c r="Q656">
        <f t="shared" si="10"/>
        <v>1.2370116388430226</v>
      </c>
    </row>
    <row r="657" spans="1:17" x14ac:dyDescent="0.35">
      <c r="D657" s="71">
        <v>7.7733451661598432</v>
      </c>
      <c r="E657" s="69">
        <v>43.01903916702868</v>
      </c>
      <c r="F657" s="72" t="s">
        <v>231</v>
      </c>
      <c r="G657" s="35">
        <v>27</v>
      </c>
      <c r="H657" s="1" t="s">
        <v>672</v>
      </c>
      <c r="I657" s="35">
        <v>29</v>
      </c>
      <c r="J657" s="46">
        <v>11</v>
      </c>
      <c r="K657" s="11" t="s">
        <v>716</v>
      </c>
      <c r="L657" s="27">
        <v>101</v>
      </c>
      <c r="M657" s="41" t="s">
        <v>799</v>
      </c>
      <c r="N657" s="41" t="s">
        <v>2285</v>
      </c>
      <c r="Q657">
        <f t="shared" si="10"/>
        <v>7.7733451661598432</v>
      </c>
    </row>
    <row r="658" spans="1:17" x14ac:dyDescent="0.35">
      <c r="D658" s="71">
        <v>6.3964208917965948E-4</v>
      </c>
      <c r="E658" s="69">
        <v>14.285257398507722</v>
      </c>
      <c r="F658" s="72" t="s">
        <v>129</v>
      </c>
      <c r="G658" s="35">
        <v>92</v>
      </c>
      <c r="H658" s="1" t="s">
        <v>756</v>
      </c>
      <c r="I658" s="35">
        <v>19</v>
      </c>
      <c r="J658" s="46">
        <v>14</v>
      </c>
      <c r="K658" s="11" t="s">
        <v>720</v>
      </c>
      <c r="L658" s="27">
        <v>100</v>
      </c>
      <c r="M658" s="41" t="s">
        <v>773</v>
      </c>
      <c r="N658" s="41" t="s">
        <v>2286</v>
      </c>
      <c r="P658" s="68" t="s">
        <v>2287</v>
      </c>
      <c r="Q658">
        <f t="shared" si="10"/>
        <v>6.3964208917965948E-4</v>
      </c>
    </row>
    <row r="659" spans="1:17" x14ac:dyDescent="0.35">
      <c r="D659" s="71">
        <v>12.245033663890794</v>
      </c>
      <c r="E659" s="69">
        <v>54.110690240078</v>
      </c>
      <c r="F659" s="72" t="s">
        <v>129</v>
      </c>
      <c r="G659" s="35">
        <v>5</v>
      </c>
      <c r="H659" s="1" t="s">
        <v>328</v>
      </c>
      <c r="I659" s="35">
        <v>30</v>
      </c>
      <c r="J659" s="46">
        <v>13</v>
      </c>
      <c r="K659" s="11" t="s">
        <v>638</v>
      </c>
      <c r="L659" s="27">
        <v>99</v>
      </c>
      <c r="M659" s="41" t="s">
        <v>710</v>
      </c>
      <c r="N659" s="41" t="s">
        <v>2288</v>
      </c>
      <c r="Q659">
        <f t="shared" si="10"/>
        <v>12.245033663890794</v>
      </c>
    </row>
    <row r="660" spans="1:17" x14ac:dyDescent="0.35">
      <c r="D660" s="71">
        <v>-0.70994502205015209</v>
      </c>
      <c r="E660" s="69">
        <v>14.346389301464392</v>
      </c>
      <c r="F660" s="72" t="s">
        <v>129</v>
      </c>
      <c r="G660" s="35">
        <v>97</v>
      </c>
      <c r="H660" s="1" t="s">
        <v>1156</v>
      </c>
      <c r="I660" s="35">
        <v>10</v>
      </c>
      <c r="J660" s="46">
        <v>6</v>
      </c>
      <c r="K660" s="11" t="s">
        <v>1158</v>
      </c>
      <c r="L660" s="27">
        <v>96</v>
      </c>
      <c r="M660" s="41" t="s">
        <v>832</v>
      </c>
      <c r="N660" s="41" t="s">
        <v>2289</v>
      </c>
      <c r="P660" s="70" t="s">
        <v>2290</v>
      </c>
      <c r="Q660">
        <f t="shared" si="10"/>
        <v>0.70994502205015209</v>
      </c>
    </row>
    <row r="661" spans="1:17" x14ac:dyDescent="0.35">
      <c r="D661" s="71">
        <v>7.6874448745028117</v>
      </c>
      <c r="E661" s="69">
        <v>56.294682232497998</v>
      </c>
      <c r="F661" s="72" t="s">
        <v>129</v>
      </c>
      <c r="G661" s="35">
        <v>12</v>
      </c>
      <c r="H661" s="1" t="s">
        <v>747</v>
      </c>
      <c r="I661" s="35">
        <v>34</v>
      </c>
      <c r="J661" s="46">
        <v>22</v>
      </c>
      <c r="K661" s="11" t="s">
        <v>722</v>
      </c>
      <c r="L661" s="27">
        <v>95</v>
      </c>
      <c r="M661" s="41" t="s">
        <v>786</v>
      </c>
      <c r="N661" s="41" t="s">
        <v>2291</v>
      </c>
      <c r="Q661">
        <f t="shared" si="10"/>
        <v>7.6874448745028117</v>
      </c>
    </row>
    <row r="662" spans="1:17" x14ac:dyDescent="0.35">
      <c r="A662" s="2" t="s">
        <v>2292</v>
      </c>
      <c r="D662" s="71">
        <v>-1.2104882784055229</v>
      </c>
      <c r="E662" s="69">
        <v>27.650348770289657</v>
      </c>
      <c r="F662" s="72" t="s">
        <v>231</v>
      </c>
      <c r="G662" s="35">
        <v>94</v>
      </c>
      <c r="H662" s="1" t="s">
        <v>633</v>
      </c>
      <c r="I662" s="35">
        <v>18</v>
      </c>
      <c r="J662" s="46">
        <v>8</v>
      </c>
      <c r="K662" s="11" t="s">
        <v>635</v>
      </c>
      <c r="L662" s="27">
        <v>70</v>
      </c>
      <c r="M662" s="41" t="s">
        <v>741</v>
      </c>
      <c r="N662" s="41" t="s">
        <v>2293</v>
      </c>
      <c r="O662" t="s">
        <v>2281</v>
      </c>
      <c r="Q662">
        <f t="shared" si="10"/>
        <v>1.2104882784055229</v>
      </c>
    </row>
    <row r="663" spans="1:17" x14ac:dyDescent="0.35">
      <c r="D663" s="71">
        <v>7.0040531321849704</v>
      </c>
      <c r="E663" s="69">
        <v>38.345319191296454</v>
      </c>
      <c r="F663" s="72" t="s">
        <v>231</v>
      </c>
      <c r="G663" s="35">
        <v>48</v>
      </c>
      <c r="H663" s="1" t="s">
        <v>629</v>
      </c>
      <c r="I663" s="35">
        <v>26</v>
      </c>
      <c r="J663" s="46">
        <v>2</v>
      </c>
      <c r="K663" s="11" t="s">
        <v>637</v>
      </c>
      <c r="L663" s="27">
        <v>93</v>
      </c>
      <c r="M663" s="41" t="s">
        <v>852</v>
      </c>
      <c r="N663" s="43" t="s">
        <v>2294</v>
      </c>
      <c r="O663" s="1" t="s">
        <v>1390</v>
      </c>
      <c r="Q663">
        <f t="shared" si="10"/>
        <v>7.0040531321849704</v>
      </c>
    </row>
    <row r="664" spans="1:17" x14ac:dyDescent="0.35">
      <c r="D664" s="71">
        <v>2.4176175036723428</v>
      </c>
      <c r="E664" s="69">
        <v>20.594558925948327</v>
      </c>
      <c r="F664" s="72" t="s">
        <v>231</v>
      </c>
      <c r="G664" s="35">
        <v>84</v>
      </c>
      <c r="H664" s="1" t="s">
        <v>738</v>
      </c>
      <c r="I664" s="35">
        <v>24</v>
      </c>
      <c r="J664" s="46">
        <v>22</v>
      </c>
      <c r="K664" s="11" t="s">
        <v>767</v>
      </c>
      <c r="L664" s="27">
        <v>90</v>
      </c>
      <c r="M664" s="41" t="s">
        <v>705</v>
      </c>
      <c r="N664" s="41" t="s">
        <v>2295</v>
      </c>
      <c r="O664" t="s">
        <v>2281</v>
      </c>
      <c r="P664" s="70" t="s">
        <v>2296</v>
      </c>
      <c r="Q664">
        <f t="shared" si="10"/>
        <v>2.4176175036723428</v>
      </c>
    </row>
    <row r="665" spans="1:17" x14ac:dyDescent="0.35">
      <c r="D665" s="71">
        <v>7.7231070575407745</v>
      </c>
      <c r="E665" s="69">
        <v>55.91206638747088</v>
      </c>
      <c r="F665" s="72" t="s">
        <v>231</v>
      </c>
      <c r="G665" s="35">
        <v>19</v>
      </c>
      <c r="H665" s="1" t="s">
        <v>758</v>
      </c>
      <c r="I665" s="35">
        <v>24</v>
      </c>
      <c r="J665" s="46">
        <v>18</v>
      </c>
      <c r="K665" s="11" t="s">
        <v>723</v>
      </c>
      <c r="L665" s="27">
        <v>89</v>
      </c>
      <c r="M665" s="41" t="s">
        <v>868</v>
      </c>
      <c r="N665" s="41" t="s">
        <v>2297</v>
      </c>
      <c r="O665" t="s">
        <v>2281</v>
      </c>
      <c r="Q665">
        <f t="shared" si="10"/>
        <v>7.7231070575407745</v>
      </c>
    </row>
    <row r="666" spans="1:17" x14ac:dyDescent="0.35">
      <c r="A666" s="2" t="s">
        <v>2298</v>
      </c>
      <c r="D666" s="71">
        <v>4.4387642569138563</v>
      </c>
      <c r="E666" s="69">
        <v>46.606239816490103</v>
      </c>
      <c r="F666" s="72" t="s">
        <v>129</v>
      </c>
      <c r="G666" s="35">
        <v>37</v>
      </c>
      <c r="H666" s="1" t="s">
        <v>667</v>
      </c>
      <c r="I666" s="35">
        <v>15</v>
      </c>
      <c r="J666" s="46">
        <v>12</v>
      </c>
      <c r="K666" s="11" t="s">
        <v>636</v>
      </c>
      <c r="L666" s="27">
        <v>88</v>
      </c>
      <c r="M666" s="41" t="s">
        <v>902</v>
      </c>
      <c r="N666" s="41" t="s">
        <v>2299</v>
      </c>
      <c r="Q666">
        <f t="shared" si="10"/>
        <v>4.4387642569138563</v>
      </c>
    </row>
    <row r="667" spans="1:17" x14ac:dyDescent="0.35">
      <c r="D667" s="71">
        <v>5.2495159456014155</v>
      </c>
      <c r="E667" s="69">
        <v>58.036060038856128</v>
      </c>
      <c r="F667" s="72" t="s">
        <v>129</v>
      </c>
      <c r="G667" s="35">
        <v>20</v>
      </c>
      <c r="H667" s="1" t="s">
        <v>651</v>
      </c>
      <c r="I667" s="35">
        <v>24</v>
      </c>
      <c r="J667" s="46">
        <v>17</v>
      </c>
      <c r="K667" s="11" t="s">
        <v>1161</v>
      </c>
      <c r="L667" s="27">
        <v>87</v>
      </c>
      <c r="M667" s="41" t="s">
        <v>866</v>
      </c>
      <c r="N667" s="41" t="s">
        <v>2300</v>
      </c>
      <c r="Q667">
        <f t="shared" si="10"/>
        <v>5.2495159456014155</v>
      </c>
    </row>
    <row r="668" spans="1:17" x14ac:dyDescent="0.35">
      <c r="D668" s="71">
        <v>8.7772101167390186</v>
      </c>
      <c r="E668" s="69">
        <v>59.801992773757839</v>
      </c>
      <c r="F668" s="72" t="s">
        <v>231</v>
      </c>
      <c r="G668" s="35">
        <v>9</v>
      </c>
      <c r="H668" s="1" t="s">
        <v>644</v>
      </c>
      <c r="I668" s="35">
        <v>31</v>
      </c>
      <c r="J668" s="46">
        <v>4</v>
      </c>
      <c r="K668" s="11" t="s">
        <v>726</v>
      </c>
      <c r="L668" s="27">
        <v>86</v>
      </c>
      <c r="M668" s="41" t="s">
        <v>2301</v>
      </c>
      <c r="N668" s="43" t="s">
        <v>2302</v>
      </c>
      <c r="O668" s="1" t="s">
        <v>1390</v>
      </c>
      <c r="Q668">
        <f t="shared" si="10"/>
        <v>8.7772101167390186</v>
      </c>
    </row>
    <row r="669" spans="1:17" x14ac:dyDescent="0.35">
      <c r="D669" s="71">
        <v>-8.4009054825311562</v>
      </c>
      <c r="E669" s="69">
        <v>69.92921820180797</v>
      </c>
      <c r="F669" s="72" t="s">
        <v>129</v>
      </c>
      <c r="G669" s="35">
        <v>85</v>
      </c>
      <c r="H669" s="1" t="s">
        <v>778</v>
      </c>
      <c r="I669" s="35">
        <v>22</v>
      </c>
      <c r="J669" s="46">
        <v>18</v>
      </c>
      <c r="K669" s="11" t="s">
        <v>650</v>
      </c>
      <c r="L669" s="27">
        <v>16</v>
      </c>
      <c r="M669" s="41" t="s">
        <v>799</v>
      </c>
      <c r="N669" s="41" t="s">
        <v>2303</v>
      </c>
      <c r="Q669">
        <f t="shared" si="10"/>
        <v>8.4009054825311562</v>
      </c>
    </row>
    <row r="670" spans="1:17" x14ac:dyDescent="0.35">
      <c r="A670" s="2" t="s">
        <v>2304</v>
      </c>
      <c r="D670" s="71">
        <v>1.2393855568003618</v>
      </c>
      <c r="E670" s="69">
        <v>27.239724602285463</v>
      </c>
      <c r="F670" s="72" t="s">
        <v>231</v>
      </c>
      <c r="G670" s="35">
        <v>83</v>
      </c>
      <c r="H670" s="1" t="s">
        <v>776</v>
      </c>
      <c r="I670" s="35">
        <v>29</v>
      </c>
      <c r="J670" s="46">
        <v>19</v>
      </c>
      <c r="K670" s="11" t="s">
        <v>784</v>
      </c>
      <c r="L670" s="27">
        <v>78</v>
      </c>
      <c r="M670" s="41" t="s">
        <v>806</v>
      </c>
      <c r="N670" s="41" t="s">
        <v>2305</v>
      </c>
      <c r="Q670">
        <f t="shared" si="10"/>
        <v>1.2393855568003618</v>
      </c>
    </row>
    <row r="671" spans="1:17" x14ac:dyDescent="0.35">
      <c r="D671" s="71">
        <v>4.3956250698406665</v>
      </c>
      <c r="E671" s="69">
        <v>32.574553521542384</v>
      </c>
      <c r="F671" s="72" t="s">
        <v>231</v>
      </c>
      <c r="G671" s="35">
        <v>62</v>
      </c>
      <c r="H671" s="1" t="s">
        <v>645</v>
      </c>
      <c r="I671" s="35">
        <v>24</v>
      </c>
      <c r="J671" s="46">
        <v>15</v>
      </c>
      <c r="K671" s="11" t="s">
        <v>1157</v>
      </c>
      <c r="L671" s="27">
        <v>82</v>
      </c>
      <c r="M671" s="41" t="s">
        <v>786</v>
      </c>
      <c r="N671" s="41" t="s">
        <v>2306</v>
      </c>
      <c r="Q671">
        <f t="shared" si="10"/>
        <v>4.3956250698406665</v>
      </c>
    </row>
    <row r="672" spans="1:17" x14ac:dyDescent="0.35">
      <c r="D672" s="71">
        <v>4.3032714230461213</v>
      </c>
      <c r="E672" s="69">
        <v>49.917306126395623</v>
      </c>
      <c r="F672" s="72" t="s">
        <v>231</v>
      </c>
      <c r="G672" s="35">
        <v>36</v>
      </c>
      <c r="H672" s="1" t="s">
        <v>641</v>
      </c>
      <c r="I672" s="35">
        <v>31</v>
      </c>
      <c r="J672" s="46">
        <v>7</v>
      </c>
      <c r="K672" s="11" t="s">
        <v>779</v>
      </c>
      <c r="L672" s="27">
        <v>81</v>
      </c>
      <c r="M672" s="41" t="s">
        <v>934</v>
      </c>
      <c r="N672" s="43" t="s">
        <v>2307</v>
      </c>
      <c r="O672" s="1" t="s">
        <v>1390</v>
      </c>
      <c r="Q672">
        <f t="shared" si="10"/>
        <v>4.3032714230461213</v>
      </c>
    </row>
    <row r="673" spans="1:17" x14ac:dyDescent="0.35">
      <c r="D673" s="71">
        <v>5.8473961981153719</v>
      </c>
      <c r="E673" s="69">
        <v>45.600074144203305</v>
      </c>
      <c r="F673" s="72" t="s">
        <v>231</v>
      </c>
      <c r="G673" s="35">
        <v>45</v>
      </c>
      <c r="H673" s="1" t="s">
        <v>1160</v>
      </c>
      <c r="I673" s="35">
        <v>26</v>
      </c>
      <c r="J673" s="46">
        <v>14</v>
      </c>
      <c r="K673" s="11" t="s">
        <v>1164</v>
      </c>
      <c r="L673" s="27">
        <v>80</v>
      </c>
      <c r="M673" s="41" t="s">
        <v>806</v>
      </c>
      <c r="N673" s="41" t="s">
        <v>2308</v>
      </c>
      <c r="Q673">
        <f t="shared" si="10"/>
        <v>5.8473961981153719</v>
      </c>
    </row>
    <row r="674" spans="1:17" x14ac:dyDescent="0.35">
      <c r="D674" s="71">
        <v>9.5863151144177348</v>
      </c>
      <c r="E674" s="69">
        <v>64.224060632558761</v>
      </c>
      <c r="F674" s="72" t="s">
        <v>231</v>
      </c>
      <c r="G674" s="35">
        <v>4</v>
      </c>
      <c r="H674" s="1" t="s">
        <v>468</v>
      </c>
      <c r="I674" s="35">
        <v>26</v>
      </c>
      <c r="J674" s="46">
        <v>13</v>
      </c>
      <c r="K674" s="11" t="s">
        <v>1155</v>
      </c>
      <c r="L674" s="27">
        <v>77</v>
      </c>
      <c r="M674" s="41" t="s">
        <v>710</v>
      </c>
      <c r="N674" s="41" t="s">
        <v>2309</v>
      </c>
      <c r="Q674">
        <f t="shared" si="10"/>
        <v>9.5863151144177348</v>
      </c>
    </row>
    <row r="675" spans="1:17" x14ac:dyDescent="0.35">
      <c r="D675" s="71">
        <v>-3.9649068798798894</v>
      </c>
      <c r="E675" s="69">
        <v>61.849933485628497</v>
      </c>
      <c r="F675" s="72" t="s">
        <v>231</v>
      </c>
      <c r="G675" s="35">
        <v>76</v>
      </c>
      <c r="H675" s="1" t="s">
        <v>763</v>
      </c>
      <c r="I675" s="35">
        <v>31</v>
      </c>
      <c r="J675" s="46">
        <v>18</v>
      </c>
      <c r="K675" s="11" t="s">
        <v>693</v>
      </c>
      <c r="L675" s="27">
        <v>26</v>
      </c>
      <c r="M675" s="41" t="s">
        <v>2310</v>
      </c>
      <c r="N675" s="41" t="s">
        <v>2311</v>
      </c>
      <c r="Q675">
        <f t="shared" si="10"/>
        <v>3.9649068798798894</v>
      </c>
    </row>
    <row r="676" spans="1:17" x14ac:dyDescent="0.35">
      <c r="D676" s="71">
        <v>0.8564865490462128</v>
      </c>
      <c r="E676" s="69">
        <v>40.013223893538417</v>
      </c>
      <c r="F676" s="72" t="s">
        <v>129</v>
      </c>
      <c r="G676" s="35">
        <v>58</v>
      </c>
      <c r="H676" s="1" t="s">
        <v>680</v>
      </c>
      <c r="I676" s="35">
        <v>11</v>
      </c>
      <c r="J676" s="46">
        <v>7</v>
      </c>
      <c r="K676" s="11" t="s">
        <v>764</v>
      </c>
      <c r="L676" s="27">
        <v>75</v>
      </c>
      <c r="M676" s="41" t="s">
        <v>1003</v>
      </c>
      <c r="N676" s="41" t="s">
        <v>2312</v>
      </c>
      <c r="Q676">
        <f t="shared" si="10"/>
        <v>0.8564865490462128</v>
      </c>
    </row>
    <row r="677" spans="1:17" x14ac:dyDescent="0.35">
      <c r="D677" s="71">
        <v>8.4791918430009297</v>
      </c>
      <c r="E677" s="69">
        <v>65.372005826427909</v>
      </c>
      <c r="F677" s="72" t="s">
        <v>231</v>
      </c>
      <c r="G677" s="35">
        <v>6</v>
      </c>
      <c r="H677" s="1" t="s">
        <v>718</v>
      </c>
      <c r="I677" s="35">
        <v>23</v>
      </c>
      <c r="J677" s="46">
        <v>18</v>
      </c>
      <c r="K677" s="11" t="s">
        <v>712</v>
      </c>
      <c r="L677" s="27">
        <v>74</v>
      </c>
      <c r="M677" s="41" t="s">
        <v>727</v>
      </c>
      <c r="N677" s="41" t="s">
        <v>2313</v>
      </c>
      <c r="Q677">
        <f t="shared" si="10"/>
        <v>8.4791918430009297</v>
      </c>
    </row>
    <row r="678" spans="1:17" x14ac:dyDescent="0.35">
      <c r="A678" s="2" t="s">
        <v>2314</v>
      </c>
      <c r="D678" s="71">
        <v>5.5415280916251328</v>
      </c>
      <c r="E678" s="69">
        <v>55.95843033586241</v>
      </c>
      <c r="F678" s="72" t="s">
        <v>231</v>
      </c>
      <c r="G678" s="35">
        <v>29</v>
      </c>
      <c r="H678" s="1" t="s">
        <v>753</v>
      </c>
      <c r="I678" s="35">
        <v>20</v>
      </c>
      <c r="J678" s="46">
        <v>17</v>
      </c>
      <c r="K678" s="11" t="s">
        <v>743</v>
      </c>
      <c r="L678" s="27">
        <v>73</v>
      </c>
      <c r="M678" s="41" t="s">
        <v>710</v>
      </c>
      <c r="N678" s="41" t="s">
        <v>2315</v>
      </c>
      <c r="O678" s="6" t="s">
        <v>1386</v>
      </c>
      <c r="P678" t="s">
        <v>2316</v>
      </c>
      <c r="Q678">
        <f t="shared" si="10"/>
        <v>5.5415280916251328</v>
      </c>
    </row>
    <row r="679" spans="1:17" x14ac:dyDescent="0.35">
      <c r="D679" s="71">
        <v>-0.28927107474218872</v>
      </c>
      <c r="E679" s="69">
        <v>42.014989752319529</v>
      </c>
      <c r="F679" s="72" t="s">
        <v>129</v>
      </c>
      <c r="G679" s="35">
        <v>61</v>
      </c>
      <c r="H679" s="1" t="s">
        <v>1165</v>
      </c>
      <c r="I679" s="35">
        <v>18</v>
      </c>
      <c r="J679" s="46">
        <v>14</v>
      </c>
      <c r="K679" s="11" t="s">
        <v>1162</v>
      </c>
      <c r="L679" s="27">
        <v>72</v>
      </c>
      <c r="M679" s="41" t="s">
        <v>866</v>
      </c>
      <c r="N679" s="41" t="s">
        <v>2317</v>
      </c>
      <c r="P679" t="s">
        <v>2318</v>
      </c>
      <c r="Q679">
        <f t="shared" si="10"/>
        <v>0.28927107474218872</v>
      </c>
    </row>
    <row r="680" spans="1:17" x14ac:dyDescent="0.35">
      <c r="D680" s="71">
        <v>3.0910974124238182</v>
      </c>
      <c r="E680" s="69">
        <v>52.792073276840121</v>
      </c>
      <c r="F680" s="72" t="s">
        <v>231</v>
      </c>
      <c r="G680" s="35">
        <v>41</v>
      </c>
      <c r="H680" s="1" t="s">
        <v>632</v>
      </c>
      <c r="I680" s="35">
        <v>21</v>
      </c>
      <c r="J680" s="46">
        <v>20</v>
      </c>
      <c r="K680" s="11" t="s">
        <v>634</v>
      </c>
      <c r="L680" s="27">
        <v>71</v>
      </c>
      <c r="M680" s="41" t="s">
        <v>2319</v>
      </c>
      <c r="N680" s="41" t="s">
        <v>2320</v>
      </c>
      <c r="Q680">
        <f t="shared" si="10"/>
        <v>3.0910974124238182</v>
      </c>
    </row>
    <row r="681" spans="1:17" x14ac:dyDescent="0.35">
      <c r="D681" s="71">
        <v>2.3207376817674574</v>
      </c>
      <c r="E681" s="69">
        <v>48.922687370166109</v>
      </c>
      <c r="F681" s="72" t="s">
        <v>231</v>
      </c>
      <c r="G681" s="35">
        <v>54</v>
      </c>
      <c r="H681" s="1" t="s">
        <v>681</v>
      </c>
      <c r="I681" s="35">
        <v>24</v>
      </c>
      <c r="J681" s="46">
        <v>11</v>
      </c>
      <c r="K681" s="11" t="s">
        <v>1163</v>
      </c>
      <c r="L681" s="27">
        <v>69</v>
      </c>
      <c r="M681" s="41" t="s">
        <v>721</v>
      </c>
      <c r="N681" s="41" t="s">
        <v>2321</v>
      </c>
      <c r="Q681">
        <f t="shared" si="10"/>
        <v>2.3207376817674574</v>
      </c>
    </row>
    <row r="682" spans="1:17" x14ac:dyDescent="0.35">
      <c r="D682" s="71">
        <v>-1.576841843001701</v>
      </c>
      <c r="E682" s="69">
        <v>42.644172745001221</v>
      </c>
      <c r="F682" s="72" t="s">
        <v>129</v>
      </c>
      <c r="G682" s="35">
        <v>63</v>
      </c>
      <c r="H682" s="1" t="s">
        <v>665</v>
      </c>
      <c r="I682" s="35">
        <v>23</v>
      </c>
      <c r="J682" s="46">
        <v>10</v>
      </c>
      <c r="K682" s="11" t="s">
        <v>751</v>
      </c>
      <c r="L682" s="27">
        <v>68</v>
      </c>
      <c r="M682" s="41" t="s">
        <v>790</v>
      </c>
      <c r="N682" s="41" t="s">
        <v>2322</v>
      </c>
      <c r="Q682">
        <f t="shared" si="10"/>
        <v>1.576841843001701</v>
      </c>
    </row>
    <row r="683" spans="1:17" x14ac:dyDescent="0.35">
      <c r="D683" s="71">
        <v>7.4017283391128839</v>
      </c>
      <c r="E683" s="69">
        <v>68.568790162620985</v>
      </c>
      <c r="F683" s="72" t="s">
        <v>231</v>
      </c>
      <c r="G683" s="35">
        <v>8</v>
      </c>
      <c r="H683" s="1" t="s">
        <v>643</v>
      </c>
      <c r="I683" s="35">
        <v>28</v>
      </c>
      <c r="J683" s="46">
        <v>26</v>
      </c>
      <c r="K683" s="11" t="s">
        <v>673</v>
      </c>
      <c r="L683" s="27">
        <v>67</v>
      </c>
      <c r="M683" s="41" t="s">
        <v>1011</v>
      </c>
      <c r="N683" s="41" t="s">
        <v>2323</v>
      </c>
      <c r="O683" s="6" t="s">
        <v>1386</v>
      </c>
      <c r="P683" t="s">
        <v>2324</v>
      </c>
      <c r="Q683">
        <f t="shared" si="10"/>
        <v>7.4017283391128839</v>
      </c>
    </row>
    <row r="684" spans="1:17" x14ac:dyDescent="0.35">
      <c r="D684" s="71">
        <v>1.9937660846703302</v>
      </c>
      <c r="E684" s="69">
        <v>54.379452796664054</v>
      </c>
      <c r="F684" s="72" t="s">
        <v>129</v>
      </c>
      <c r="G684" s="35">
        <v>44</v>
      </c>
      <c r="H684" s="1" t="s">
        <v>660</v>
      </c>
      <c r="I684" s="35">
        <v>31</v>
      </c>
      <c r="J684" s="46">
        <v>11</v>
      </c>
      <c r="K684" s="11" t="s">
        <v>761</v>
      </c>
      <c r="L684" s="27">
        <v>66</v>
      </c>
      <c r="M684" s="41" t="s">
        <v>844</v>
      </c>
      <c r="N684" s="43" t="s">
        <v>2325</v>
      </c>
      <c r="O684" s="1" t="s">
        <v>1390</v>
      </c>
      <c r="Q684">
        <f t="shared" si="10"/>
        <v>1.9937660846703302</v>
      </c>
    </row>
    <row r="685" spans="1:17" x14ac:dyDescent="0.35">
      <c r="D685" s="71">
        <v>1.5494076582424319</v>
      </c>
      <c r="E685" s="69">
        <v>60.723637386969685</v>
      </c>
      <c r="F685" s="72" t="s">
        <v>129</v>
      </c>
      <c r="G685" s="35">
        <v>30</v>
      </c>
      <c r="H685" s="1" t="s">
        <v>663</v>
      </c>
      <c r="I685" s="35">
        <v>13</v>
      </c>
      <c r="J685" s="46">
        <v>4</v>
      </c>
      <c r="K685" s="11" t="s">
        <v>774</v>
      </c>
      <c r="L685" s="27">
        <v>65</v>
      </c>
      <c r="M685" s="41" t="s">
        <v>1190</v>
      </c>
      <c r="N685" s="41" t="s">
        <v>2326</v>
      </c>
      <c r="P685" s="70" t="s">
        <v>2327</v>
      </c>
      <c r="Q685">
        <f t="shared" si="10"/>
        <v>1.5494076582424319</v>
      </c>
    </row>
    <row r="686" spans="1:17" x14ac:dyDescent="0.35">
      <c r="D686" s="71">
        <v>-7.7585092061250256</v>
      </c>
      <c r="E686" s="69">
        <v>80.184649432946458</v>
      </c>
      <c r="F686" s="72" t="s">
        <v>231</v>
      </c>
      <c r="G686" s="35">
        <v>64</v>
      </c>
      <c r="H686" s="1" t="s">
        <v>768</v>
      </c>
      <c r="I686" s="35">
        <v>20</v>
      </c>
      <c r="J686" s="46">
        <v>13</v>
      </c>
      <c r="K686" s="11" t="s">
        <v>649</v>
      </c>
      <c r="L686" s="27">
        <v>7</v>
      </c>
      <c r="M686" s="41" t="s">
        <v>905</v>
      </c>
      <c r="N686" s="41" t="s">
        <v>2328</v>
      </c>
      <c r="O686" t="s">
        <v>2281</v>
      </c>
      <c r="P686" s="70" t="s">
        <v>2329</v>
      </c>
      <c r="Q686">
        <f t="shared" si="10"/>
        <v>7.7585092061250256</v>
      </c>
    </row>
    <row r="687" spans="1:17" x14ac:dyDescent="0.35">
      <c r="D687" s="71">
        <v>5.5442304778402534</v>
      </c>
      <c r="E687" s="69">
        <v>71.396978230114101</v>
      </c>
      <c r="F687" s="72" t="s">
        <v>231</v>
      </c>
      <c r="G687" s="35">
        <v>10</v>
      </c>
      <c r="H687" s="1" t="s">
        <v>647</v>
      </c>
      <c r="I687" s="35">
        <v>23</v>
      </c>
      <c r="J687" s="46">
        <v>10</v>
      </c>
      <c r="K687" s="11" t="s">
        <v>742</v>
      </c>
      <c r="L687" s="27">
        <v>59</v>
      </c>
      <c r="M687" s="41" t="s">
        <v>799</v>
      </c>
      <c r="N687" s="41" t="s">
        <v>2330</v>
      </c>
      <c r="Q687">
        <f t="shared" si="10"/>
        <v>5.5442304778402534</v>
      </c>
    </row>
    <row r="688" spans="1:17" x14ac:dyDescent="0.35">
      <c r="D688" s="71">
        <v>-0.99383112349306824</v>
      </c>
      <c r="E688" s="69">
        <v>55.70987937392362</v>
      </c>
      <c r="F688" s="72" t="s">
        <v>129</v>
      </c>
      <c r="G688" s="35">
        <v>57</v>
      </c>
      <c r="H688" s="1" t="s">
        <v>679</v>
      </c>
      <c r="I688" s="35">
        <v>19</v>
      </c>
      <c r="J688" s="46">
        <v>17</v>
      </c>
      <c r="K688" s="11" t="s">
        <v>785</v>
      </c>
      <c r="L688" s="27">
        <v>55</v>
      </c>
      <c r="M688" s="41" t="s">
        <v>796</v>
      </c>
      <c r="N688" s="41" t="s">
        <v>2331</v>
      </c>
      <c r="P688" s="70" t="s">
        <v>2332</v>
      </c>
      <c r="Q688">
        <f t="shared" si="10"/>
        <v>0.99383112349306824</v>
      </c>
    </row>
    <row r="689" spans="1:17" x14ac:dyDescent="0.35">
      <c r="D689" s="71">
        <v>6.8896226643104663</v>
      </c>
      <c r="E689" s="69">
        <v>74.721698096921102</v>
      </c>
      <c r="F689" s="72" t="s">
        <v>231</v>
      </c>
      <c r="G689" s="35">
        <v>1</v>
      </c>
      <c r="H689" s="1" t="s">
        <v>245</v>
      </c>
      <c r="I689" s="35">
        <v>25</v>
      </c>
      <c r="J689" s="46">
        <v>15</v>
      </c>
      <c r="K689" s="11" t="s">
        <v>771</v>
      </c>
      <c r="L689" s="27">
        <v>56</v>
      </c>
      <c r="M689" s="41" t="s">
        <v>786</v>
      </c>
      <c r="N689" s="41" t="s">
        <v>2333</v>
      </c>
      <c r="Q689">
        <f t="shared" si="10"/>
        <v>6.8896226643104663</v>
      </c>
    </row>
    <row r="690" spans="1:17" x14ac:dyDescent="0.35">
      <c r="D690" s="71">
        <v>-2.8644271253354407</v>
      </c>
      <c r="E690" s="69">
        <v>79.188876518096734</v>
      </c>
      <c r="F690" s="72" t="s">
        <v>231</v>
      </c>
      <c r="G690" s="35">
        <v>53</v>
      </c>
      <c r="H690" s="1" t="s">
        <v>646</v>
      </c>
      <c r="I690" s="35">
        <v>24</v>
      </c>
      <c r="J690" s="46">
        <v>14</v>
      </c>
      <c r="K690" s="11" t="s">
        <v>704</v>
      </c>
      <c r="L690" s="27">
        <v>11</v>
      </c>
      <c r="M690" s="41" t="s">
        <v>934</v>
      </c>
      <c r="N690" s="41" t="s">
        <v>2334</v>
      </c>
      <c r="Q690">
        <f t="shared" si="10"/>
        <v>2.8644271253354407</v>
      </c>
    </row>
    <row r="691" spans="1:17" x14ac:dyDescent="0.35">
      <c r="D691" s="71">
        <v>1.2428042229681988</v>
      </c>
      <c r="E691" s="69">
        <v>71.96942555502271</v>
      </c>
      <c r="F691" s="72" t="s">
        <v>129</v>
      </c>
      <c r="G691" s="35">
        <v>24</v>
      </c>
      <c r="H691" s="1" t="s">
        <v>780</v>
      </c>
      <c r="I691" s="35">
        <v>17</v>
      </c>
      <c r="J691" s="46">
        <v>11</v>
      </c>
      <c r="K691" s="11" t="s">
        <v>772</v>
      </c>
      <c r="L691" s="27">
        <v>52</v>
      </c>
      <c r="M691" s="41" t="s">
        <v>724</v>
      </c>
      <c r="N691" s="41" t="s">
        <v>2335</v>
      </c>
      <c r="Q691">
        <f t="shared" si="10"/>
        <v>1.2428042229681988</v>
      </c>
    </row>
    <row r="692" spans="1:17" x14ac:dyDescent="0.35">
      <c r="D692" s="71">
        <v>-9.8441301646373935E-3</v>
      </c>
      <c r="E692" s="69">
        <v>67.060602950117598</v>
      </c>
      <c r="F692" s="72" t="s">
        <v>129</v>
      </c>
      <c r="G692" s="35">
        <v>32</v>
      </c>
      <c r="H692" s="1" t="s">
        <v>671</v>
      </c>
      <c r="I692" s="35">
        <v>15</v>
      </c>
      <c r="J692" s="46">
        <v>13</v>
      </c>
      <c r="K692" s="11" t="s">
        <v>713</v>
      </c>
      <c r="L692" s="27">
        <v>50</v>
      </c>
      <c r="M692" s="41" t="s">
        <v>710</v>
      </c>
      <c r="N692" s="41" t="s">
        <v>2336</v>
      </c>
      <c r="O692" t="s">
        <v>2281</v>
      </c>
      <c r="Q692">
        <f t="shared" si="10"/>
        <v>9.8441301646373935E-3</v>
      </c>
    </row>
    <row r="693" spans="1:17" x14ac:dyDescent="0.35">
      <c r="D693" s="71">
        <v>2.3301891744626313</v>
      </c>
      <c r="E693" s="69">
        <v>74.764150589669541</v>
      </c>
      <c r="F693" s="72" t="s">
        <v>129</v>
      </c>
      <c r="G693" s="35">
        <v>17</v>
      </c>
      <c r="H693" s="1" t="s">
        <v>640</v>
      </c>
      <c r="I693" s="35">
        <v>38</v>
      </c>
      <c r="J693" s="46">
        <v>13</v>
      </c>
      <c r="K693" s="11" t="s">
        <v>676</v>
      </c>
      <c r="L693" s="27">
        <v>49</v>
      </c>
      <c r="M693" s="41" t="s">
        <v>892</v>
      </c>
      <c r="N693" s="43" t="s">
        <v>2337</v>
      </c>
      <c r="O693" s="1" t="s">
        <v>1390</v>
      </c>
      <c r="P693" s="70" t="s">
        <v>2338</v>
      </c>
      <c r="Q693">
        <f t="shared" si="10"/>
        <v>2.3301891744626313</v>
      </c>
    </row>
    <row r="694" spans="1:17" x14ac:dyDescent="0.35">
      <c r="D694" s="71">
        <v>1.4807802205478129</v>
      </c>
      <c r="E694" s="69">
        <v>64.790514128180135</v>
      </c>
      <c r="F694" s="72" t="s">
        <v>231</v>
      </c>
      <c r="G694" s="35">
        <v>38</v>
      </c>
      <c r="H694" s="1" t="s">
        <v>731</v>
      </c>
      <c r="I694" s="35">
        <v>25</v>
      </c>
      <c r="J694" s="46">
        <v>10</v>
      </c>
      <c r="K694" s="11" t="s">
        <v>729</v>
      </c>
      <c r="L694" s="27">
        <v>47</v>
      </c>
      <c r="M694" s="41" t="s">
        <v>859</v>
      </c>
      <c r="N694" s="43" t="s">
        <v>2339</v>
      </c>
      <c r="O694" s="1" t="s">
        <v>1390</v>
      </c>
      <c r="Q694">
        <f t="shared" si="10"/>
        <v>1.4807802205478129</v>
      </c>
    </row>
    <row r="695" spans="1:17" x14ac:dyDescent="0.35">
      <c r="D695" s="71">
        <v>-0.14840425746702138</v>
      </c>
      <c r="E695" s="69">
        <v>70.373860183905009</v>
      </c>
      <c r="F695" s="72" t="s">
        <v>231</v>
      </c>
      <c r="G695" s="35">
        <v>46</v>
      </c>
      <c r="H695" s="1" t="s">
        <v>692</v>
      </c>
      <c r="I695" s="35">
        <v>19</v>
      </c>
      <c r="J695" s="46">
        <v>9</v>
      </c>
      <c r="K695" s="11" t="s">
        <v>750</v>
      </c>
      <c r="L695" s="27">
        <v>28</v>
      </c>
      <c r="M695" s="41" t="s">
        <v>721</v>
      </c>
      <c r="N695" s="41" t="s">
        <v>2340</v>
      </c>
      <c r="O695" t="s">
        <v>2281</v>
      </c>
      <c r="Q695">
        <f t="shared" si="10"/>
        <v>0.14840425746702138</v>
      </c>
    </row>
    <row r="696" spans="1:17" x14ac:dyDescent="0.35">
      <c r="D696" s="71">
        <v>-0.58240510074861451</v>
      </c>
      <c r="E696" s="69">
        <v>67.469575071963291</v>
      </c>
      <c r="F696" s="72" t="s">
        <v>129</v>
      </c>
      <c r="G696" s="35">
        <v>39</v>
      </c>
      <c r="H696" s="1" t="s">
        <v>755</v>
      </c>
      <c r="I696" s="35">
        <v>14</v>
      </c>
      <c r="J696" s="46">
        <v>11</v>
      </c>
      <c r="K696" s="11" t="s">
        <v>746</v>
      </c>
      <c r="L696" s="27">
        <v>43</v>
      </c>
      <c r="M696" s="41" t="s">
        <v>870</v>
      </c>
      <c r="N696" s="41" t="s">
        <v>2341</v>
      </c>
      <c r="O696" t="s">
        <v>2281</v>
      </c>
      <c r="Q696">
        <f t="shared" si="10"/>
        <v>0.58240510074861451</v>
      </c>
    </row>
    <row r="697" spans="1:17" x14ac:dyDescent="0.35">
      <c r="D697" s="71">
        <v>-6.0006303764020066</v>
      </c>
      <c r="E697" s="69">
        <v>88.571878840287141</v>
      </c>
      <c r="F697" s="72" t="s">
        <v>231</v>
      </c>
      <c r="G697" s="35">
        <v>42</v>
      </c>
      <c r="H697" s="1" t="s">
        <v>648</v>
      </c>
      <c r="I697" s="35">
        <v>25</v>
      </c>
      <c r="J697" s="46">
        <v>21</v>
      </c>
      <c r="K697" s="11" t="s">
        <v>466</v>
      </c>
      <c r="L697" s="27">
        <v>2</v>
      </c>
      <c r="M697" s="41" t="s">
        <v>934</v>
      </c>
      <c r="N697" s="41" t="s">
        <v>2342</v>
      </c>
      <c r="P697" s="89"/>
      <c r="Q697">
        <f t="shared" si="10"/>
        <v>6.0006303764020066</v>
      </c>
    </row>
    <row r="698" spans="1:17" x14ac:dyDescent="0.35">
      <c r="D698" s="71">
        <v>3.4543838962204689</v>
      </c>
      <c r="E698" s="69">
        <v>78.604011502699663</v>
      </c>
      <c r="F698" s="72" t="s">
        <v>231</v>
      </c>
      <c r="G698" s="35">
        <v>18</v>
      </c>
      <c r="H698" s="1" t="s">
        <v>664</v>
      </c>
      <c r="I698" s="35">
        <v>27</v>
      </c>
      <c r="J698" s="46">
        <v>20</v>
      </c>
      <c r="K698" s="11" t="s">
        <v>666</v>
      </c>
      <c r="L698" s="27">
        <v>35</v>
      </c>
      <c r="M698" s="41" t="s">
        <v>1229</v>
      </c>
      <c r="N698" s="41" t="s">
        <v>2343</v>
      </c>
      <c r="Q698">
        <f t="shared" si="10"/>
        <v>3.4543838962204689</v>
      </c>
    </row>
    <row r="699" spans="1:17" x14ac:dyDescent="0.35">
      <c r="D699" s="71">
        <v>3.6395365102358697</v>
      </c>
      <c r="E699" s="69">
        <v>84.543188206974378</v>
      </c>
      <c r="F699" s="72" t="s">
        <v>129</v>
      </c>
      <c r="G699" s="35">
        <v>3</v>
      </c>
      <c r="H699" s="1" t="s">
        <v>242</v>
      </c>
      <c r="I699" s="35">
        <v>29</v>
      </c>
      <c r="J699" s="46">
        <v>9</v>
      </c>
      <c r="K699" s="11" t="s">
        <v>765</v>
      </c>
      <c r="L699" s="27">
        <v>33</v>
      </c>
      <c r="M699" s="41" t="s">
        <v>699</v>
      </c>
      <c r="N699" s="43" t="s">
        <v>2344</v>
      </c>
      <c r="O699" s="1" t="s">
        <v>1390</v>
      </c>
      <c r="Q699">
        <f t="shared" si="10"/>
        <v>3.6395365102358697</v>
      </c>
    </row>
    <row r="700" spans="1:17" x14ac:dyDescent="0.35">
      <c r="D700" s="71">
        <v>-0.12593955679559854</v>
      </c>
      <c r="E700" s="69">
        <v>80.804242540568282</v>
      </c>
      <c r="F700" s="72" t="s">
        <v>129</v>
      </c>
      <c r="G700" s="35">
        <v>23</v>
      </c>
      <c r="H700" s="1" t="s">
        <v>465</v>
      </c>
      <c r="I700" s="35">
        <v>19</v>
      </c>
      <c r="J700" s="46">
        <v>16</v>
      </c>
      <c r="K700" s="11" t="s">
        <v>783</v>
      </c>
      <c r="L700" s="27">
        <v>31</v>
      </c>
      <c r="M700" s="41" t="s">
        <v>705</v>
      </c>
      <c r="N700" s="41" t="s">
        <v>2345</v>
      </c>
      <c r="O700" t="s">
        <v>2281</v>
      </c>
      <c r="P700" s="70" t="s">
        <v>2346</v>
      </c>
      <c r="Q700">
        <f t="shared" si="10"/>
        <v>0.12593955679559854</v>
      </c>
    </row>
    <row r="701" spans="1:17" ht="15" thickBot="1" x14ac:dyDescent="0.4">
      <c r="C701" s="51"/>
      <c r="D701" s="82">
        <v>-0.65404335036403449</v>
      </c>
      <c r="E701" s="76">
        <v>92.02967382168859</v>
      </c>
      <c r="F701" s="83" t="s">
        <v>129</v>
      </c>
      <c r="G701" s="49">
        <v>13</v>
      </c>
      <c r="H701" s="45" t="s">
        <v>352</v>
      </c>
      <c r="I701" s="49">
        <v>23</v>
      </c>
      <c r="J701" s="50">
        <v>21</v>
      </c>
      <c r="K701" s="51" t="s">
        <v>334</v>
      </c>
      <c r="L701" s="77">
        <v>14</v>
      </c>
      <c r="M701" s="42" t="s">
        <v>786</v>
      </c>
      <c r="N701" s="42" t="s">
        <v>2347</v>
      </c>
      <c r="O701" s="90" t="s">
        <v>1386</v>
      </c>
      <c r="P701" s="78"/>
      <c r="Q701">
        <f t="shared" si="10"/>
        <v>0.65404335036403449</v>
      </c>
    </row>
    <row r="702" spans="1:17" x14ac:dyDescent="0.35">
      <c r="A702" s="2" t="s">
        <v>2348</v>
      </c>
      <c r="B702" s="103" t="s">
        <v>1323</v>
      </c>
      <c r="C702" s="11" t="s">
        <v>2349</v>
      </c>
      <c r="D702" s="71">
        <v>-0.46216102003683412</v>
      </c>
      <c r="E702" s="69">
        <v>67.029246370023671</v>
      </c>
      <c r="F702" s="72" t="s">
        <v>231</v>
      </c>
      <c r="G702" s="35">
        <v>56</v>
      </c>
      <c r="H702" s="1" t="s">
        <v>679</v>
      </c>
      <c r="I702" s="35">
        <v>16</v>
      </c>
      <c r="J702" s="46">
        <v>14</v>
      </c>
      <c r="K702" s="11" t="s">
        <v>671</v>
      </c>
      <c r="L702" s="27">
        <v>36</v>
      </c>
      <c r="M702" s="41" t="s">
        <v>773</v>
      </c>
      <c r="N702" s="41" t="s">
        <v>2350</v>
      </c>
      <c r="Q702">
        <f t="shared" si="10"/>
        <v>0.46216102003683412</v>
      </c>
    </row>
    <row r="703" spans="1:17" x14ac:dyDescent="0.35">
      <c r="C703" s="11" t="s">
        <v>2349</v>
      </c>
      <c r="D703" s="71">
        <v>0.31266672150423352</v>
      </c>
      <c r="E703" s="69">
        <v>58.937392821890136</v>
      </c>
      <c r="F703" s="72" t="s">
        <v>231</v>
      </c>
      <c r="G703" s="35">
        <v>61</v>
      </c>
      <c r="H703" s="1" t="s">
        <v>729</v>
      </c>
      <c r="I703" s="35">
        <v>30</v>
      </c>
      <c r="J703" s="46">
        <v>19</v>
      </c>
      <c r="K703" s="11" t="s">
        <v>765</v>
      </c>
      <c r="L703" s="27">
        <v>52</v>
      </c>
      <c r="M703" s="41" t="s">
        <v>754</v>
      </c>
      <c r="N703" s="43" t="s">
        <v>2354</v>
      </c>
      <c r="O703" s="1" t="s">
        <v>1390</v>
      </c>
      <c r="Q703">
        <f t="shared" si="10"/>
        <v>0.31266672150423352</v>
      </c>
    </row>
    <row r="704" spans="1:17" x14ac:dyDescent="0.35">
      <c r="C704" s="11" t="s">
        <v>2349</v>
      </c>
      <c r="D704" s="71">
        <v>12.515151954358865</v>
      </c>
      <c r="E704" s="69">
        <v>63.347402315055021</v>
      </c>
      <c r="F704" s="72" t="s">
        <v>231</v>
      </c>
      <c r="G704" s="35">
        <v>5</v>
      </c>
      <c r="H704" s="1" t="s">
        <v>644</v>
      </c>
      <c r="I704" s="35">
        <v>37</v>
      </c>
      <c r="J704" s="46">
        <v>14</v>
      </c>
      <c r="K704" s="11" t="s">
        <v>636</v>
      </c>
      <c r="L704" s="27">
        <v>84</v>
      </c>
      <c r="M704" s="41" t="s">
        <v>796</v>
      </c>
      <c r="N704" s="41" t="s">
        <v>2357</v>
      </c>
      <c r="O704" t="s">
        <v>2281</v>
      </c>
      <c r="Q704">
        <f t="shared" si="10"/>
        <v>12.515151954358865</v>
      </c>
    </row>
    <row r="705" spans="1:17" x14ac:dyDescent="0.35">
      <c r="C705" s="11" t="s">
        <v>2349</v>
      </c>
      <c r="D705" s="71">
        <v>-1.093396597184884</v>
      </c>
      <c r="E705" s="69">
        <v>76.113612098190288</v>
      </c>
      <c r="F705" s="72" t="s">
        <v>129</v>
      </c>
      <c r="G705" s="35">
        <v>28</v>
      </c>
      <c r="H705" s="1" t="s">
        <v>672</v>
      </c>
      <c r="I705" s="35">
        <v>14</v>
      </c>
      <c r="J705" s="46">
        <v>9</v>
      </c>
      <c r="K705" s="11" t="s">
        <v>692</v>
      </c>
      <c r="L705" s="27">
        <v>40</v>
      </c>
      <c r="M705" s="41" t="s">
        <v>721</v>
      </c>
      <c r="N705" s="41" t="s">
        <v>2360</v>
      </c>
      <c r="O705" t="s">
        <v>2281</v>
      </c>
      <c r="Q705">
        <f t="shared" si="10"/>
        <v>1.093396597184884</v>
      </c>
    </row>
    <row r="706" spans="1:17" x14ac:dyDescent="0.35">
      <c r="C706" s="11" t="s">
        <v>2349</v>
      </c>
      <c r="D706" s="71">
        <v>-5.1015185661148736</v>
      </c>
      <c r="E706" s="69">
        <v>61.83881167012936</v>
      </c>
      <c r="F706" s="72" t="s">
        <v>129</v>
      </c>
      <c r="G706" s="35">
        <v>79</v>
      </c>
      <c r="H706" s="1" t="s">
        <v>764</v>
      </c>
      <c r="I706" s="35">
        <v>23</v>
      </c>
      <c r="J706" s="46">
        <v>19</v>
      </c>
      <c r="K706" s="11" t="s">
        <v>753</v>
      </c>
      <c r="L706" s="27">
        <v>38</v>
      </c>
      <c r="M706" s="41" t="s">
        <v>1188</v>
      </c>
      <c r="N706" s="41" t="s">
        <v>2364</v>
      </c>
      <c r="P706" t="s">
        <v>2365</v>
      </c>
      <c r="Q706">
        <f t="shared" si="10"/>
        <v>5.1015185661148736</v>
      </c>
    </row>
    <row r="707" spans="1:17" x14ac:dyDescent="0.35">
      <c r="C707" s="11" t="s">
        <v>2349</v>
      </c>
      <c r="D707" s="71">
        <v>8.3157652302339145</v>
      </c>
      <c r="E707" s="69">
        <v>75.047008066278195</v>
      </c>
      <c r="F707" s="72" t="s">
        <v>231</v>
      </c>
      <c r="G707" s="35">
        <v>8</v>
      </c>
      <c r="H707" s="1" t="s">
        <v>747</v>
      </c>
      <c r="I707" s="35">
        <v>20</v>
      </c>
      <c r="J707" s="46">
        <v>15</v>
      </c>
      <c r="K707" s="11" t="s">
        <v>1165</v>
      </c>
      <c r="L707" s="27">
        <v>53</v>
      </c>
      <c r="M707" s="41" t="s">
        <v>902</v>
      </c>
      <c r="N707" s="41" t="s">
        <v>2368</v>
      </c>
      <c r="O707" t="s">
        <v>2281</v>
      </c>
      <c r="Q707">
        <f t="shared" ref="Q707:Q770" si="11">ABS(D707)</f>
        <v>8.3157652302339145</v>
      </c>
    </row>
    <row r="708" spans="1:17" x14ac:dyDescent="0.35">
      <c r="C708" s="11" t="s">
        <v>2349</v>
      </c>
      <c r="D708" s="71">
        <v>9.2269885201569828</v>
      </c>
      <c r="E708" s="69">
        <v>59.675507379899088</v>
      </c>
      <c r="F708" s="72" t="s">
        <v>231</v>
      </c>
      <c r="G708" s="35">
        <v>19</v>
      </c>
      <c r="H708" s="1" t="s">
        <v>641</v>
      </c>
      <c r="I708" s="35">
        <v>32</v>
      </c>
      <c r="J708" s="46">
        <v>22</v>
      </c>
      <c r="K708" s="11" t="s">
        <v>1164</v>
      </c>
      <c r="L708" s="27">
        <v>88</v>
      </c>
      <c r="M708" s="41" t="s">
        <v>851</v>
      </c>
      <c r="N708" s="41" t="s">
        <v>2371</v>
      </c>
      <c r="O708" t="s">
        <v>2281</v>
      </c>
      <c r="Q708">
        <f t="shared" si="11"/>
        <v>9.2269885201569828</v>
      </c>
    </row>
    <row r="709" spans="1:17" x14ac:dyDescent="0.35">
      <c r="C709" s="11" t="s">
        <v>2349</v>
      </c>
      <c r="D709" s="71">
        <v>0.31857910816358315</v>
      </c>
      <c r="E709" s="69">
        <v>82.438056287609129</v>
      </c>
      <c r="F709" s="72" t="s">
        <v>231</v>
      </c>
      <c r="G709" s="35">
        <v>33</v>
      </c>
      <c r="H709" s="1" t="s">
        <v>629</v>
      </c>
      <c r="I709" s="35">
        <v>18</v>
      </c>
      <c r="J709" s="46">
        <v>14</v>
      </c>
      <c r="K709" s="11" t="s">
        <v>465</v>
      </c>
      <c r="L709" s="27">
        <v>21</v>
      </c>
      <c r="M709" s="41" t="s">
        <v>773</v>
      </c>
      <c r="N709" s="41" t="s">
        <v>2374</v>
      </c>
      <c r="O709" t="s">
        <v>2281</v>
      </c>
      <c r="Q709">
        <f t="shared" si="11"/>
        <v>0.31857910816358315</v>
      </c>
    </row>
    <row r="710" spans="1:17" x14ac:dyDescent="0.35">
      <c r="A710" s="2" t="s">
        <v>2363</v>
      </c>
      <c r="C710" s="11" t="s">
        <v>2349</v>
      </c>
      <c r="D710" s="71">
        <v>-5.8812875496679125</v>
      </c>
      <c r="E710" s="69">
        <v>52.071006281929378</v>
      </c>
      <c r="F710" s="72" t="s">
        <v>231</v>
      </c>
      <c r="G710" s="35">
        <v>104</v>
      </c>
      <c r="H710" s="1" t="s">
        <v>637</v>
      </c>
      <c r="I710" s="35">
        <v>25</v>
      </c>
      <c r="J710" s="46">
        <v>24</v>
      </c>
      <c r="K710" s="11" t="s">
        <v>783</v>
      </c>
      <c r="L710" s="27">
        <v>39</v>
      </c>
      <c r="M710" s="41" t="s">
        <v>735</v>
      </c>
      <c r="N710" s="41" t="s">
        <v>2377</v>
      </c>
      <c r="Q710">
        <f t="shared" si="11"/>
        <v>5.8812875496679125</v>
      </c>
    </row>
    <row r="711" spans="1:17" x14ac:dyDescent="0.35">
      <c r="C711" s="11" t="s">
        <v>2349</v>
      </c>
      <c r="D711" s="71">
        <v>9.3226321053531596</v>
      </c>
      <c r="E711" s="69">
        <v>80.506879360844394</v>
      </c>
      <c r="F711" s="72" t="s">
        <v>231</v>
      </c>
      <c r="G711" s="35">
        <v>1</v>
      </c>
      <c r="H711" s="1" t="s">
        <v>468</v>
      </c>
      <c r="I711" s="35">
        <v>25</v>
      </c>
      <c r="J711" s="46">
        <v>8</v>
      </c>
      <c r="K711" s="11" t="s">
        <v>755</v>
      </c>
      <c r="L711" s="27">
        <v>41</v>
      </c>
      <c r="M711" s="41" t="s">
        <v>870</v>
      </c>
      <c r="N711" s="43" t="s">
        <v>2380</v>
      </c>
      <c r="O711" s="1" t="s">
        <v>1390</v>
      </c>
      <c r="Q711">
        <f t="shared" si="11"/>
        <v>9.3226321053531596</v>
      </c>
    </row>
    <row r="712" spans="1:17" x14ac:dyDescent="0.35">
      <c r="C712" s="11" t="s">
        <v>2349</v>
      </c>
      <c r="D712" s="71">
        <v>10.636375933695929</v>
      </c>
      <c r="E712" s="69">
        <v>41.452508328338332</v>
      </c>
      <c r="F712" s="72" t="s">
        <v>231</v>
      </c>
      <c r="G712" s="35">
        <v>35</v>
      </c>
      <c r="H712" s="1" t="s">
        <v>660</v>
      </c>
      <c r="I712" s="35">
        <v>35</v>
      </c>
      <c r="J712" s="46">
        <v>6</v>
      </c>
      <c r="K712" s="11" t="s">
        <v>638</v>
      </c>
      <c r="L712" s="27">
        <v>108</v>
      </c>
      <c r="M712" s="41" t="s">
        <v>836</v>
      </c>
      <c r="N712" s="43" t="s">
        <v>2383</v>
      </c>
      <c r="O712" s="1" t="s">
        <v>1390</v>
      </c>
      <c r="Q712">
        <f t="shared" si="11"/>
        <v>10.636375933695929</v>
      </c>
    </row>
    <row r="713" spans="1:17" x14ac:dyDescent="0.35">
      <c r="C713" s="11" t="s">
        <v>2349</v>
      </c>
      <c r="D713" s="71">
        <v>7.3365164119471258</v>
      </c>
      <c r="E713" s="69">
        <v>77.605096592319711</v>
      </c>
      <c r="F713" s="72" t="s">
        <v>231</v>
      </c>
      <c r="G713" s="35">
        <v>6</v>
      </c>
      <c r="H713" s="1" t="s">
        <v>466</v>
      </c>
      <c r="I713" s="35">
        <v>23</v>
      </c>
      <c r="J713" s="46">
        <v>18</v>
      </c>
      <c r="K713" s="11" t="s">
        <v>661</v>
      </c>
      <c r="L713" s="27">
        <v>49</v>
      </c>
      <c r="M713" s="41" t="s">
        <v>727</v>
      </c>
      <c r="N713" s="41" t="s">
        <v>2386</v>
      </c>
      <c r="O713" t="s">
        <v>2281</v>
      </c>
      <c r="Q713">
        <f t="shared" si="11"/>
        <v>7.3365164119471258</v>
      </c>
    </row>
    <row r="714" spans="1:17" x14ac:dyDescent="0.35">
      <c r="C714" s="11" t="s">
        <v>2349</v>
      </c>
      <c r="D714" s="71">
        <v>3.1361773257619552</v>
      </c>
      <c r="E714" s="69">
        <v>85.448171719153038</v>
      </c>
      <c r="F714" s="72" t="s">
        <v>231</v>
      </c>
      <c r="G714" s="35">
        <v>12</v>
      </c>
      <c r="H714" s="1" t="s">
        <v>352</v>
      </c>
      <c r="I714" s="35">
        <v>20</v>
      </c>
      <c r="J714" s="46">
        <v>8</v>
      </c>
      <c r="K714" s="11" t="s">
        <v>648</v>
      </c>
      <c r="L714" s="27">
        <v>27</v>
      </c>
      <c r="M714" s="41" t="s">
        <v>724</v>
      </c>
      <c r="N714" s="41" t="s">
        <v>2390</v>
      </c>
      <c r="Q714">
        <f t="shared" si="11"/>
        <v>3.1361773257619552</v>
      </c>
    </row>
    <row r="715" spans="1:17" x14ac:dyDescent="0.35">
      <c r="C715" s="11" t="s">
        <v>2349</v>
      </c>
      <c r="D715" s="71">
        <v>1.0673498632148251</v>
      </c>
      <c r="E715" s="69">
        <v>83.563846516504753</v>
      </c>
      <c r="F715" s="72" t="s">
        <v>231</v>
      </c>
      <c r="G715" s="35">
        <v>20</v>
      </c>
      <c r="H715" s="1" t="s">
        <v>758</v>
      </c>
      <c r="I715" s="35">
        <v>15</v>
      </c>
      <c r="J715" s="46">
        <v>11</v>
      </c>
      <c r="K715" s="11" t="s">
        <v>667</v>
      </c>
      <c r="L715" s="27">
        <v>29</v>
      </c>
      <c r="M715" s="41" t="s">
        <v>721</v>
      </c>
      <c r="N715" s="41" t="s">
        <v>2393</v>
      </c>
      <c r="Q715">
        <f t="shared" si="11"/>
        <v>1.0673498632148251</v>
      </c>
    </row>
    <row r="716" spans="1:17" x14ac:dyDescent="0.35">
      <c r="C716" s="11" t="s">
        <v>2349</v>
      </c>
      <c r="D716" s="71">
        <v>2.01509600037424</v>
      </c>
      <c r="E716" s="69">
        <v>77.490295428330853</v>
      </c>
      <c r="F716" s="72" t="s">
        <v>129</v>
      </c>
      <c r="G716" s="35">
        <v>18</v>
      </c>
      <c r="H716" s="1" t="s">
        <v>704</v>
      </c>
      <c r="I716" s="35">
        <v>14</v>
      </c>
      <c r="J716" s="46">
        <v>8</v>
      </c>
      <c r="K716" s="11" t="s">
        <v>666</v>
      </c>
      <c r="L716" s="27">
        <v>48</v>
      </c>
      <c r="M716" s="41" t="s">
        <v>714</v>
      </c>
      <c r="N716" s="41" t="s">
        <v>2396</v>
      </c>
      <c r="Q716">
        <f t="shared" si="11"/>
        <v>2.01509600037424</v>
      </c>
    </row>
    <row r="717" spans="1:17" x14ac:dyDescent="0.35">
      <c r="C717" s="11" t="s">
        <v>2349</v>
      </c>
      <c r="D717" s="71">
        <v>1.0731633472206021</v>
      </c>
      <c r="E717" s="69">
        <v>58.448502133929622</v>
      </c>
      <c r="F717" s="72" t="s">
        <v>231</v>
      </c>
      <c r="G717" s="35">
        <v>58</v>
      </c>
      <c r="H717" s="1" t="s">
        <v>713</v>
      </c>
      <c r="I717" s="35">
        <v>18</v>
      </c>
      <c r="J717" s="46">
        <v>5</v>
      </c>
      <c r="K717" s="11" t="s">
        <v>785</v>
      </c>
      <c r="L717" s="27">
        <v>55</v>
      </c>
      <c r="M717" s="41" t="s">
        <v>775</v>
      </c>
      <c r="N717" s="43" t="s">
        <v>2399</v>
      </c>
      <c r="O717" s="1" t="s">
        <v>1390</v>
      </c>
      <c r="Q717">
        <f t="shared" si="11"/>
        <v>1.0731633472206021</v>
      </c>
    </row>
    <row r="718" spans="1:17" x14ac:dyDescent="0.35">
      <c r="C718" s="11" t="s">
        <v>2349</v>
      </c>
      <c r="D718" s="71">
        <v>12.194970780285908</v>
      </c>
      <c r="E718" s="69">
        <v>59.374661641244785</v>
      </c>
      <c r="F718" s="72" t="s">
        <v>231</v>
      </c>
      <c r="G718" s="35">
        <v>7</v>
      </c>
      <c r="H718" s="1" t="s">
        <v>718</v>
      </c>
      <c r="I718" s="35">
        <v>25</v>
      </c>
      <c r="J718" s="46">
        <v>14</v>
      </c>
      <c r="K718" s="11" t="s">
        <v>1157</v>
      </c>
      <c r="L718" s="27">
        <v>95</v>
      </c>
      <c r="M718" s="41" t="s">
        <v>769</v>
      </c>
      <c r="N718" s="41" t="s">
        <v>2403</v>
      </c>
      <c r="Q718">
        <f t="shared" si="11"/>
        <v>12.194970780285908</v>
      </c>
    </row>
    <row r="719" spans="1:17" x14ac:dyDescent="0.35">
      <c r="C719" s="11" t="s">
        <v>2349</v>
      </c>
      <c r="D719" s="71">
        <v>5.8021326527741612</v>
      </c>
      <c r="E719" s="69">
        <v>78.270057580359477</v>
      </c>
      <c r="F719" s="72" t="s">
        <v>231</v>
      </c>
      <c r="G719" s="35">
        <v>14</v>
      </c>
      <c r="H719" s="1" t="s">
        <v>334</v>
      </c>
      <c r="I719" s="35">
        <v>19</v>
      </c>
      <c r="J719" s="46">
        <v>15</v>
      </c>
      <c r="K719" s="11" t="s">
        <v>1160</v>
      </c>
      <c r="L719" s="27">
        <v>42</v>
      </c>
      <c r="M719" s="41" t="s">
        <v>898</v>
      </c>
      <c r="N719" s="41" t="s">
        <v>2406</v>
      </c>
      <c r="Q719">
        <f t="shared" si="11"/>
        <v>5.8021326527741612</v>
      </c>
    </row>
    <row r="720" spans="1:17" x14ac:dyDescent="0.35">
      <c r="C720" s="11" t="s">
        <v>2349</v>
      </c>
      <c r="D720" s="71">
        <v>10.81779817776485</v>
      </c>
      <c r="E720" s="69">
        <v>58.65284402857975</v>
      </c>
      <c r="F720" s="72" t="s">
        <v>231</v>
      </c>
      <c r="G720" s="35">
        <v>15</v>
      </c>
      <c r="H720" s="1" t="s">
        <v>642</v>
      </c>
      <c r="I720" s="35">
        <v>32</v>
      </c>
      <c r="J720" s="46">
        <v>17</v>
      </c>
      <c r="K720" s="11" t="s">
        <v>734</v>
      </c>
      <c r="L720" s="27">
        <v>92</v>
      </c>
      <c r="M720" s="41" t="s">
        <v>987</v>
      </c>
      <c r="N720" s="41" t="s">
        <v>2409</v>
      </c>
      <c r="Q720">
        <f t="shared" si="11"/>
        <v>10.81779817776485</v>
      </c>
    </row>
    <row r="721" spans="1:17" x14ac:dyDescent="0.35">
      <c r="C721" s="11" t="s">
        <v>2349</v>
      </c>
      <c r="D721" s="71">
        <v>3.0601299175634615</v>
      </c>
      <c r="E721" s="69">
        <v>67.657773624423484</v>
      </c>
      <c r="F721" s="72" t="s">
        <v>231</v>
      </c>
      <c r="G721" s="35">
        <v>32</v>
      </c>
      <c r="H721" s="1" t="s">
        <v>632</v>
      </c>
      <c r="I721" s="35">
        <v>17</v>
      </c>
      <c r="J721" s="46">
        <v>12</v>
      </c>
      <c r="K721" s="11" t="s">
        <v>750</v>
      </c>
      <c r="L721" s="27">
        <v>51</v>
      </c>
      <c r="M721" s="41" t="s">
        <v>839</v>
      </c>
      <c r="N721" s="41" t="s">
        <v>2412</v>
      </c>
      <c r="Q721">
        <f t="shared" si="11"/>
        <v>3.0601299175634615</v>
      </c>
    </row>
    <row r="722" spans="1:17" x14ac:dyDescent="0.35">
      <c r="B722" s="103" t="s">
        <v>1324</v>
      </c>
      <c r="C722" s="11" t="s">
        <v>2351</v>
      </c>
      <c r="D722" s="71">
        <v>2.712161020036834</v>
      </c>
      <c r="E722" s="69">
        <v>65.766641644548287</v>
      </c>
      <c r="F722" s="72" t="s">
        <v>231</v>
      </c>
      <c r="G722" s="35">
        <v>36</v>
      </c>
      <c r="H722" s="1" t="s">
        <v>671</v>
      </c>
      <c r="I722" s="35">
        <v>25</v>
      </c>
      <c r="J722" s="46">
        <v>24</v>
      </c>
      <c r="K722" s="11" t="s">
        <v>679</v>
      </c>
      <c r="L722" s="27">
        <v>56</v>
      </c>
      <c r="M722" s="41" t="s">
        <v>1143</v>
      </c>
      <c r="N722" s="41" t="s">
        <v>2352</v>
      </c>
      <c r="P722" t="s">
        <v>2353</v>
      </c>
      <c r="Q722">
        <f t="shared" si="11"/>
        <v>2.712161020036834</v>
      </c>
    </row>
    <row r="723" spans="1:17" x14ac:dyDescent="0.35">
      <c r="C723" s="11" t="s">
        <v>2351</v>
      </c>
      <c r="D723" s="71">
        <v>-2.5856709920216367</v>
      </c>
      <c r="E723" s="69">
        <v>60.800609923442487</v>
      </c>
      <c r="F723" s="72" t="s">
        <v>129</v>
      </c>
      <c r="G723" s="35">
        <v>61</v>
      </c>
      <c r="H723" s="1" t="s">
        <v>729</v>
      </c>
      <c r="I723" s="35">
        <v>18</v>
      </c>
      <c r="J723" s="46">
        <v>17</v>
      </c>
      <c r="K723" s="11" t="s">
        <v>765</v>
      </c>
      <c r="L723" s="27">
        <v>52</v>
      </c>
      <c r="M723" s="41" t="s">
        <v>727</v>
      </c>
      <c r="N723" s="41" t="s">
        <v>2355</v>
      </c>
      <c r="O723" t="s">
        <v>2281</v>
      </c>
      <c r="P723" s="70" t="s">
        <v>2356</v>
      </c>
      <c r="Q723">
        <f t="shared" si="11"/>
        <v>2.5856709920216367</v>
      </c>
    </row>
    <row r="724" spans="1:17" x14ac:dyDescent="0.35">
      <c r="C724" s="11" t="s">
        <v>2351</v>
      </c>
      <c r="D724" s="71">
        <v>9.5290408432477527</v>
      </c>
      <c r="E724" s="69">
        <v>65.267045172197882</v>
      </c>
      <c r="F724" s="72" t="s">
        <v>129</v>
      </c>
      <c r="G724" s="35">
        <v>5</v>
      </c>
      <c r="H724" s="1" t="s">
        <v>644</v>
      </c>
      <c r="I724" s="35">
        <v>24</v>
      </c>
      <c r="J724" s="46">
        <v>13</v>
      </c>
      <c r="K724" s="11" t="s">
        <v>636</v>
      </c>
      <c r="L724" s="27">
        <v>84</v>
      </c>
      <c r="M724" s="41" t="s">
        <v>839</v>
      </c>
      <c r="N724" s="41" t="s">
        <v>2358</v>
      </c>
      <c r="O724" t="s">
        <v>2281</v>
      </c>
      <c r="P724" s="70" t="s">
        <v>2359</v>
      </c>
      <c r="Q724">
        <f t="shared" si="11"/>
        <v>9.5290408432477527</v>
      </c>
    </row>
    <row r="725" spans="1:17" x14ac:dyDescent="0.35">
      <c r="C725" s="11" t="s">
        <v>2351</v>
      </c>
      <c r="D725" s="71">
        <v>1.489936736148449</v>
      </c>
      <c r="E725" s="69">
        <v>74.452897812475996</v>
      </c>
      <c r="F725" s="72" t="s">
        <v>231</v>
      </c>
      <c r="G725" s="35">
        <v>28</v>
      </c>
      <c r="H725" s="1" t="s">
        <v>672</v>
      </c>
      <c r="I725" s="35">
        <v>25</v>
      </c>
      <c r="J725" s="46">
        <v>10</v>
      </c>
      <c r="K725" s="11" t="s">
        <v>692</v>
      </c>
      <c r="L725" s="27">
        <v>40</v>
      </c>
      <c r="M725" s="41" t="s">
        <v>934</v>
      </c>
      <c r="N725" s="43" t="s">
        <v>2361</v>
      </c>
      <c r="O725" s="1" t="s">
        <v>1390</v>
      </c>
      <c r="P725" s="70" t="s">
        <v>2362</v>
      </c>
      <c r="Q725">
        <f t="shared" si="11"/>
        <v>1.489936736148449</v>
      </c>
    </row>
    <row r="726" spans="1:17" x14ac:dyDescent="0.35">
      <c r="A726" s="2" t="s">
        <v>2389</v>
      </c>
      <c r="C726" s="11" t="s">
        <v>2351</v>
      </c>
      <c r="D726" s="71">
        <v>2.7265185661148736</v>
      </c>
      <c r="E726" s="69">
        <v>55.939202350354719</v>
      </c>
      <c r="F726" s="72" t="s">
        <v>129</v>
      </c>
      <c r="G726" s="35">
        <v>38</v>
      </c>
      <c r="H726" s="1" t="s">
        <v>753</v>
      </c>
      <c r="I726" s="35">
        <v>34</v>
      </c>
      <c r="J726" s="46">
        <v>11</v>
      </c>
      <c r="K726" s="11" t="s">
        <v>764</v>
      </c>
      <c r="L726" s="27">
        <v>79</v>
      </c>
      <c r="M726" s="41" t="s">
        <v>1179</v>
      </c>
      <c r="N726" s="43" t="s">
        <v>2366</v>
      </c>
      <c r="O726" s="1" t="s">
        <v>1390</v>
      </c>
      <c r="P726" s="70" t="s">
        <v>2367</v>
      </c>
      <c r="Q726">
        <f t="shared" si="11"/>
        <v>2.7265185661148736</v>
      </c>
    </row>
    <row r="727" spans="1:17" x14ac:dyDescent="0.35">
      <c r="C727" s="11" t="s">
        <v>2351</v>
      </c>
      <c r="D727" s="71">
        <v>5.6532652302339148</v>
      </c>
      <c r="E727" s="69">
        <v>76.758615209135343</v>
      </c>
      <c r="F727" s="72" t="s">
        <v>129</v>
      </c>
      <c r="G727" s="35">
        <v>8</v>
      </c>
      <c r="H727" s="1" t="s">
        <v>747</v>
      </c>
      <c r="I727" s="35">
        <v>27</v>
      </c>
      <c r="J727" s="46">
        <v>19</v>
      </c>
      <c r="K727" s="11" t="s">
        <v>1165</v>
      </c>
      <c r="L727" s="27">
        <v>53</v>
      </c>
      <c r="M727" s="41" t="s">
        <v>719</v>
      </c>
      <c r="N727" s="41" t="s">
        <v>2369</v>
      </c>
      <c r="P727" s="70" t="s">
        <v>2370</v>
      </c>
      <c r="Q727">
        <f t="shared" si="11"/>
        <v>5.6532652302339148</v>
      </c>
    </row>
    <row r="728" spans="1:17" x14ac:dyDescent="0.35">
      <c r="C728" s="11" t="s">
        <v>2351</v>
      </c>
      <c r="D728" s="71">
        <v>6.4707385201569814</v>
      </c>
      <c r="E728" s="69">
        <v>61.447382379899082</v>
      </c>
      <c r="F728" s="72" t="s">
        <v>129</v>
      </c>
      <c r="G728" s="35">
        <v>19</v>
      </c>
      <c r="H728" s="1" t="s">
        <v>641</v>
      </c>
      <c r="I728" s="35">
        <v>17</v>
      </c>
      <c r="J728" s="46">
        <v>9</v>
      </c>
      <c r="K728" s="11" t="s">
        <v>1164</v>
      </c>
      <c r="L728" s="27">
        <v>88</v>
      </c>
      <c r="M728" s="41" t="s">
        <v>1003</v>
      </c>
      <c r="N728" s="41" t="s">
        <v>2372</v>
      </c>
      <c r="P728" s="70" t="s">
        <v>2373</v>
      </c>
      <c r="Q728">
        <f t="shared" si="11"/>
        <v>6.4707385201569814</v>
      </c>
    </row>
    <row r="729" spans="1:17" x14ac:dyDescent="0.35">
      <c r="C729" s="11" t="s">
        <v>2351</v>
      </c>
      <c r="D729" s="71">
        <v>2.1814208918364169</v>
      </c>
      <c r="E729" s="69">
        <v>81.240515140962316</v>
      </c>
      <c r="F729" s="72" t="s">
        <v>231</v>
      </c>
      <c r="G729" s="35">
        <v>21</v>
      </c>
      <c r="H729" s="1" t="s">
        <v>465</v>
      </c>
      <c r="I729" s="35">
        <v>17</v>
      </c>
      <c r="J729" s="46">
        <v>15</v>
      </c>
      <c r="K729" s="11" t="s">
        <v>629</v>
      </c>
      <c r="L729" s="27">
        <v>33</v>
      </c>
      <c r="M729" s="41" t="s">
        <v>705</v>
      </c>
      <c r="N729" s="41" t="s">
        <v>2375</v>
      </c>
      <c r="O729" t="s">
        <v>2281</v>
      </c>
      <c r="P729" s="70" t="s">
        <v>2376</v>
      </c>
      <c r="Q729">
        <f t="shared" si="11"/>
        <v>2.1814208918364169</v>
      </c>
    </row>
    <row r="730" spans="1:17" x14ac:dyDescent="0.35">
      <c r="C730" s="11" t="s">
        <v>2351</v>
      </c>
      <c r="D730" s="71">
        <v>8.181287549667914</v>
      </c>
      <c r="E730" s="69">
        <v>43.030779432356347</v>
      </c>
      <c r="F730" s="72" t="s">
        <v>231</v>
      </c>
      <c r="G730" s="35">
        <v>39</v>
      </c>
      <c r="H730" s="1" t="s">
        <v>783</v>
      </c>
      <c r="I730" s="35">
        <v>27</v>
      </c>
      <c r="J730" s="46">
        <v>19</v>
      </c>
      <c r="K730" s="11" t="s">
        <v>637</v>
      </c>
      <c r="L730" s="27">
        <v>104</v>
      </c>
      <c r="M730" s="41" t="s">
        <v>702</v>
      </c>
      <c r="N730" s="41" t="s">
        <v>2378</v>
      </c>
      <c r="P730" s="70" t="s">
        <v>2379</v>
      </c>
      <c r="Q730">
        <f t="shared" si="11"/>
        <v>8.181287549667914</v>
      </c>
    </row>
    <row r="731" spans="1:17" x14ac:dyDescent="0.35">
      <c r="C731" s="11" t="s">
        <v>2351</v>
      </c>
      <c r="D731" s="71">
        <v>6.6559654386864917</v>
      </c>
      <c r="E731" s="69">
        <v>82.221165075130102</v>
      </c>
      <c r="F731" s="72" t="s">
        <v>129</v>
      </c>
      <c r="G731" s="35">
        <v>1</v>
      </c>
      <c r="H731" s="1" t="s">
        <v>468</v>
      </c>
      <c r="I731" s="35">
        <v>25</v>
      </c>
      <c r="J731" s="46">
        <v>11</v>
      </c>
      <c r="K731" s="11" t="s">
        <v>755</v>
      </c>
      <c r="L731" s="27">
        <v>41</v>
      </c>
      <c r="M731" s="41" t="s">
        <v>721</v>
      </c>
      <c r="N731" s="41" t="s">
        <v>2381</v>
      </c>
      <c r="O731" t="s">
        <v>2281</v>
      </c>
      <c r="P731" s="70" t="s">
        <v>2382</v>
      </c>
      <c r="Q731">
        <f t="shared" si="11"/>
        <v>6.6559654386864917</v>
      </c>
    </row>
    <row r="732" spans="1:17" x14ac:dyDescent="0.35">
      <c r="C732" s="11" t="s">
        <v>2351</v>
      </c>
      <c r="D732" s="71">
        <v>7.6815148225848198</v>
      </c>
      <c r="E732" s="69">
        <v>43.352061899766916</v>
      </c>
      <c r="F732" s="72" t="s">
        <v>129</v>
      </c>
      <c r="G732" s="35">
        <v>35</v>
      </c>
      <c r="H732" s="1" t="s">
        <v>660</v>
      </c>
      <c r="I732" s="35">
        <v>28</v>
      </c>
      <c r="J732" s="46">
        <v>15</v>
      </c>
      <c r="K732" s="11" t="s">
        <v>638</v>
      </c>
      <c r="L732" s="27">
        <v>108</v>
      </c>
      <c r="M732" s="41" t="s">
        <v>789</v>
      </c>
      <c r="N732" s="41" t="s">
        <v>2384</v>
      </c>
      <c r="O732" t="s">
        <v>2281</v>
      </c>
      <c r="P732" s="70" t="s">
        <v>2385</v>
      </c>
      <c r="Q732">
        <f t="shared" si="11"/>
        <v>7.6815148225848198</v>
      </c>
    </row>
    <row r="733" spans="1:17" x14ac:dyDescent="0.35">
      <c r="C733" s="11" t="s">
        <v>2351</v>
      </c>
      <c r="D733" s="71">
        <v>-4.4073497452804595</v>
      </c>
      <c r="E733" s="69">
        <v>85.154724836251731</v>
      </c>
      <c r="F733" s="72" t="s">
        <v>231</v>
      </c>
      <c r="G733" s="35">
        <v>49</v>
      </c>
      <c r="H733" s="1" t="s">
        <v>661</v>
      </c>
      <c r="I733" s="35">
        <v>14</v>
      </c>
      <c r="J733" s="46">
        <v>9</v>
      </c>
      <c r="K733" s="11" t="s">
        <v>466</v>
      </c>
      <c r="L733" s="27">
        <v>6</v>
      </c>
      <c r="M733" s="41" t="s">
        <v>870</v>
      </c>
      <c r="N733" s="41" t="s">
        <v>2387</v>
      </c>
      <c r="O733" t="s">
        <v>2281</v>
      </c>
      <c r="P733" s="70" t="s">
        <v>2388</v>
      </c>
      <c r="Q733">
        <f t="shared" si="11"/>
        <v>4.4073497452804595</v>
      </c>
    </row>
    <row r="734" spans="1:17" x14ac:dyDescent="0.35">
      <c r="A734" s="2" t="s">
        <v>2402</v>
      </c>
      <c r="C734" s="11" t="s">
        <v>2351</v>
      </c>
      <c r="D734" s="71">
        <v>-0.33617732576195497</v>
      </c>
      <c r="E734" s="69">
        <v>87.680399709418396</v>
      </c>
      <c r="F734" s="72" t="s">
        <v>231</v>
      </c>
      <c r="G734" s="35">
        <v>27</v>
      </c>
      <c r="H734" s="1" t="s">
        <v>648</v>
      </c>
      <c r="I734" s="35">
        <v>19</v>
      </c>
      <c r="J734" s="46">
        <v>11</v>
      </c>
      <c r="K734" s="11" t="s">
        <v>352</v>
      </c>
      <c r="L734" s="27">
        <v>12</v>
      </c>
      <c r="M734" s="41" t="s">
        <v>898</v>
      </c>
      <c r="N734" s="41" t="s">
        <v>2391</v>
      </c>
      <c r="P734" s="70" t="s">
        <v>2392</v>
      </c>
      <c r="Q734">
        <f t="shared" si="11"/>
        <v>0.33617732576195497</v>
      </c>
    </row>
    <row r="735" spans="1:17" x14ac:dyDescent="0.35">
      <c r="C735" s="11" t="s">
        <v>2351</v>
      </c>
      <c r="D735" s="71">
        <v>1.4326501367851749</v>
      </c>
      <c r="E735" s="69">
        <v>83.329010626352385</v>
      </c>
      <c r="F735" s="72" t="s">
        <v>231</v>
      </c>
      <c r="G735" s="35">
        <v>29</v>
      </c>
      <c r="H735" s="1" t="s">
        <v>667</v>
      </c>
      <c r="I735" s="35">
        <v>15</v>
      </c>
      <c r="J735" s="46">
        <v>12</v>
      </c>
      <c r="K735" s="11" t="s">
        <v>758</v>
      </c>
      <c r="L735" s="27">
        <v>20</v>
      </c>
      <c r="M735" s="41" t="s">
        <v>769</v>
      </c>
      <c r="N735" s="41" t="s">
        <v>2394</v>
      </c>
      <c r="O735" s="6" t="s">
        <v>1972</v>
      </c>
      <c r="P735" s="70" t="s">
        <v>2395</v>
      </c>
      <c r="Q735">
        <f t="shared" si="11"/>
        <v>1.4326501367851749</v>
      </c>
    </row>
    <row r="736" spans="1:17" x14ac:dyDescent="0.35">
      <c r="C736" s="11" t="s">
        <v>2351</v>
      </c>
      <c r="D736" s="71">
        <v>-4.4706515559297957</v>
      </c>
      <c r="E736" s="69">
        <v>81.659704571669153</v>
      </c>
      <c r="F736" s="72" t="s">
        <v>129</v>
      </c>
      <c r="G736" s="35">
        <v>48</v>
      </c>
      <c r="H736" s="1" t="s">
        <v>666</v>
      </c>
      <c r="I736" s="35">
        <v>24</v>
      </c>
      <c r="J736" s="46">
        <v>15</v>
      </c>
      <c r="K736" s="11" t="s">
        <v>704</v>
      </c>
      <c r="L736" s="27">
        <v>18</v>
      </c>
      <c r="M736" s="41" t="s">
        <v>799</v>
      </c>
      <c r="N736" s="41" t="s">
        <v>2397</v>
      </c>
      <c r="P736" s="70" t="s">
        <v>2398</v>
      </c>
      <c r="Q736">
        <f t="shared" si="11"/>
        <v>4.4706515559297957</v>
      </c>
    </row>
    <row r="737" spans="1:17" x14ac:dyDescent="0.35">
      <c r="C737" s="11" t="s">
        <v>2351</v>
      </c>
      <c r="D737" s="71">
        <v>-2.1429315747369153</v>
      </c>
      <c r="E737" s="69">
        <v>60.515991726616591</v>
      </c>
      <c r="F737" s="72" t="s">
        <v>129</v>
      </c>
      <c r="G737" s="35">
        <v>58</v>
      </c>
      <c r="H737" s="1" t="s">
        <v>713</v>
      </c>
      <c r="I737" s="35">
        <v>19</v>
      </c>
      <c r="J737" s="46">
        <v>10</v>
      </c>
      <c r="K737" s="11" t="s">
        <v>785</v>
      </c>
      <c r="L737" s="27">
        <v>55</v>
      </c>
      <c r="M737" s="41" t="s">
        <v>799</v>
      </c>
      <c r="N737" s="41" t="s">
        <v>2400</v>
      </c>
      <c r="P737" s="70" t="s">
        <v>2401</v>
      </c>
      <c r="Q737">
        <f t="shared" si="11"/>
        <v>2.1429315747369153</v>
      </c>
    </row>
    <row r="738" spans="1:17" x14ac:dyDescent="0.35">
      <c r="C738" s="11" t="s">
        <v>2351</v>
      </c>
      <c r="D738" s="71">
        <v>9.6533041136192423</v>
      </c>
      <c r="E738" s="69">
        <v>61.008590212673354</v>
      </c>
      <c r="F738" s="72" t="s">
        <v>129</v>
      </c>
      <c r="G738" s="35">
        <v>7</v>
      </c>
      <c r="H738" s="1" t="s">
        <v>718</v>
      </c>
      <c r="I738" s="35">
        <v>30</v>
      </c>
      <c r="J738" s="46">
        <v>17</v>
      </c>
      <c r="K738" s="11" t="s">
        <v>1157</v>
      </c>
      <c r="L738" s="27">
        <v>95</v>
      </c>
      <c r="M738" s="41" t="s">
        <v>987</v>
      </c>
      <c r="N738" s="41" t="s">
        <v>2404</v>
      </c>
      <c r="P738" s="70" t="s">
        <v>2405</v>
      </c>
      <c r="Q738">
        <f t="shared" si="11"/>
        <v>9.6533041136192423</v>
      </c>
    </row>
    <row r="739" spans="1:17" x14ac:dyDescent="0.35">
      <c r="C739" s="11" t="s">
        <v>2351</v>
      </c>
      <c r="D739" s="71">
        <v>-3.2743548749963831</v>
      </c>
      <c r="E739" s="69">
        <v>84.104942419640523</v>
      </c>
      <c r="F739" s="72" t="s">
        <v>231</v>
      </c>
      <c r="G739" s="35">
        <v>42</v>
      </c>
      <c r="H739" s="1" t="s">
        <v>1160</v>
      </c>
      <c r="I739" s="35">
        <v>22</v>
      </c>
      <c r="J739" s="46">
        <v>9</v>
      </c>
      <c r="K739" s="11" t="s">
        <v>334</v>
      </c>
      <c r="L739" s="27">
        <v>14</v>
      </c>
      <c r="M739" s="41" t="s">
        <v>836</v>
      </c>
      <c r="N739" s="43" t="s">
        <v>2407</v>
      </c>
      <c r="O739" s="1" t="s">
        <v>1390</v>
      </c>
      <c r="P739" s="70" t="s">
        <v>2408</v>
      </c>
      <c r="Q739">
        <f t="shared" si="11"/>
        <v>3.2743548749963831</v>
      </c>
    </row>
    <row r="740" spans="1:17" x14ac:dyDescent="0.35">
      <c r="C740" s="11" t="s">
        <v>2351</v>
      </c>
      <c r="D740" s="71">
        <v>8.0677981777648498</v>
      </c>
      <c r="E740" s="69">
        <v>60.420701171436889</v>
      </c>
      <c r="F740" s="72" t="s">
        <v>129</v>
      </c>
      <c r="G740" s="35">
        <v>15</v>
      </c>
      <c r="H740" s="1" t="s">
        <v>642</v>
      </c>
      <c r="I740" s="35">
        <v>25</v>
      </c>
      <c r="J740" s="46">
        <v>18</v>
      </c>
      <c r="K740" s="11" t="s">
        <v>734</v>
      </c>
      <c r="L740" s="27">
        <v>92</v>
      </c>
      <c r="M740" s="41" t="s">
        <v>1229</v>
      </c>
      <c r="N740" s="41" t="s">
        <v>2410</v>
      </c>
      <c r="P740" s="70" t="s">
        <v>2411</v>
      </c>
      <c r="Q740">
        <f t="shared" si="11"/>
        <v>8.0677981777648498</v>
      </c>
    </row>
    <row r="741" spans="1:17" ht="15" thickBot="1" x14ac:dyDescent="0.4">
      <c r="C741" s="51" t="s">
        <v>2351</v>
      </c>
      <c r="D741" s="82">
        <v>0.75804658423012827</v>
      </c>
      <c r="E741" s="76">
        <v>69.137684338709207</v>
      </c>
      <c r="F741" s="83" t="s">
        <v>129</v>
      </c>
      <c r="G741" s="49">
        <v>32</v>
      </c>
      <c r="H741" s="45" t="s">
        <v>632</v>
      </c>
      <c r="I741" s="49">
        <v>15</v>
      </c>
      <c r="J741" s="50">
        <v>14</v>
      </c>
      <c r="K741" s="51" t="s">
        <v>750</v>
      </c>
      <c r="L741" s="77">
        <v>51</v>
      </c>
      <c r="M741" s="42" t="s">
        <v>705</v>
      </c>
      <c r="N741" s="42" t="s">
        <v>2413</v>
      </c>
      <c r="O741" s="78" t="s">
        <v>2281</v>
      </c>
      <c r="P741" s="78" t="s">
        <v>2414</v>
      </c>
      <c r="Q741">
        <f t="shared" si="11"/>
        <v>0.75804658423012827</v>
      </c>
    </row>
    <row r="742" spans="1:17" x14ac:dyDescent="0.35">
      <c r="A742" s="2" t="s">
        <v>2415</v>
      </c>
      <c r="B742" s="103" t="s">
        <v>1327</v>
      </c>
      <c r="C742" s="54" t="s">
        <v>3437</v>
      </c>
      <c r="D742" s="71">
        <v>7.5554841247022431</v>
      </c>
      <c r="E742" s="69">
        <v>65.792110432338518</v>
      </c>
      <c r="F742" s="72" t="s">
        <v>231</v>
      </c>
      <c r="G742" s="35">
        <v>18</v>
      </c>
      <c r="H742" s="1" t="s">
        <v>649</v>
      </c>
      <c r="I742" s="35">
        <v>24</v>
      </c>
      <c r="J742" s="46">
        <v>5</v>
      </c>
      <c r="K742" s="11" t="s">
        <v>778</v>
      </c>
      <c r="L742" s="27">
        <v>71</v>
      </c>
      <c r="M742" s="41" t="s">
        <v>775</v>
      </c>
      <c r="N742" s="43" t="s">
        <v>2416</v>
      </c>
      <c r="O742" s="1" t="s">
        <v>1390</v>
      </c>
      <c r="P742" s="68" t="s">
        <v>2417</v>
      </c>
      <c r="Q742">
        <f t="shared" si="11"/>
        <v>7.5554841247022431</v>
      </c>
    </row>
    <row r="743" spans="1:17" x14ac:dyDescent="0.35">
      <c r="C743" s="54" t="s">
        <v>3437</v>
      </c>
      <c r="D743" s="71">
        <v>0.226295167592034</v>
      </c>
      <c r="E743" s="69">
        <v>70.649506032725242</v>
      </c>
      <c r="F743" s="72" t="s">
        <v>129</v>
      </c>
      <c r="G743" s="35">
        <v>29</v>
      </c>
      <c r="H743" s="1" t="s">
        <v>648</v>
      </c>
      <c r="I743" s="35">
        <v>7</v>
      </c>
      <c r="J743" s="46">
        <v>6</v>
      </c>
      <c r="K743" s="11" t="s">
        <v>630</v>
      </c>
      <c r="L743" s="27">
        <v>50</v>
      </c>
      <c r="M743" s="41" t="s">
        <v>714</v>
      </c>
      <c r="N743" s="41" t="s">
        <v>2420</v>
      </c>
      <c r="O743" t="s">
        <v>2281</v>
      </c>
      <c r="Q743">
        <f t="shared" si="11"/>
        <v>0.226295167592034</v>
      </c>
    </row>
    <row r="744" spans="1:17" x14ac:dyDescent="0.35">
      <c r="C744" s="54" t="s">
        <v>3437</v>
      </c>
      <c r="D744" s="71">
        <v>-5.8631696028259874</v>
      </c>
      <c r="E744" s="69">
        <v>75.924368596142799</v>
      </c>
      <c r="F744" s="72" t="s">
        <v>231</v>
      </c>
      <c r="G744" s="35">
        <v>73</v>
      </c>
      <c r="H744" s="1" t="s">
        <v>751</v>
      </c>
      <c r="I744" s="35">
        <v>22</v>
      </c>
      <c r="J744" s="46">
        <v>19</v>
      </c>
      <c r="K744" s="11" t="s">
        <v>640</v>
      </c>
      <c r="L744" s="27">
        <v>12</v>
      </c>
      <c r="M744" s="41" t="s">
        <v>790</v>
      </c>
      <c r="N744" s="41" t="s">
        <v>2423</v>
      </c>
      <c r="Q744">
        <f t="shared" si="11"/>
        <v>5.8631696028259874</v>
      </c>
    </row>
    <row r="745" spans="1:17" x14ac:dyDescent="0.35">
      <c r="C745" s="54" t="s">
        <v>3437</v>
      </c>
      <c r="D745" s="71">
        <v>4.2905186729981502</v>
      </c>
      <c r="E745" s="69">
        <v>85.35194487202979</v>
      </c>
      <c r="F745" s="72" t="s">
        <v>231</v>
      </c>
      <c r="G745" s="35">
        <v>8</v>
      </c>
      <c r="H745" s="1" t="s">
        <v>466</v>
      </c>
      <c r="I745" s="35">
        <v>21</v>
      </c>
      <c r="J745" s="46">
        <v>14</v>
      </c>
      <c r="K745" s="11" t="s">
        <v>780</v>
      </c>
      <c r="L745" s="27">
        <v>28</v>
      </c>
      <c r="M745" s="41" t="s">
        <v>910</v>
      </c>
      <c r="N745" s="41" t="s">
        <v>2426</v>
      </c>
      <c r="Q745">
        <f t="shared" si="11"/>
        <v>4.2905186729981502</v>
      </c>
    </row>
    <row r="746" spans="1:17" x14ac:dyDescent="0.35">
      <c r="C746" s="54" t="s">
        <v>3437</v>
      </c>
      <c r="D746" s="71">
        <v>-3.9609793173464629</v>
      </c>
      <c r="E746" s="69">
        <v>70.813643551399096</v>
      </c>
      <c r="F746" s="72" t="s">
        <v>129</v>
      </c>
      <c r="G746" s="35">
        <v>56</v>
      </c>
      <c r="H746" s="1" t="s">
        <v>679</v>
      </c>
      <c r="I746" s="35">
        <v>18</v>
      </c>
      <c r="J746" s="46">
        <v>16</v>
      </c>
      <c r="K746" s="11" t="s">
        <v>667</v>
      </c>
      <c r="L746" s="27">
        <v>30</v>
      </c>
      <c r="M746" s="41" t="s">
        <v>781</v>
      </c>
      <c r="N746" s="41" t="s">
        <v>2430</v>
      </c>
      <c r="O746" t="s">
        <v>2281</v>
      </c>
      <c r="Q746">
        <f t="shared" si="11"/>
        <v>3.9609793173464629</v>
      </c>
    </row>
    <row r="747" spans="1:17" x14ac:dyDescent="0.35">
      <c r="C747" s="54" t="s">
        <v>3437</v>
      </c>
      <c r="D747" s="71">
        <v>2.1404780702660111</v>
      </c>
      <c r="E747" s="69">
        <v>71.979114410968052</v>
      </c>
      <c r="F747" s="72" t="s">
        <v>129</v>
      </c>
      <c r="G747" s="35">
        <v>24</v>
      </c>
      <c r="H747" s="1" t="s">
        <v>651</v>
      </c>
      <c r="I747" s="35">
        <v>26</v>
      </c>
      <c r="J747" s="46">
        <v>16</v>
      </c>
      <c r="K747" s="11" t="s">
        <v>729</v>
      </c>
      <c r="L747" s="27">
        <v>57</v>
      </c>
      <c r="M747" s="41" t="s">
        <v>699</v>
      </c>
      <c r="N747" s="41" t="s">
        <v>2433</v>
      </c>
      <c r="O747" t="s">
        <v>2281</v>
      </c>
      <c r="Q747">
        <f t="shared" si="11"/>
        <v>2.1404780702660111</v>
      </c>
    </row>
    <row r="748" spans="1:17" x14ac:dyDescent="0.35">
      <c r="C748" s="54" t="s">
        <v>3437</v>
      </c>
      <c r="D748" s="71">
        <v>1.6919910447151012</v>
      </c>
      <c r="E748" s="69">
        <v>64.511334456330076</v>
      </c>
      <c r="F748" s="72" t="s">
        <v>231</v>
      </c>
      <c r="G748" s="35">
        <v>44</v>
      </c>
      <c r="H748" s="1" t="s">
        <v>692</v>
      </c>
      <c r="I748" s="35">
        <v>15</v>
      </c>
      <c r="J748" s="46">
        <v>10</v>
      </c>
      <c r="K748" s="11" t="s">
        <v>661</v>
      </c>
      <c r="L748" s="27">
        <v>49</v>
      </c>
      <c r="M748" s="41" t="s">
        <v>773</v>
      </c>
      <c r="N748" s="41" t="s">
        <v>2436</v>
      </c>
      <c r="Q748">
        <f t="shared" si="11"/>
        <v>1.6919910447151012</v>
      </c>
    </row>
    <row r="749" spans="1:17" x14ac:dyDescent="0.35">
      <c r="C749" s="54" t="s">
        <v>3437</v>
      </c>
      <c r="D749" s="71">
        <v>-7.4628407051083805</v>
      </c>
      <c r="E749" s="69">
        <v>72.04700960621409</v>
      </c>
      <c r="F749" s="72" t="s">
        <v>129</v>
      </c>
      <c r="G749" s="35">
        <v>83</v>
      </c>
      <c r="H749" s="1" t="s">
        <v>1155</v>
      </c>
      <c r="I749" s="35">
        <v>29</v>
      </c>
      <c r="J749" s="46">
        <v>27</v>
      </c>
      <c r="K749" s="11" t="s">
        <v>334</v>
      </c>
      <c r="L749" s="27">
        <v>17</v>
      </c>
      <c r="M749" s="41" t="s">
        <v>975</v>
      </c>
      <c r="N749" s="41" t="s">
        <v>2439</v>
      </c>
      <c r="O749" t="s">
        <v>2281</v>
      </c>
      <c r="Q749">
        <f t="shared" si="11"/>
        <v>7.4628407051083805</v>
      </c>
    </row>
    <row r="750" spans="1:17" x14ac:dyDescent="0.35">
      <c r="A750" s="2" t="s">
        <v>2429</v>
      </c>
      <c r="C750" s="54" t="s">
        <v>3437</v>
      </c>
      <c r="D750" s="71">
        <v>3.388533792578248E-2</v>
      </c>
      <c r="E750" s="69">
        <v>56.729518206505915</v>
      </c>
      <c r="F750" s="72" t="s">
        <v>129</v>
      </c>
      <c r="G750" s="35">
        <v>53</v>
      </c>
      <c r="H750" s="1" t="s">
        <v>1165</v>
      </c>
      <c r="I750" s="35">
        <v>25</v>
      </c>
      <c r="J750" s="46">
        <v>19</v>
      </c>
      <c r="K750" s="11" t="s">
        <v>676</v>
      </c>
      <c r="L750" s="27">
        <v>64</v>
      </c>
      <c r="M750" s="41" t="s">
        <v>754</v>
      </c>
      <c r="N750" s="43" t="s">
        <v>2442</v>
      </c>
      <c r="O750" s="1" t="s">
        <v>1390</v>
      </c>
      <c r="Q750">
        <f t="shared" si="11"/>
        <v>3.388533792578248E-2</v>
      </c>
    </row>
    <row r="751" spans="1:17" x14ac:dyDescent="0.35">
      <c r="C751" s="54" t="s">
        <v>3437</v>
      </c>
      <c r="D751" s="71">
        <v>9.715155022346778</v>
      </c>
      <c r="E751" s="69">
        <v>50.572898128172113</v>
      </c>
      <c r="F751" s="72" t="s">
        <v>129</v>
      </c>
      <c r="G751" s="35">
        <v>25</v>
      </c>
      <c r="H751" s="1" t="s">
        <v>650</v>
      </c>
      <c r="I751" s="35">
        <v>32</v>
      </c>
      <c r="J751" s="46">
        <v>16</v>
      </c>
      <c r="K751" s="11" t="s">
        <v>637</v>
      </c>
      <c r="L751" s="27">
        <v>106</v>
      </c>
      <c r="M751" s="41" t="s">
        <v>699</v>
      </c>
      <c r="N751" s="41" t="s">
        <v>2446</v>
      </c>
      <c r="O751" t="s">
        <v>2281</v>
      </c>
      <c r="Q751">
        <f t="shared" si="11"/>
        <v>9.715155022346778</v>
      </c>
    </row>
    <row r="752" spans="1:17" x14ac:dyDescent="0.35">
      <c r="C752" s="54" t="s">
        <v>3437</v>
      </c>
      <c r="D752" s="71">
        <v>7.9974894786409942</v>
      </c>
      <c r="E752" s="69">
        <v>57.944506914035919</v>
      </c>
      <c r="F752" s="72" t="s">
        <v>129</v>
      </c>
      <c r="G752" s="35">
        <v>11</v>
      </c>
      <c r="H752" s="1" t="s">
        <v>642</v>
      </c>
      <c r="I752" s="35">
        <v>25</v>
      </c>
      <c r="J752" s="46">
        <v>13</v>
      </c>
      <c r="K752" s="11" t="s">
        <v>1158</v>
      </c>
      <c r="L752" s="27">
        <v>101</v>
      </c>
      <c r="M752" s="41" t="s">
        <v>702</v>
      </c>
      <c r="N752" s="41" t="s">
        <v>2449</v>
      </c>
      <c r="Q752">
        <f t="shared" si="11"/>
        <v>7.9974894786409942</v>
      </c>
    </row>
    <row r="753" spans="1:17" x14ac:dyDescent="0.35">
      <c r="C753" s="54" t="s">
        <v>3437</v>
      </c>
      <c r="D753" s="71">
        <v>4.9393449638276588</v>
      </c>
      <c r="E753" s="69">
        <v>65.868430452341826</v>
      </c>
      <c r="F753" s="72" t="s">
        <v>129</v>
      </c>
      <c r="G753" s="35">
        <v>16</v>
      </c>
      <c r="H753" s="1" t="s">
        <v>641</v>
      </c>
      <c r="I753" s="35">
        <v>22</v>
      </c>
      <c r="J753" s="46">
        <v>12</v>
      </c>
      <c r="K753" s="11" t="s">
        <v>761</v>
      </c>
      <c r="L753" s="27">
        <v>78</v>
      </c>
      <c r="M753" s="41" t="s">
        <v>898</v>
      </c>
      <c r="N753" s="41" t="s">
        <v>2452</v>
      </c>
      <c r="Q753">
        <f t="shared" si="11"/>
        <v>4.9393449638276588</v>
      </c>
    </row>
    <row r="754" spans="1:17" x14ac:dyDescent="0.35">
      <c r="B754" s="103" t="s">
        <v>1328</v>
      </c>
      <c r="C754" s="54" t="s">
        <v>3438</v>
      </c>
      <c r="D754" s="71">
        <v>4.8506230135911315</v>
      </c>
      <c r="E754" s="69">
        <v>67.569590591068689</v>
      </c>
      <c r="F754" s="72" t="s">
        <v>129</v>
      </c>
      <c r="G754" s="35">
        <v>18</v>
      </c>
      <c r="H754" s="1" t="s">
        <v>649</v>
      </c>
      <c r="I754" s="35">
        <v>16</v>
      </c>
      <c r="J754" s="46">
        <v>15</v>
      </c>
      <c r="K754" s="11" t="s">
        <v>778</v>
      </c>
      <c r="L754" s="27">
        <v>71</v>
      </c>
      <c r="M754" s="41" t="s">
        <v>898</v>
      </c>
      <c r="N754" s="41" t="s">
        <v>2418</v>
      </c>
      <c r="O754" t="s">
        <v>2281</v>
      </c>
      <c r="P754" s="70" t="s">
        <v>2419</v>
      </c>
      <c r="Q754">
        <f t="shared" si="11"/>
        <v>4.8506230135911315</v>
      </c>
    </row>
    <row r="755" spans="1:17" x14ac:dyDescent="0.35">
      <c r="C755" s="54" t="s">
        <v>3438</v>
      </c>
      <c r="D755" s="71">
        <v>-2.6346285009253667</v>
      </c>
      <c r="E755" s="69">
        <v>72.529541586322381</v>
      </c>
      <c r="F755" s="72" t="s">
        <v>129</v>
      </c>
      <c r="G755" s="35">
        <v>50</v>
      </c>
      <c r="H755" s="1" t="s">
        <v>630</v>
      </c>
      <c r="I755" s="35">
        <v>17</v>
      </c>
      <c r="J755" s="46">
        <v>16</v>
      </c>
      <c r="K755" s="11" t="s">
        <v>648</v>
      </c>
      <c r="L755" s="27">
        <v>29</v>
      </c>
      <c r="M755" s="41" t="s">
        <v>710</v>
      </c>
      <c r="N755" s="41" t="s">
        <v>2421</v>
      </c>
      <c r="O755" t="s">
        <v>2281</v>
      </c>
      <c r="P755" s="85" t="s">
        <v>2422</v>
      </c>
      <c r="Q755">
        <f t="shared" si="11"/>
        <v>2.6346285009253667</v>
      </c>
    </row>
    <row r="756" spans="1:17" x14ac:dyDescent="0.35">
      <c r="C756" s="54" t="s">
        <v>3438</v>
      </c>
      <c r="D756" s="71">
        <v>8.2777529361593221</v>
      </c>
      <c r="E756" s="69">
        <v>66.631762356238156</v>
      </c>
      <c r="F756" s="72" t="s">
        <v>231</v>
      </c>
      <c r="G756" s="35">
        <v>12</v>
      </c>
      <c r="H756" s="1" t="s">
        <v>640</v>
      </c>
      <c r="I756" s="35">
        <v>24</v>
      </c>
      <c r="J756" s="46">
        <v>21</v>
      </c>
      <c r="K756" s="11" t="s">
        <v>751</v>
      </c>
      <c r="L756" s="27">
        <v>73</v>
      </c>
      <c r="M756" s="41" t="s">
        <v>702</v>
      </c>
      <c r="N756" s="41" t="s">
        <v>2424</v>
      </c>
      <c r="O756" s="6" t="s">
        <v>1386</v>
      </c>
      <c r="P756" s="85" t="s">
        <v>2425</v>
      </c>
      <c r="Q756">
        <f t="shared" si="11"/>
        <v>8.2777529361593221</v>
      </c>
    </row>
    <row r="757" spans="1:17" x14ac:dyDescent="0.35">
      <c r="C757" s="54" t="s">
        <v>3438</v>
      </c>
      <c r="D757" s="71">
        <v>1.9655186729981509</v>
      </c>
      <c r="E757" s="69">
        <v>86.879802014886934</v>
      </c>
      <c r="F757" s="72" t="s">
        <v>129</v>
      </c>
      <c r="G757" s="35">
        <v>8</v>
      </c>
      <c r="H757" s="1" t="s">
        <v>466</v>
      </c>
      <c r="I757" s="35">
        <v>21</v>
      </c>
      <c r="J757" s="46">
        <v>8</v>
      </c>
      <c r="K757" s="11" t="s">
        <v>780</v>
      </c>
      <c r="L757" s="27">
        <v>28</v>
      </c>
      <c r="M757" s="41" t="s">
        <v>724</v>
      </c>
      <c r="N757" s="43" t="s">
        <v>2427</v>
      </c>
      <c r="O757" s="1" t="s">
        <v>1390</v>
      </c>
      <c r="P757" s="70" t="s">
        <v>2428</v>
      </c>
      <c r="Q757">
        <f t="shared" si="11"/>
        <v>1.9655186729981509</v>
      </c>
    </row>
    <row r="758" spans="1:17" x14ac:dyDescent="0.35">
      <c r="C758" s="54" t="s">
        <v>3438</v>
      </c>
      <c r="D758" s="71">
        <v>-1.294312650679796</v>
      </c>
      <c r="E758" s="69">
        <v>69.061262599018164</v>
      </c>
      <c r="F758" s="72" t="s">
        <v>231</v>
      </c>
      <c r="G758" s="35">
        <v>56</v>
      </c>
      <c r="H758" s="1" t="s">
        <v>679</v>
      </c>
      <c r="I758" s="35">
        <v>27</v>
      </c>
      <c r="J758" s="46">
        <v>14</v>
      </c>
      <c r="K758" s="11" t="s">
        <v>667</v>
      </c>
      <c r="L758" s="27">
        <v>30</v>
      </c>
      <c r="M758" s="41" t="s">
        <v>1211</v>
      </c>
      <c r="N758" s="43" t="s">
        <v>2431</v>
      </c>
      <c r="O758" s="1" t="s">
        <v>1390</v>
      </c>
      <c r="P758" s="70" t="s">
        <v>2432</v>
      </c>
      <c r="Q758">
        <f t="shared" si="11"/>
        <v>1.294312650679796</v>
      </c>
    </row>
    <row r="759" spans="1:17" x14ac:dyDescent="0.35">
      <c r="C759" s="54" t="s">
        <v>3438</v>
      </c>
      <c r="D759" s="71">
        <v>4.8904780702660116</v>
      </c>
      <c r="E759" s="69">
        <v>70.171971553825202</v>
      </c>
      <c r="F759" s="72" t="s">
        <v>231</v>
      </c>
      <c r="G759" s="35">
        <v>24</v>
      </c>
      <c r="H759" s="1" t="s">
        <v>651</v>
      </c>
      <c r="I759" s="35">
        <v>14</v>
      </c>
      <c r="J759" s="46">
        <v>13</v>
      </c>
      <c r="K759" s="11" t="s">
        <v>729</v>
      </c>
      <c r="L759" s="27">
        <v>57</v>
      </c>
      <c r="M759" s="41" t="s">
        <v>1196</v>
      </c>
      <c r="N759" s="41" t="s">
        <v>2434</v>
      </c>
      <c r="O759" t="s">
        <v>2281</v>
      </c>
      <c r="P759" s="70" t="s">
        <v>2435</v>
      </c>
      <c r="Q759">
        <f t="shared" si="11"/>
        <v>4.8904780702660116</v>
      </c>
    </row>
    <row r="760" spans="1:17" x14ac:dyDescent="0.35">
      <c r="A760" s="2" t="s">
        <v>2445</v>
      </c>
      <c r="C760" s="54" t="s">
        <v>3438</v>
      </c>
      <c r="D760" s="71">
        <v>1.1968978441737876</v>
      </c>
      <c r="E760" s="69">
        <v>64.836681416685792</v>
      </c>
      <c r="F760" s="72" t="s">
        <v>231</v>
      </c>
      <c r="G760" s="35">
        <v>49</v>
      </c>
      <c r="H760" s="1" t="s">
        <v>661</v>
      </c>
      <c r="I760" s="35">
        <v>20</v>
      </c>
      <c r="J760" s="46">
        <v>13</v>
      </c>
      <c r="K760" s="11" t="s">
        <v>692</v>
      </c>
      <c r="L760" s="27">
        <v>44</v>
      </c>
      <c r="M760" s="41" t="s">
        <v>910</v>
      </c>
      <c r="N760" s="41" t="s">
        <v>2437</v>
      </c>
      <c r="O760" t="s">
        <v>2281</v>
      </c>
      <c r="P760" s="70" t="s">
        <v>2438</v>
      </c>
      <c r="Q760">
        <f t="shared" si="11"/>
        <v>1.1968978441737876</v>
      </c>
    </row>
    <row r="761" spans="1:17" x14ac:dyDescent="0.35">
      <c r="C761" s="54" t="s">
        <v>3438</v>
      </c>
      <c r="D761" s="71">
        <v>5.196174038441713</v>
      </c>
      <c r="E761" s="69">
        <v>63.728228489024019</v>
      </c>
      <c r="F761" s="72" t="s">
        <v>129</v>
      </c>
      <c r="G761" s="35">
        <v>17</v>
      </c>
      <c r="H761" s="1" t="s">
        <v>334</v>
      </c>
      <c r="I761" s="35">
        <v>17</v>
      </c>
      <c r="J761" s="46">
        <v>15</v>
      </c>
      <c r="K761" s="11" t="s">
        <v>1155</v>
      </c>
      <c r="L761" s="27">
        <v>83</v>
      </c>
      <c r="M761" s="41" t="s">
        <v>769</v>
      </c>
      <c r="N761" s="41" t="s">
        <v>2440</v>
      </c>
      <c r="O761" s="6" t="s">
        <v>1972</v>
      </c>
      <c r="P761" s="85" t="s">
        <v>2441</v>
      </c>
      <c r="Q761">
        <f t="shared" si="11"/>
        <v>5.196174038441713</v>
      </c>
    </row>
    <row r="762" spans="1:17" x14ac:dyDescent="0.35">
      <c r="C762" s="54" t="s">
        <v>3438</v>
      </c>
      <c r="D762" s="71">
        <v>2.4422186712591158</v>
      </c>
      <c r="E762" s="69">
        <v>55.146899158886868</v>
      </c>
      <c r="F762" s="72" t="s">
        <v>231</v>
      </c>
      <c r="G762" s="35">
        <v>53</v>
      </c>
      <c r="H762" s="1" t="s">
        <v>1165</v>
      </c>
      <c r="I762" s="35">
        <v>24</v>
      </c>
      <c r="J762" s="46">
        <v>14</v>
      </c>
      <c r="K762" s="11" t="s">
        <v>676</v>
      </c>
      <c r="L762" s="27">
        <v>64</v>
      </c>
      <c r="M762" s="41" t="s">
        <v>699</v>
      </c>
      <c r="N762" s="41" t="s">
        <v>2443</v>
      </c>
      <c r="P762" s="70" t="s">
        <v>2444</v>
      </c>
      <c r="Q762">
        <f t="shared" si="11"/>
        <v>2.4422186712591158</v>
      </c>
    </row>
    <row r="763" spans="1:17" x14ac:dyDescent="0.35">
      <c r="C763" s="54" t="s">
        <v>3438</v>
      </c>
      <c r="D763" s="71">
        <v>12.694321689013446</v>
      </c>
      <c r="E763" s="69">
        <v>48.615160032934014</v>
      </c>
      <c r="F763" s="72" t="s">
        <v>231</v>
      </c>
      <c r="G763" s="35">
        <v>25</v>
      </c>
      <c r="H763" s="1" t="s">
        <v>650</v>
      </c>
      <c r="I763" s="35">
        <v>33</v>
      </c>
      <c r="J763" s="46">
        <v>17</v>
      </c>
      <c r="K763" s="11" t="s">
        <v>637</v>
      </c>
      <c r="L763" s="27">
        <v>106</v>
      </c>
      <c r="M763" s="41" t="s">
        <v>744</v>
      </c>
      <c r="N763" s="41" t="s">
        <v>2447</v>
      </c>
      <c r="O763" t="s">
        <v>2281</v>
      </c>
      <c r="P763" s="70" t="s">
        <v>2448</v>
      </c>
      <c r="Q763">
        <f t="shared" si="11"/>
        <v>12.694321689013446</v>
      </c>
    </row>
    <row r="764" spans="1:17" x14ac:dyDescent="0.35">
      <c r="C764" s="54" t="s">
        <v>3438</v>
      </c>
      <c r="D764" s="71">
        <v>10.476656145307661</v>
      </c>
      <c r="E764" s="69">
        <v>56.315340247369264</v>
      </c>
      <c r="F764" s="72" t="s">
        <v>231</v>
      </c>
      <c r="G764" s="35">
        <v>11</v>
      </c>
      <c r="H764" s="1" t="s">
        <v>642</v>
      </c>
      <c r="I764" s="35">
        <v>35</v>
      </c>
      <c r="J764" s="46">
        <v>12</v>
      </c>
      <c r="K764" s="11" t="s">
        <v>1158</v>
      </c>
      <c r="L764" s="27">
        <v>101</v>
      </c>
      <c r="M764" s="41" t="s">
        <v>820</v>
      </c>
      <c r="N764" s="43" t="s">
        <v>2450</v>
      </c>
      <c r="O764" s="1" t="s">
        <v>1390</v>
      </c>
      <c r="P764" s="70" t="s">
        <v>2451</v>
      </c>
      <c r="Q764">
        <f t="shared" si="11"/>
        <v>10.476656145307661</v>
      </c>
    </row>
    <row r="765" spans="1:17" ht="15" thickBot="1" x14ac:dyDescent="0.4">
      <c r="C765" s="54" t="s">
        <v>3438</v>
      </c>
      <c r="D765" s="82">
        <v>-7.5018449638276579</v>
      </c>
      <c r="E765" s="76">
        <v>74.044069547658182</v>
      </c>
      <c r="F765" s="83" t="s">
        <v>129</v>
      </c>
      <c r="G765" s="49">
        <v>78</v>
      </c>
      <c r="H765" s="45" t="s">
        <v>761</v>
      </c>
      <c r="I765" s="49">
        <v>24</v>
      </c>
      <c r="J765" s="50">
        <v>21</v>
      </c>
      <c r="K765" s="51" t="s">
        <v>641</v>
      </c>
      <c r="L765" s="77">
        <v>16</v>
      </c>
      <c r="M765" s="42" t="s">
        <v>699</v>
      </c>
      <c r="N765" s="42" t="s">
        <v>2453</v>
      </c>
      <c r="O765" s="90" t="s">
        <v>1972</v>
      </c>
      <c r="P765" s="78" t="s">
        <v>2454</v>
      </c>
      <c r="Q765">
        <f t="shared" si="11"/>
        <v>7.5018449638276579</v>
      </c>
    </row>
    <row r="766" spans="1:17" x14ac:dyDescent="0.35">
      <c r="A766" s="2" t="s">
        <v>2455</v>
      </c>
      <c r="B766" s="103" t="s">
        <v>1329</v>
      </c>
      <c r="C766" s="11" t="s">
        <v>2456</v>
      </c>
      <c r="D766" s="71">
        <v>-4.0898049180382907</v>
      </c>
      <c r="E766" s="69">
        <v>15.42128922717021</v>
      </c>
      <c r="F766" s="72" t="s">
        <v>231</v>
      </c>
      <c r="G766" s="35">
        <v>112</v>
      </c>
      <c r="H766" s="1" t="s">
        <v>737</v>
      </c>
      <c r="I766" s="35">
        <v>25</v>
      </c>
      <c r="J766" s="46">
        <v>11</v>
      </c>
      <c r="K766" s="11" t="s">
        <v>1156</v>
      </c>
      <c r="L766" s="27">
        <v>84</v>
      </c>
      <c r="M766" s="41" t="s">
        <v>934</v>
      </c>
      <c r="N766" s="41" t="s">
        <v>2457</v>
      </c>
      <c r="O766" t="s">
        <v>2281</v>
      </c>
      <c r="Q766">
        <f t="shared" si="11"/>
        <v>4.0898049180382907</v>
      </c>
    </row>
    <row r="767" spans="1:17" x14ac:dyDescent="0.35">
      <c r="C767" s="37" t="s">
        <v>2458</v>
      </c>
      <c r="D767" s="71">
        <v>-2.2036911367094385</v>
      </c>
      <c r="E767" s="69">
        <v>8.2704936690781707</v>
      </c>
      <c r="F767" s="72" t="s">
        <v>231</v>
      </c>
      <c r="G767" s="35">
        <v>111</v>
      </c>
      <c r="H767" s="1" t="s">
        <v>706</v>
      </c>
      <c r="I767" s="35">
        <v>20</v>
      </c>
      <c r="J767" s="46">
        <v>14</v>
      </c>
      <c r="K767" s="11" t="s">
        <v>757</v>
      </c>
      <c r="L767" s="27">
        <v>98</v>
      </c>
      <c r="M767" s="41" t="s">
        <v>740</v>
      </c>
      <c r="N767" s="41" t="s">
        <v>2459</v>
      </c>
      <c r="O767" t="s">
        <v>2281</v>
      </c>
      <c r="Q767">
        <f t="shared" si="11"/>
        <v>2.2036911367094385</v>
      </c>
    </row>
    <row r="768" spans="1:17" x14ac:dyDescent="0.35">
      <c r="C768" s="37" t="s">
        <v>2460</v>
      </c>
      <c r="D768" s="71">
        <v>12.150694680229858</v>
      </c>
      <c r="E768" s="69">
        <v>50.249503799835814</v>
      </c>
      <c r="F768" s="72" t="s">
        <v>231</v>
      </c>
      <c r="G768" s="35">
        <v>5</v>
      </c>
      <c r="H768" s="1" t="s">
        <v>644</v>
      </c>
      <c r="I768" s="35">
        <v>40</v>
      </c>
      <c r="J768" s="46">
        <v>20</v>
      </c>
      <c r="K768" s="11" t="s">
        <v>639</v>
      </c>
      <c r="L768" s="27">
        <v>110</v>
      </c>
      <c r="M768" s="41" t="s">
        <v>1177</v>
      </c>
      <c r="N768" s="41" t="s">
        <v>2461</v>
      </c>
      <c r="Q768">
        <f t="shared" si="11"/>
        <v>12.150694680229858</v>
      </c>
    </row>
    <row r="769" spans="1:17" x14ac:dyDescent="0.35">
      <c r="D769" s="71">
        <v>7.6568150843097058</v>
      </c>
      <c r="E769" s="69">
        <v>15.015229440983212</v>
      </c>
      <c r="F769" s="72" t="s">
        <v>231</v>
      </c>
      <c r="G769" s="35">
        <v>73</v>
      </c>
      <c r="H769" s="1" t="s">
        <v>751</v>
      </c>
      <c r="I769" s="35">
        <v>24</v>
      </c>
      <c r="J769" s="46">
        <v>21</v>
      </c>
      <c r="K769" s="11" t="s">
        <v>638</v>
      </c>
      <c r="L769" s="27">
        <v>109</v>
      </c>
      <c r="M769" s="41" t="s">
        <v>866</v>
      </c>
      <c r="N769" s="41" t="s">
        <v>2462</v>
      </c>
      <c r="O769" s="6" t="s">
        <v>1386</v>
      </c>
      <c r="P769" t="s">
        <v>2463</v>
      </c>
      <c r="Q769">
        <f t="shared" si="11"/>
        <v>7.6568150843097058</v>
      </c>
    </row>
    <row r="770" spans="1:17" x14ac:dyDescent="0.35">
      <c r="D770" s="71">
        <v>11.622835831310518</v>
      </c>
      <c r="E770" s="69">
        <v>47.055117263349629</v>
      </c>
      <c r="F770" s="72" t="s">
        <v>231</v>
      </c>
      <c r="G770" s="35">
        <v>17</v>
      </c>
      <c r="H770" s="1" t="s">
        <v>334</v>
      </c>
      <c r="I770" s="35">
        <v>24</v>
      </c>
      <c r="J770" s="46">
        <v>16</v>
      </c>
      <c r="K770" s="11" t="s">
        <v>720</v>
      </c>
      <c r="L770" s="27">
        <v>108</v>
      </c>
      <c r="M770" s="41" t="s">
        <v>878</v>
      </c>
      <c r="N770" s="41" t="s">
        <v>2464</v>
      </c>
      <c r="O770" t="s">
        <v>2281</v>
      </c>
      <c r="Q770">
        <f t="shared" si="11"/>
        <v>11.622835831310518</v>
      </c>
    </row>
    <row r="771" spans="1:17" x14ac:dyDescent="0.35">
      <c r="D771" s="71">
        <v>2.6587844794080682</v>
      </c>
      <c r="E771" s="69">
        <v>19.826350864414355</v>
      </c>
      <c r="F771" s="72" t="s">
        <v>129</v>
      </c>
      <c r="G771" s="35">
        <v>72</v>
      </c>
      <c r="H771" s="1" t="s">
        <v>738</v>
      </c>
      <c r="I771" s="35">
        <v>17</v>
      </c>
      <c r="J771" s="46">
        <v>15</v>
      </c>
      <c r="K771" s="11" t="s">
        <v>792</v>
      </c>
      <c r="L771" s="27">
        <v>107</v>
      </c>
      <c r="M771" s="41" t="s">
        <v>770</v>
      </c>
      <c r="N771" s="41" t="s">
        <v>2465</v>
      </c>
      <c r="O771" t="s">
        <v>2281</v>
      </c>
      <c r="P771" t="s">
        <v>2466</v>
      </c>
      <c r="Q771">
        <f t="shared" ref="Q771:Q834" si="12">ABS(D771)</f>
        <v>2.6587844794080682</v>
      </c>
    </row>
    <row r="772" spans="1:17" x14ac:dyDescent="0.35">
      <c r="D772" s="71">
        <v>3.6190362707941062</v>
      </c>
      <c r="E772" s="69">
        <v>18.397116949432778</v>
      </c>
      <c r="F772" s="72" t="s">
        <v>129</v>
      </c>
      <c r="G772" s="35">
        <v>71</v>
      </c>
      <c r="H772" s="1" t="s">
        <v>778</v>
      </c>
      <c r="I772" s="35">
        <v>20</v>
      </c>
      <c r="J772" s="46">
        <v>11</v>
      </c>
      <c r="K772" s="11" t="s">
        <v>637</v>
      </c>
      <c r="L772" s="27">
        <v>106</v>
      </c>
      <c r="M772" s="41" t="s">
        <v>705</v>
      </c>
      <c r="N772" s="41" t="s">
        <v>2467</v>
      </c>
      <c r="O772" t="s">
        <v>2281</v>
      </c>
      <c r="Q772">
        <f t="shared" si="12"/>
        <v>3.6190362707941062</v>
      </c>
    </row>
    <row r="773" spans="1:17" x14ac:dyDescent="0.35">
      <c r="D773" s="71">
        <v>1.5567266767053667</v>
      </c>
      <c r="E773" s="69">
        <v>14.066623802353305</v>
      </c>
      <c r="F773" s="72" t="s">
        <v>129</v>
      </c>
      <c r="G773" s="35">
        <v>85</v>
      </c>
      <c r="H773" s="1" t="s">
        <v>1163</v>
      </c>
      <c r="I773" s="35">
        <v>18</v>
      </c>
      <c r="J773" s="46">
        <v>17</v>
      </c>
      <c r="K773" s="11" t="s">
        <v>582</v>
      </c>
      <c r="L773" s="27">
        <v>105</v>
      </c>
      <c r="M773" s="41" t="s">
        <v>702</v>
      </c>
      <c r="N773" s="41" t="s">
        <v>2468</v>
      </c>
      <c r="Q773">
        <f t="shared" si="12"/>
        <v>1.5567266767053667</v>
      </c>
    </row>
    <row r="774" spans="1:17" x14ac:dyDescent="0.35">
      <c r="D774" s="71">
        <v>5.0318926297175199</v>
      </c>
      <c r="E774" s="69">
        <v>17.290175159197741</v>
      </c>
      <c r="F774" s="72" t="s">
        <v>231</v>
      </c>
      <c r="G774" s="35">
        <v>77</v>
      </c>
      <c r="H774" s="1" t="s">
        <v>1162</v>
      </c>
      <c r="I774" s="35">
        <v>19</v>
      </c>
      <c r="J774" s="46">
        <v>14</v>
      </c>
      <c r="K774" s="11" t="s">
        <v>709</v>
      </c>
      <c r="L774" s="27">
        <v>104</v>
      </c>
      <c r="M774" s="41" t="s">
        <v>781</v>
      </c>
      <c r="N774" s="41" t="s">
        <v>2469</v>
      </c>
      <c r="O774" t="s">
        <v>2281</v>
      </c>
      <c r="P774" t="s">
        <v>2470</v>
      </c>
      <c r="Q774">
        <f t="shared" si="12"/>
        <v>5.0318926297175199</v>
      </c>
    </row>
    <row r="775" spans="1:17" x14ac:dyDescent="0.35">
      <c r="D775" s="71">
        <v>4.8923316873752443</v>
      </c>
      <c r="E775" s="69">
        <v>21.505477366160541</v>
      </c>
      <c r="F775" s="72" t="s">
        <v>231</v>
      </c>
      <c r="G775" s="35">
        <v>65</v>
      </c>
      <c r="H775" s="1" t="s">
        <v>742</v>
      </c>
      <c r="I775" s="35">
        <v>24</v>
      </c>
      <c r="J775" s="46">
        <v>16</v>
      </c>
      <c r="K775" s="11" t="s">
        <v>716</v>
      </c>
      <c r="L775" s="27">
        <v>103</v>
      </c>
      <c r="M775" s="41" t="s">
        <v>910</v>
      </c>
      <c r="N775" s="41" t="s">
        <v>2471</v>
      </c>
      <c r="O775" t="s">
        <v>2281</v>
      </c>
      <c r="Q775">
        <f t="shared" si="12"/>
        <v>4.8923316873752443</v>
      </c>
    </row>
    <row r="776" spans="1:17" x14ac:dyDescent="0.35">
      <c r="D776" s="71">
        <v>5.8039123243452257</v>
      </c>
      <c r="E776" s="69">
        <v>24.872205482610553</v>
      </c>
      <c r="F776" s="72" t="s">
        <v>231</v>
      </c>
      <c r="G776" s="35">
        <v>67</v>
      </c>
      <c r="H776" s="1" t="s">
        <v>776</v>
      </c>
      <c r="I776" s="35">
        <v>21</v>
      </c>
      <c r="J776" s="46">
        <v>13</v>
      </c>
      <c r="K776" s="11" t="s">
        <v>636</v>
      </c>
      <c r="L776" s="27">
        <v>92</v>
      </c>
      <c r="M776" s="41" t="s">
        <v>839</v>
      </c>
      <c r="N776" s="41" t="s">
        <v>2472</v>
      </c>
      <c r="O776" t="s">
        <v>2281</v>
      </c>
      <c r="Q776">
        <f t="shared" si="12"/>
        <v>5.8039123243452257</v>
      </c>
    </row>
    <row r="777" spans="1:17" x14ac:dyDescent="0.35">
      <c r="D777" s="71">
        <v>4.9869932814609443</v>
      </c>
      <c r="E777" s="69">
        <v>20.098576227527897</v>
      </c>
      <c r="F777" s="72" t="s">
        <v>231</v>
      </c>
      <c r="G777" s="35">
        <v>69</v>
      </c>
      <c r="H777" s="1" t="s">
        <v>774</v>
      </c>
      <c r="I777" s="35">
        <v>21</v>
      </c>
      <c r="J777" s="46">
        <v>8</v>
      </c>
      <c r="K777" s="11" t="s">
        <v>631</v>
      </c>
      <c r="L777" s="27">
        <v>102</v>
      </c>
      <c r="M777" s="41" t="s">
        <v>789</v>
      </c>
      <c r="N777" s="43" t="s">
        <v>2473</v>
      </c>
      <c r="O777" s="1" t="s">
        <v>1390</v>
      </c>
      <c r="Q777">
        <f t="shared" si="12"/>
        <v>4.9869932814609443</v>
      </c>
    </row>
    <row r="778" spans="1:17" x14ac:dyDescent="0.35">
      <c r="D778" s="71">
        <v>9.9551263282453082</v>
      </c>
      <c r="E778" s="69">
        <v>37.442766908396209</v>
      </c>
      <c r="F778" s="72" t="s">
        <v>231</v>
      </c>
      <c r="G778" s="35">
        <v>37</v>
      </c>
      <c r="H778" s="1" t="s">
        <v>678</v>
      </c>
      <c r="I778" s="35">
        <v>19</v>
      </c>
      <c r="J778" s="46">
        <v>12</v>
      </c>
      <c r="K778" s="11" t="s">
        <v>1158</v>
      </c>
      <c r="L778" s="27">
        <v>101</v>
      </c>
      <c r="M778" s="41" t="s">
        <v>974</v>
      </c>
      <c r="N778" s="41" t="s">
        <v>2474</v>
      </c>
      <c r="O778" t="s">
        <v>2281</v>
      </c>
      <c r="Q778">
        <f t="shared" si="12"/>
        <v>9.9551263282453082</v>
      </c>
    </row>
    <row r="779" spans="1:17" x14ac:dyDescent="0.35">
      <c r="D779" s="71">
        <v>8.4441104267015792</v>
      </c>
      <c r="E779" s="69">
        <v>49.682778266641726</v>
      </c>
      <c r="F779" s="72" t="s">
        <v>231</v>
      </c>
      <c r="G779" s="35">
        <v>24</v>
      </c>
      <c r="H779" s="1" t="s">
        <v>651</v>
      </c>
      <c r="I779" s="35">
        <v>28</v>
      </c>
      <c r="J779" s="46">
        <v>24</v>
      </c>
      <c r="K779" s="11" t="s">
        <v>777</v>
      </c>
      <c r="L779" s="27">
        <v>100</v>
      </c>
      <c r="M779" s="41" t="s">
        <v>1000</v>
      </c>
      <c r="N779" s="41" t="s">
        <v>2475</v>
      </c>
      <c r="O779" t="s">
        <v>2281</v>
      </c>
      <c r="P779" s="70" t="s">
        <v>2476</v>
      </c>
      <c r="Q779">
        <f t="shared" si="12"/>
        <v>8.4441104267015792</v>
      </c>
    </row>
    <row r="780" spans="1:17" x14ac:dyDescent="0.35">
      <c r="A780" s="2" t="s">
        <v>2477</v>
      </c>
      <c r="D780" s="71">
        <v>-4.8861963136802711</v>
      </c>
      <c r="E780" s="69">
        <v>45.539087419576198</v>
      </c>
      <c r="F780" s="72" t="s">
        <v>231</v>
      </c>
      <c r="G780" s="35">
        <v>99</v>
      </c>
      <c r="H780" s="1" t="s">
        <v>1157</v>
      </c>
      <c r="I780" s="35">
        <v>24</v>
      </c>
      <c r="J780" s="46">
        <v>23</v>
      </c>
      <c r="K780" s="11" t="s">
        <v>755</v>
      </c>
      <c r="L780" s="27">
        <v>48</v>
      </c>
      <c r="M780" s="41" t="s">
        <v>1471</v>
      </c>
      <c r="N780" s="41" t="s">
        <v>2478</v>
      </c>
      <c r="P780" t="s">
        <v>2479</v>
      </c>
      <c r="Q780">
        <f t="shared" si="12"/>
        <v>4.8861963136802711</v>
      </c>
    </row>
    <row r="781" spans="1:17" x14ac:dyDescent="0.35">
      <c r="D781" s="71">
        <v>-1.6701584221755401</v>
      </c>
      <c r="E781" s="69">
        <v>15.478684587268244</v>
      </c>
      <c r="F781" s="72" t="s">
        <v>129</v>
      </c>
      <c r="G781" s="35">
        <v>97</v>
      </c>
      <c r="H781" s="1" t="s">
        <v>734</v>
      </c>
      <c r="I781" s="35">
        <v>21</v>
      </c>
      <c r="J781" s="46">
        <v>17</v>
      </c>
      <c r="K781" s="11" t="s">
        <v>722</v>
      </c>
      <c r="L781" s="27">
        <v>95</v>
      </c>
      <c r="M781" s="41" t="s">
        <v>786</v>
      </c>
      <c r="N781" s="41" t="s">
        <v>2480</v>
      </c>
      <c r="Q781">
        <f t="shared" si="12"/>
        <v>1.6701584221755401</v>
      </c>
    </row>
    <row r="782" spans="1:17" x14ac:dyDescent="0.35">
      <c r="D782" s="71">
        <v>10.388757201864221</v>
      </c>
      <c r="E782" s="69">
        <v>52.936601998668408</v>
      </c>
      <c r="F782" s="72" t="s">
        <v>231</v>
      </c>
      <c r="G782" s="35">
        <v>15</v>
      </c>
      <c r="H782" s="1" t="s">
        <v>467</v>
      </c>
      <c r="I782" s="35">
        <v>29</v>
      </c>
      <c r="J782" s="46">
        <v>10</v>
      </c>
      <c r="K782" s="11" t="s">
        <v>767</v>
      </c>
      <c r="L782" s="27">
        <v>96</v>
      </c>
      <c r="M782" s="41" t="s">
        <v>721</v>
      </c>
      <c r="N782" s="43" t="s">
        <v>2481</v>
      </c>
      <c r="O782" s="1" t="s">
        <v>1390</v>
      </c>
      <c r="Q782">
        <f t="shared" si="12"/>
        <v>10.388757201864221</v>
      </c>
    </row>
    <row r="783" spans="1:17" x14ac:dyDescent="0.35">
      <c r="D783" s="71">
        <v>11.957101226653334</v>
      </c>
      <c r="E783" s="69">
        <v>55.030641980961903</v>
      </c>
      <c r="F783" s="72" t="s">
        <v>231</v>
      </c>
      <c r="G783" s="35">
        <v>8</v>
      </c>
      <c r="H783" s="1" t="s">
        <v>466</v>
      </c>
      <c r="I783" s="35">
        <v>22</v>
      </c>
      <c r="J783" s="46">
        <v>19</v>
      </c>
      <c r="K783" s="11" t="s">
        <v>1164</v>
      </c>
      <c r="L783" s="27">
        <v>94</v>
      </c>
      <c r="M783" s="41" t="s">
        <v>2482</v>
      </c>
      <c r="N783" s="41" t="s">
        <v>2483</v>
      </c>
      <c r="O783" s="6" t="s">
        <v>1386</v>
      </c>
      <c r="P783" s="70" t="s">
        <v>2484</v>
      </c>
      <c r="Q783">
        <f t="shared" si="12"/>
        <v>11.957101226653334</v>
      </c>
    </row>
    <row r="784" spans="1:17" x14ac:dyDescent="0.35">
      <c r="D784" s="71">
        <v>8.625744281663053</v>
      </c>
      <c r="E784" s="69">
        <v>53.124468370240677</v>
      </c>
      <c r="F784" s="72" t="s">
        <v>231</v>
      </c>
      <c r="G784" s="35">
        <v>21</v>
      </c>
      <c r="H784" s="1" t="s">
        <v>465</v>
      </c>
      <c r="I784" s="35">
        <v>26</v>
      </c>
      <c r="J784" s="46">
        <v>18</v>
      </c>
      <c r="K784" s="11" t="s">
        <v>700</v>
      </c>
      <c r="L784" s="27">
        <v>93</v>
      </c>
      <c r="M784" s="41" t="s">
        <v>831</v>
      </c>
      <c r="N784" s="41" t="s">
        <v>2485</v>
      </c>
      <c r="O784" t="s">
        <v>2281</v>
      </c>
      <c r="Q784">
        <f t="shared" si="12"/>
        <v>8.625744281663053</v>
      </c>
    </row>
    <row r="785" spans="1:17" x14ac:dyDescent="0.35">
      <c r="D785" s="71">
        <v>1.6664542823969006</v>
      </c>
      <c r="E785" s="69">
        <v>19.345389798287925</v>
      </c>
      <c r="F785" s="72" t="s">
        <v>231</v>
      </c>
      <c r="G785" s="35">
        <v>87</v>
      </c>
      <c r="H785" s="1" t="s">
        <v>1161</v>
      </c>
      <c r="I785" s="35">
        <v>22</v>
      </c>
      <c r="J785" s="46">
        <v>20</v>
      </c>
      <c r="K785" s="11" t="s">
        <v>732</v>
      </c>
      <c r="L785" s="27">
        <v>91</v>
      </c>
      <c r="M785" s="41" t="s">
        <v>866</v>
      </c>
      <c r="N785" s="41" t="s">
        <v>2486</v>
      </c>
      <c r="P785" s="70" t="s">
        <v>2487</v>
      </c>
      <c r="Q785">
        <f t="shared" si="12"/>
        <v>1.6664542823969006</v>
      </c>
    </row>
    <row r="786" spans="1:17" x14ac:dyDescent="0.35">
      <c r="D786" s="71">
        <v>2.1183398705679179</v>
      </c>
      <c r="E786" s="69">
        <v>32.861900092451478</v>
      </c>
      <c r="F786" s="72" t="s">
        <v>129</v>
      </c>
      <c r="G786" s="35">
        <v>57</v>
      </c>
      <c r="H786" s="1" t="s">
        <v>729</v>
      </c>
      <c r="I786" s="35">
        <v>21</v>
      </c>
      <c r="J786" s="46">
        <v>16</v>
      </c>
      <c r="K786" s="11" t="s">
        <v>779</v>
      </c>
      <c r="L786" s="27">
        <v>90</v>
      </c>
      <c r="M786" s="41" t="s">
        <v>796</v>
      </c>
      <c r="N786" s="41" t="s">
        <v>2488</v>
      </c>
      <c r="Q786">
        <f t="shared" si="12"/>
        <v>2.1183398705679179</v>
      </c>
    </row>
    <row r="787" spans="1:17" x14ac:dyDescent="0.35">
      <c r="D787" s="71">
        <v>6.8845829282085287</v>
      </c>
      <c r="E787" s="69">
        <v>48.073512194136768</v>
      </c>
      <c r="F787" s="72" t="s">
        <v>231</v>
      </c>
      <c r="G787" s="35">
        <v>28</v>
      </c>
      <c r="H787" s="1" t="s">
        <v>780</v>
      </c>
      <c r="I787" s="35">
        <v>28</v>
      </c>
      <c r="J787" s="46">
        <v>11</v>
      </c>
      <c r="K787" s="11" t="s">
        <v>723</v>
      </c>
      <c r="L787" s="27">
        <v>89</v>
      </c>
      <c r="M787" s="41" t="s">
        <v>759</v>
      </c>
      <c r="N787" s="41" t="s">
        <v>2489</v>
      </c>
      <c r="O787" t="s">
        <v>2281</v>
      </c>
      <c r="Q787">
        <f t="shared" si="12"/>
        <v>6.8845829282085287</v>
      </c>
    </row>
    <row r="788" spans="1:17" x14ac:dyDescent="0.35">
      <c r="D788" s="71">
        <v>4.4913916665914932</v>
      </c>
      <c r="E788" s="69">
        <v>28.041863095291784</v>
      </c>
      <c r="F788" s="72" t="s">
        <v>231</v>
      </c>
      <c r="G788" s="35">
        <v>66</v>
      </c>
      <c r="H788" s="1" t="s">
        <v>701</v>
      </c>
      <c r="I788" s="35">
        <v>30</v>
      </c>
      <c r="J788" s="46">
        <v>15</v>
      </c>
      <c r="K788" s="11" t="s">
        <v>760</v>
      </c>
      <c r="L788" s="27">
        <v>88</v>
      </c>
      <c r="M788" s="41" t="s">
        <v>744</v>
      </c>
      <c r="N788" s="41" t="s">
        <v>2490</v>
      </c>
      <c r="Q788">
        <f t="shared" si="12"/>
        <v>4.4913916665914932</v>
      </c>
    </row>
    <row r="789" spans="1:17" x14ac:dyDescent="0.35">
      <c r="D789" s="71">
        <v>-2.1632645124546519</v>
      </c>
      <c r="E789" s="69">
        <v>27.884474651753322</v>
      </c>
      <c r="F789" s="72" t="s">
        <v>129</v>
      </c>
      <c r="G789" s="35">
        <v>86</v>
      </c>
      <c r="H789" s="1" t="s">
        <v>764</v>
      </c>
      <c r="I789" s="35">
        <v>14</v>
      </c>
      <c r="J789" s="46">
        <v>11</v>
      </c>
      <c r="K789" s="11" t="s">
        <v>633</v>
      </c>
      <c r="L789" s="27">
        <v>79</v>
      </c>
      <c r="M789" s="41" t="s">
        <v>721</v>
      </c>
      <c r="N789" s="41" t="s">
        <v>2491</v>
      </c>
      <c r="Q789">
        <f t="shared" si="12"/>
        <v>2.1632645124546519</v>
      </c>
    </row>
    <row r="790" spans="1:17" x14ac:dyDescent="0.35">
      <c r="A790" s="2" t="s">
        <v>2492</v>
      </c>
      <c r="D790" s="71">
        <v>1.0131515300619955</v>
      </c>
      <c r="E790" s="69">
        <v>35.883463192812869</v>
      </c>
      <c r="F790" s="72" t="s">
        <v>129</v>
      </c>
      <c r="G790" s="35">
        <v>59</v>
      </c>
      <c r="H790" s="1" t="s">
        <v>750</v>
      </c>
      <c r="I790" s="35">
        <v>28</v>
      </c>
      <c r="J790" s="46">
        <v>13</v>
      </c>
      <c r="K790" s="11" t="s">
        <v>1155</v>
      </c>
      <c r="L790" s="27">
        <v>83</v>
      </c>
      <c r="M790" s="41" t="s">
        <v>859</v>
      </c>
      <c r="N790" s="43" t="s">
        <v>2493</v>
      </c>
      <c r="O790" s="1" t="s">
        <v>1390</v>
      </c>
      <c r="Q790">
        <f t="shared" si="12"/>
        <v>1.0131515300619955</v>
      </c>
    </row>
    <row r="791" spans="1:17" x14ac:dyDescent="0.35">
      <c r="D791" s="71">
        <v>2.467821395970422</v>
      </c>
      <c r="E791" s="69">
        <v>45.20155614573541</v>
      </c>
      <c r="F791" s="72" t="s">
        <v>129</v>
      </c>
      <c r="G791" s="35">
        <v>50</v>
      </c>
      <c r="H791" s="1" t="s">
        <v>630</v>
      </c>
      <c r="I791" s="35">
        <v>17</v>
      </c>
      <c r="J791" s="46">
        <v>2</v>
      </c>
      <c r="K791" s="11" t="s">
        <v>726</v>
      </c>
      <c r="L791" s="27">
        <v>82</v>
      </c>
      <c r="M791" s="41" t="s">
        <v>852</v>
      </c>
      <c r="N791" s="43" t="s">
        <v>2494</v>
      </c>
      <c r="O791" s="1" t="s">
        <v>1390</v>
      </c>
      <c r="Q791">
        <f t="shared" si="12"/>
        <v>2.467821395970422</v>
      </c>
    </row>
    <row r="792" spans="1:17" x14ac:dyDescent="0.35">
      <c r="D792" s="71">
        <v>3.5896536885202712</v>
      </c>
      <c r="E792" s="69">
        <v>52.837747365342658</v>
      </c>
      <c r="F792" s="72" t="s">
        <v>129</v>
      </c>
      <c r="G792" s="35">
        <v>30</v>
      </c>
      <c r="H792" s="1" t="s">
        <v>667</v>
      </c>
      <c r="I792" s="35">
        <v>11</v>
      </c>
      <c r="J792" s="46">
        <v>10</v>
      </c>
      <c r="K792" s="11" t="s">
        <v>784</v>
      </c>
      <c r="L792" s="27">
        <v>81</v>
      </c>
      <c r="M792" s="41" t="s">
        <v>1003</v>
      </c>
      <c r="N792" s="41" t="s">
        <v>2495</v>
      </c>
      <c r="Q792">
        <f t="shared" si="12"/>
        <v>3.5896536885202712</v>
      </c>
    </row>
    <row r="793" spans="1:17" x14ac:dyDescent="0.35">
      <c r="D793" s="71">
        <v>9.2646791086459928</v>
      </c>
      <c r="E793" s="69">
        <v>61.23951492239572</v>
      </c>
      <c r="F793" s="72" t="s">
        <v>231</v>
      </c>
      <c r="G793" s="35">
        <v>10</v>
      </c>
      <c r="H793" s="1" t="s">
        <v>352</v>
      </c>
      <c r="I793" s="35">
        <v>32</v>
      </c>
      <c r="J793" s="46">
        <v>16</v>
      </c>
      <c r="K793" s="11" t="s">
        <v>756</v>
      </c>
      <c r="L793" s="27">
        <v>80</v>
      </c>
      <c r="M793" s="41" t="s">
        <v>702</v>
      </c>
      <c r="N793" s="41" t="s">
        <v>2496</v>
      </c>
      <c r="Q793">
        <f t="shared" si="12"/>
        <v>9.2646791086459928</v>
      </c>
    </row>
    <row r="794" spans="1:17" x14ac:dyDescent="0.35">
      <c r="D794" s="71">
        <v>-7.1814542271279764</v>
      </c>
      <c r="E794" s="69">
        <v>75.129610162234272</v>
      </c>
      <c r="F794" s="72" t="s">
        <v>231</v>
      </c>
      <c r="G794" s="35">
        <v>78</v>
      </c>
      <c r="H794" s="1" t="s">
        <v>761</v>
      </c>
      <c r="I794" s="35">
        <v>26</v>
      </c>
      <c r="J794" s="46">
        <v>25</v>
      </c>
      <c r="K794" s="11" t="s">
        <v>718</v>
      </c>
      <c r="L794" s="27">
        <v>6</v>
      </c>
      <c r="M794" s="41" t="s">
        <v>1174</v>
      </c>
      <c r="N794" s="41" t="s">
        <v>2497</v>
      </c>
      <c r="P794" s="70" t="s">
        <v>2498</v>
      </c>
      <c r="Q794">
        <f t="shared" si="12"/>
        <v>7.1814542271279764</v>
      </c>
    </row>
    <row r="795" spans="1:17" x14ac:dyDescent="0.35">
      <c r="D795" s="71">
        <v>1.9257020561915312</v>
      </c>
      <c r="E795" s="69">
        <v>47.597712817006055</v>
      </c>
      <c r="F795" s="72" t="s">
        <v>129</v>
      </c>
      <c r="G795" s="35">
        <v>51</v>
      </c>
      <c r="H795" s="1" t="s">
        <v>680</v>
      </c>
      <c r="I795" s="35">
        <v>21</v>
      </c>
      <c r="J795" s="46">
        <v>16</v>
      </c>
      <c r="K795" s="11" t="s">
        <v>635</v>
      </c>
      <c r="L795" s="27">
        <v>76</v>
      </c>
      <c r="M795" s="41" t="s">
        <v>727</v>
      </c>
      <c r="N795" s="41" t="s">
        <v>2499</v>
      </c>
      <c r="Q795">
        <f t="shared" si="12"/>
        <v>1.9257020561915312</v>
      </c>
    </row>
    <row r="796" spans="1:17" x14ac:dyDescent="0.35">
      <c r="D796" s="71">
        <v>0.60203099841081664</v>
      </c>
      <c r="E796" s="69">
        <v>38.855692143992279</v>
      </c>
      <c r="F796" s="72" t="s">
        <v>129</v>
      </c>
      <c r="G796" s="35">
        <v>61</v>
      </c>
      <c r="H796" s="1" t="s">
        <v>771</v>
      </c>
      <c r="I796" s="35">
        <v>22</v>
      </c>
      <c r="J796" s="46">
        <v>16</v>
      </c>
      <c r="K796" s="11" t="s">
        <v>634</v>
      </c>
      <c r="L796" s="27">
        <v>75</v>
      </c>
      <c r="M796" s="41" t="s">
        <v>790</v>
      </c>
      <c r="N796" s="41" t="s">
        <v>2500</v>
      </c>
      <c r="Q796">
        <f t="shared" si="12"/>
        <v>0.60203099841081664</v>
      </c>
    </row>
    <row r="797" spans="1:17" x14ac:dyDescent="0.35">
      <c r="D797" s="71">
        <v>-2.6300168852936663</v>
      </c>
      <c r="E797" s="69">
        <v>55.673226346638337</v>
      </c>
      <c r="F797" s="72" t="s">
        <v>231</v>
      </c>
      <c r="G797" s="35">
        <v>74</v>
      </c>
      <c r="H797" s="1" t="s">
        <v>743</v>
      </c>
      <c r="I797" s="35">
        <v>18</v>
      </c>
      <c r="J797" s="46">
        <v>8</v>
      </c>
      <c r="K797" s="11" t="s">
        <v>666</v>
      </c>
      <c r="L797" s="27">
        <v>41</v>
      </c>
      <c r="M797" s="41" t="s">
        <v>874</v>
      </c>
      <c r="N797" s="41" t="s">
        <v>2501</v>
      </c>
      <c r="Q797">
        <f t="shared" si="12"/>
        <v>2.6300168852936663</v>
      </c>
    </row>
    <row r="798" spans="1:17" x14ac:dyDescent="0.35">
      <c r="A798" s="2" t="s">
        <v>2502</v>
      </c>
      <c r="D798" s="71">
        <v>6.2361268194599457</v>
      </c>
      <c r="E798" s="69">
        <v>62.331337986100046</v>
      </c>
      <c r="F798" s="72" t="s">
        <v>231</v>
      </c>
      <c r="G798" s="35">
        <v>23</v>
      </c>
      <c r="H798" s="1" t="s">
        <v>660</v>
      </c>
      <c r="I798" s="35">
        <v>18</v>
      </c>
      <c r="J798" s="46">
        <v>7</v>
      </c>
      <c r="K798" s="11" t="s">
        <v>712</v>
      </c>
      <c r="L798" s="27">
        <v>70</v>
      </c>
      <c r="M798" s="41" t="s">
        <v>707</v>
      </c>
      <c r="N798" s="41" t="s">
        <v>2503</v>
      </c>
      <c r="Q798">
        <f t="shared" si="12"/>
        <v>6.2361268194599457</v>
      </c>
    </row>
    <row r="799" spans="1:17" x14ac:dyDescent="0.35">
      <c r="D799" s="71">
        <v>4.1902540223256413</v>
      </c>
      <c r="E799" s="69">
        <v>68.435532841195965</v>
      </c>
      <c r="F799" s="72" t="s">
        <v>129</v>
      </c>
      <c r="G799" s="35">
        <v>12</v>
      </c>
      <c r="H799" s="1" t="s">
        <v>640</v>
      </c>
      <c r="I799" s="35">
        <v>17</v>
      </c>
      <c r="J799" s="46">
        <v>13</v>
      </c>
      <c r="K799" s="11" t="s">
        <v>673</v>
      </c>
      <c r="L799" s="27">
        <v>68</v>
      </c>
      <c r="M799" s="41" t="s">
        <v>707</v>
      </c>
      <c r="N799" s="41" t="s">
        <v>2504</v>
      </c>
      <c r="O799" t="s">
        <v>2281</v>
      </c>
      <c r="Q799">
        <f t="shared" si="12"/>
        <v>4.1902540223256413</v>
      </c>
    </row>
    <row r="800" spans="1:17" x14ac:dyDescent="0.35">
      <c r="D800" s="71">
        <v>8.9596568778248447</v>
      </c>
      <c r="E800" s="69">
        <v>67.528816515839395</v>
      </c>
      <c r="F800" s="72" t="s">
        <v>231</v>
      </c>
      <c r="G800" s="35">
        <v>9</v>
      </c>
      <c r="H800" s="1" t="s">
        <v>643</v>
      </c>
      <c r="I800" s="35">
        <v>24</v>
      </c>
      <c r="J800" s="46">
        <v>15</v>
      </c>
      <c r="K800" s="11" t="s">
        <v>676</v>
      </c>
      <c r="L800" s="27">
        <v>64</v>
      </c>
      <c r="M800" s="41" t="s">
        <v>705</v>
      </c>
      <c r="N800" s="41" t="s">
        <v>2505</v>
      </c>
      <c r="Q800">
        <f t="shared" si="12"/>
        <v>8.9596568778248447</v>
      </c>
    </row>
    <row r="801" spans="1:17" x14ac:dyDescent="0.35">
      <c r="A801" s="2" t="s">
        <v>2506</v>
      </c>
      <c r="D801" s="71">
        <v>-2.7757674760034505</v>
      </c>
      <c r="E801" s="69">
        <v>47.964833911431036</v>
      </c>
      <c r="F801" s="72" t="s">
        <v>129</v>
      </c>
      <c r="G801" s="35">
        <v>63</v>
      </c>
      <c r="H801" s="1" t="s">
        <v>785</v>
      </c>
      <c r="I801" s="35">
        <v>22</v>
      </c>
      <c r="J801" s="46">
        <v>13</v>
      </c>
      <c r="K801" s="11" t="s">
        <v>765</v>
      </c>
      <c r="L801" s="27">
        <v>58</v>
      </c>
      <c r="M801" s="41" t="s">
        <v>748</v>
      </c>
      <c r="N801" s="41" t="s">
        <v>2507</v>
      </c>
      <c r="Q801">
        <f t="shared" si="12"/>
        <v>2.7757674760034505</v>
      </c>
    </row>
    <row r="802" spans="1:17" x14ac:dyDescent="0.35">
      <c r="D802" s="71">
        <v>1.5447380509130748</v>
      </c>
      <c r="E802" s="69">
        <v>56.709115677919229</v>
      </c>
      <c r="F802" s="72" t="s">
        <v>129</v>
      </c>
      <c r="G802" s="35">
        <v>43</v>
      </c>
      <c r="H802" s="1" t="s">
        <v>646</v>
      </c>
      <c r="I802" s="35">
        <v>20</v>
      </c>
      <c r="J802" s="46">
        <v>12</v>
      </c>
      <c r="K802" s="11" t="s">
        <v>768</v>
      </c>
      <c r="L802" s="27">
        <v>62</v>
      </c>
      <c r="M802" s="41" t="s">
        <v>705</v>
      </c>
      <c r="N802" s="41" t="s">
        <v>2508</v>
      </c>
      <c r="Q802">
        <f t="shared" si="12"/>
        <v>1.5447380509130748</v>
      </c>
    </row>
    <row r="803" spans="1:17" x14ac:dyDescent="0.35">
      <c r="D803" s="71">
        <v>-1.2481174351775959</v>
      </c>
      <c r="E803" s="69">
        <v>55.087941025126867</v>
      </c>
      <c r="F803" s="72" t="s">
        <v>129</v>
      </c>
      <c r="G803" s="35">
        <v>60</v>
      </c>
      <c r="H803" s="1" t="s">
        <v>763</v>
      </c>
      <c r="I803" s="35">
        <v>12</v>
      </c>
      <c r="J803" s="46">
        <v>10</v>
      </c>
      <c r="K803" s="11" t="s">
        <v>713</v>
      </c>
      <c r="L803" s="27">
        <v>54</v>
      </c>
      <c r="M803" s="41" t="s">
        <v>770</v>
      </c>
      <c r="N803" s="41" t="s">
        <v>2509</v>
      </c>
      <c r="O803" s="6" t="s">
        <v>1386</v>
      </c>
      <c r="Q803">
        <f t="shared" si="12"/>
        <v>1.2481174351775959</v>
      </c>
    </row>
    <row r="804" spans="1:17" x14ac:dyDescent="0.35">
      <c r="D804" s="71">
        <v>9.7358967241807317</v>
      </c>
      <c r="E804" s="69">
        <v>72.331502339870909</v>
      </c>
      <c r="F804" s="72" t="s">
        <v>231</v>
      </c>
      <c r="G804" s="35">
        <v>2</v>
      </c>
      <c r="H804" s="1" t="s">
        <v>242</v>
      </c>
      <c r="I804" s="35">
        <v>28</v>
      </c>
      <c r="J804" s="46">
        <v>14</v>
      </c>
      <c r="K804" s="11" t="s">
        <v>679</v>
      </c>
      <c r="L804" s="27">
        <v>56</v>
      </c>
      <c r="M804" s="41" t="s">
        <v>796</v>
      </c>
      <c r="N804" s="41" t="s">
        <v>2510</v>
      </c>
      <c r="Q804">
        <f t="shared" si="12"/>
        <v>9.7358967241807317</v>
      </c>
    </row>
    <row r="805" spans="1:17" x14ac:dyDescent="0.35">
      <c r="D805" s="71">
        <v>2.2033025442025309</v>
      </c>
      <c r="E805" s="69">
        <v>70.926212468426769</v>
      </c>
      <c r="F805" s="72" t="s">
        <v>129</v>
      </c>
      <c r="G805" s="35">
        <v>22</v>
      </c>
      <c r="H805" s="1" t="s">
        <v>758</v>
      </c>
      <c r="I805" s="35">
        <v>23</v>
      </c>
      <c r="J805" s="46">
        <v>10</v>
      </c>
      <c r="K805" s="11" t="s">
        <v>772</v>
      </c>
      <c r="L805" s="27">
        <v>55</v>
      </c>
      <c r="M805" s="41" t="s">
        <v>724</v>
      </c>
      <c r="N805" s="43" t="s">
        <v>2511</v>
      </c>
      <c r="O805" s="1" t="s">
        <v>1390</v>
      </c>
      <c r="Q805">
        <f t="shared" si="12"/>
        <v>2.2033025442025309</v>
      </c>
    </row>
    <row r="806" spans="1:17" x14ac:dyDescent="0.35">
      <c r="D806" s="71">
        <v>3.5865200003878841</v>
      </c>
      <c r="E806" s="69">
        <v>74.581057142580079</v>
      </c>
      <c r="F806" s="72" t="s">
        <v>129</v>
      </c>
      <c r="G806" s="35">
        <v>11</v>
      </c>
      <c r="H806" s="1" t="s">
        <v>642</v>
      </c>
      <c r="I806" s="35">
        <v>21</v>
      </c>
      <c r="J806" s="46">
        <v>7</v>
      </c>
      <c r="K806" s="11" t="s">
        <v>1165</v>
      </c>
      <c r="L806" s="27">
        <v>53</v>
      </c>
      <c r="M806" s="41" t="s">
        <v>739</v>
      </c>
      <c r="N806" s="43" t="s">
        <v>2512</v>
      </c>
      <c r="O806" s="1" t="s">
        <v>1390</v>
      </c>
      <c r="Q806">
        <f t="shared" si="12"/>
        <v>3.5865200003878841</v>
      </c>
    </row>
    <row r="807" spans="1:17" x14ac:dyDescent="0.35">
      <c r="D807" s="71">
        <v>0.25312746723880464</v>
      </c>
      <c r="E807" s="69">
        <v>60.042408951972284</v>
      </c>
      <c r="F807" s="72" t="s">
        <v>231</v>
      </c>
      <c r="G807" s="35">
        <v>52</v>
      </c>
      <c r="H807" s="1" t="s">
        <v>645</v>
      </c>
      <c r="I807" s="35">
        <v>15</v>
      </c>
      <c r="J807" s="46">
        <v>14</v>
      </c>
      <c r="K807" s="11" t="s">
        <v>746</v>
      </c>
      <c r="L807" s="27">
        <v>47</v>
      </c>
      <c r="M807" s="41" t="s">
        <v>928</v>
      </c>
      <c r="N807" s="41" t="s">
        <v>2513</v>
      </c>
      <c r="O807" t="s">
        <v>2281</v>
      </c>
      <c r="Q807">
        <f t="shared" si="12"/>
        <v>0.25312746723880464</v>
      </c>
    </row>
    <row r="808" spans="1:17" x14ac:dyDescent="0.35">
      <c r="D808" s="71">
        <v>-2.5309550565399102</v>
      </c>
      <c r="E808" s="69">
        <v>66.852467897528498</v>
      </c>
      <c r="F808" s="72" t="s">
        <v>129</v>
      </c>
      <c r="G808" s="35">
        <v>49</v>
      </c>
      <c r="H808" s="1" t="s">
        <v>661</v>
      </c>
      <c r="I808" s="35">
        <v>22</v>
      </c>
      <c r="J808" s="46">
        <v>16</v>
      </c>
      <c r="K808" s="11" t="s">
        <v>783</v>
      </c>
      <c r="L808" s="27">
        <v>38</v>
      </c>
      <c r="M808" s="41" t="s">
        <v>744</v>
      </c>
      <c r="N808" s="41" t="s">
        <v>2514</v>
      </c>
      <c r="O808" t="s">
        <v>2281</v>
      </c>
      <c r="Q808">
        <f t="shared" si="12"/>
        <v>2.5309550565399102</v>
      </c>
    </row>
    <row r="809" spans="1:17" x14ac:dyDescent="0.35">
      <c r="D809" s="71">
        <v>5.6687926435578966</v>
      </c>
      <c r="E809" s="69">
        <v>78.093719540315789</v>
      </c>
      <c r="F809" s="72" t="s">
        <v>129</v>
      </c>
      <c r="G809" s="35">
        <v>4</v>
      </c>
      <c r="H809" s="1" t="s">
        <v>328</v>
      </c>
      <c r="I809" s="35">
        <v>28</v>
      </c>
      <c r="J809" s="46">
        <v>17</v>
      </c>
      <c r="K809" s="11" t="s">
        <v>665</v>
      </c>
      <c r="L809" s="27">
        <v>46</v>
      </c>
      <c r="M809" s="41" t="s">
        <v>796</v>
      </c>
      <c r="N809" s="41" t="s">
        <v>2515</v>
      </c>
      <c r="Q809">
        <f t="shared" si="12"/>
        <v>5.6687926435578966</v>
      </c>
    </row>
    <row r="810" spans="1:17" x14ac:dyDescent="0.35">
      <c r="D810" s="71">
        <v>-4.9320991409520536</v>
      </c>
      <c r="E810" s="69">
        <v>85.252469398666449</v>
      </c>
      <c r="F810" s="72" t="s">
        <v>129</v>
      </c>
      <c r="G810" s="35">
        <v>45</v>
      </c>
      <c r="H810" s="1" t="s">
        <v>677</v>
      </c>
      <c r="I810" s="35">
        <v>19</v>
      </c>
      <c r="J810" s="46">
        <v>15</v>
      </c>
      <c r="K810" s="11" t="s">
        <v>747</v>
      </c>
      <c r="L810" s="27">
        <v>7</v>
      </c>
      <c r="M810" s="41" t="s">
        <v>770</v>
      </c>
      <c r="N810" s="41" t="s">
        <v>2516</v>
      </c>
      <c r="P810" t="s">
        <v>2517</v>
      </c>
      <c r="Q810">
        <f t="shared" si="12"/>
        <v>4.9320991409520536</v>
      </c>
    </row>
    <row r="811" spans="1:17" x14ac:dyDescent="0.35">
      <c r="D811" s="71">
        <v>9.9840063168819704</v>
      </c>
      <c r="E811" s="69">
        <v>76.797138345084306</v>
      </c>
      <c r="F811" s="72" t="s">
        <v>231</v>
      </c>
      <c r="G811" s="35">
        <v>1</v>
      </c>
      <c r="H811" s="1" t="s">
        <v>468</v>
      </c>
      <c r="I811" s="35">
        <v>24</v>
      </c>
      <c r="J811" s="46">
        <v>23</v>
      </c>
      <c r="K811" s="11" t="s">
        <v>692</v>
      </c>
      <c r="L811" s="27">
        <v>44</v>
      </c>
      <c r="M811" s="41" t="s">
        <v>988</v>
      </c>
      <c r="N811" s="41" t="s">
        <v>2518</v>
      </c>
      <c r="P811" s="70" t="s">
        <v>2519</v>
      </c>
      <c r="Q811">
        <f t="shared" si="12"/>
        <v>9.9840063168819704</v>
      </c>
    </row>
    <row r="812" spans="1:17" x14ac:dyDescent="0.35">
      <c r="D812" s="71">
        <v>0.57821249239907513</v>
      </c>
      <c r="E812" s="69">
        <v>66.64056250542923</v>
      </c>
      <c r="F812" s="72" t="s">
        <v>231</v>
      </c>
      <c r="G812" s="35">
        <v>40</v>
      </c>
      <c r="H812" s="1" t="s">
        <v>671</v>
      </c>
      <c r="I812" s="35">
        <v>18</v>
      </c>
      <c r="J812" s="46">
        <v>11</v>
      </c>
      <c r="K812" s="11" t="s">
        <v>693</v>
      </c>
      <c r="L812" s="27">
        <v>42</v>
      </c>
      <c r="M812" s="41" t="s">
        <v>773</v>
      </c>
      <c r="N812" s="41" t="s">
        <v>2520</v>
      </c>
      <c r="Q812">
        <f t="shared" si="12"/>
        <v>0.57821249239907513</v>
      </c>
    </row>
    <row r="813" spans="1:17" x14ac:dyDescent="0.35">
      <c r="D813" s="71">
        <v>2.2813861366551635</v>
      </c>
      <c r="E813" s="69">
        <v>71.049906649150742</v>
      </c>
      <c r="F813" s="72" t="s">
        <v>231</v>
      </c>
      <c r="G813" s="35">
        <v>32</v>
      </c>
      <c r="H813" s="1" t="s">
        <v>670</v>
      </c>
      <c r="I813" s="35">
        <v>28</v>
      </c>
      <c r="J813" s="46">
        <v>25</v>
      </c>
      <c r="K813" s="11" t="s">
        <v>681</v>
      </c>
      <c r="L813" s="27">
        <v>39</v>
      </c>
      <c r="M813" s="41" t="s">
        <v>1007</v>
      </c>
      <c r="N813" s="41" t="s">
        <v>2521</v>
      </c>
      <c r="O813" t="s">
        <v>2281</v>
      </c>
      <c r="P813" t="s">
        <v>2522</v>
      </c>
      <c r="Q813">
        <f t="shared" si="12"/>
        <v>2.2813861366551635</v>
      </c>
    </row>
    <row r="814" spans="1:17" x14ac:dyDescent="0.35">
      <c r="A814" s="2" t="s">
        <v>2523</v>
      </c>
      <c r="D814" s="71">
        <v>0.11081232099712281</v>
      </c>
      <c r="E814" s="69">
        <v>73.00120548500206</v>
      </c>
      <c r="F814" s="72" t="s">
        <v>129</v>
      </c>
      <c r="G814" s="35">
        <v>31</v>
      </c>
      <c r="H814" s="1" t="s">
        <v>652</v>
      </c>
      <c r="I814" s="35">
        <v>16</v>
      </c>
      <c r="J814" s="46">
        <v>14</v>
      </c>
      <c r="K814" s="11" t="s">
        <v>663</v>
      </c>
      <c r="L814" s="27">
        <v>36</v>
      </c>
      <c r="M814" s="41" t="s">
        <v>806</v>
      </c>
      <c r="N814" s="41" t="s">
        <v>2524</v>
      </c>
      <c r="Q814">
        <f t="shared" si="12"/>
        <v>0.11081232099712281</v>
      </c>
    </row>
    <row r="815" spans="1:17" x14ac:dyDescent="0.35">
      <c r="D815" s="71">
        <v>1.3057049523358435</v>
      </c>
      <c r="E815" s="69">
        <v>73.353067891188687</v>
      </c>
      <c r="F815" s="72" t="s">
        <v>231</v>
      </c>
      <c r="G815" s="35">
        <v>29</v>
      </c>
      <c r="H815" s="1" t="s">
        <v>648</v>
      </c>
      <c r="I815" s="35">
        <v>21</v>
      </c>
      <c r="J815" s="46">
        <v>20</v>
      </c>
      <c r="K815" s="11" t="s">
        <v>1160</v>
      </c>
      <c r="L815" s="27">
        <v>35</v>
      </c>
      <c r="M815" s="41" t="s">
        <v>952</v>
      </c>
      <c r="N815" s="41" t="s">
        <v>2525</v>
      </c>
      <c r="P815" s="70" t="s">
        <v>2526</v>
      </c>
      <c r="Q815">
        <f t="shared" si="12"/>
        <v>1.3057049523358435</v>
      </c>
    </row>
    <row r="816" spans="1:17" x14ac:dyDescent="0.35">
      <c r="D816" s="71">
        <v>2.6334278004254528</v>
      </c>
      <c r="E816" s="69">
        <v>80.656600539702183</v>
      </c>
      <c r="F816" s="72" t="s">
        <v>231</v>
      </c>
      <c r="G816" s="35">
        <v>16</v>
      </c>
      <c r="H816" s="1" t="s">
        <v>641</v>
      </c>
      <c r="I816" s="35">
        <v>18</v>
      </c>
      <c r="J816" s="46">
        <v>17</v>
      </c>
      <c r="K816" s="11" t="s">
        <v>731</v>
      </c>
      <c r="L816" s="27">
        <v>34</v>
      </c>
      <c r="M816" s="41" t="s">
        <v>705</v>
      </c>
      <c r="N816" s="41" t="s">
        <v>2527</v>
      </c>
      <c r="O816" s="6" t="s">
        <v>1386</v>
      </c>
      <c r="P816" t="s">
        <v>2528</v>
      </c>
      <c r="Q816">
        <f t="shared" si="12"/>
        <v>2.6334278004254528</v>
      </c>
    </row>
    <row r="817" spans="1:17" x14ac:dyDescent="0.35">
      <c r="D817" s="71">
        <v>4.2680728220355828</v>
      </c>
      <c r="E817" s="69">
        <v>84.094233698546006</v>
      </c>
      <c r="F817" s="72" t="s">
        <v>129</v>
      </c>
      <c r="G817" s="35">
        <v>3</v>
      </c>
      <c r="H817" s="1" t="s">
        <v>245</v>
      </c>
      <c r="I817" s="35">
        <v>26</v>
      </c>
      <c r="J817" s="46">
        <v>6</v>
      </c>
      <c r="K817" s="11" t="s">
        <v>632</v>
      </c>
      <c r="L817" s="27">
        <v>33</v>
      </c>
      <c r="M817" s="41" t="s">
        <v>874</v>
      </c>
      <c r="N817" s="43" t="s">
        <v>2529</v>
      </c>
      <c r="O817" s="1" t="s">
        <v>1390</v>
      </c>
      <c r="Q817">
        <f t="shared" si="12"/>
        <v>4.2680728220355828</v>
      </c>
    </row>
    <row r="818" spans="1:17" x14ac:dyDescent="0.35">
      <c r="D818" s="71">
        <v>-0.38972651183889789</v>
      </c>
      <c r="E818" s="69">
        <v>85.635518937027783</v>
      </c>
      <c r="F818" s="72" t="s">
        <v>231</v>
      </c>
      <c r="G818" s="35">
        <v>27</v>
      </c>
      <c r="H818" s="1" t="s">
        <v>753</v>
      </c>
      <c r="I818" s="35">
        <v>17</v>
      </c>
      <c r="J818" s="46">
        <v>8</v>
      </c>
      <c r="K818" s="11" t="s">
        <v>664</v>
      </c>
      <c r="L818" s="27">
        <v>14</v>
      </c>
      <c r="M818" s="41" t="s">
        <v>842</v>
      </c>
      <c r="N818" s="41" t="s">
        <v>2530</v>
      </c>
      <c r="Q818">
        <f t="shared" si="12"/>
        <v>0.38972651183889789</v>
      </c>
    </row>
    <row r="819" spans="1:17" x14ac:dyDescent="0.35">
      <c r="D819" s="71">
        <v>-0.78530235449332375</v>
      </c>
      <c r="E819" s="69">
        <v>82.346644538923812</v>
      </c>
      <c r="F819" s="72" t="s">
        <v>129</v>
      </c>
      <c r="G819" s="35">
        <v>25</v>
      </c>
      <c r="H819" s="1" t="s">
        <v>650</v>
      </c>
      <c r="I819" s="35">
        <v>24</v>
      </c>
      <c r="J819" s="46">
        <v>15</v>
      </c>
      <c r="K819" s="11" t="s">
        <v>629</v>
      </c>
      <c r="L819" s="27">
        <v>26</v>
      </c>
      <c r="M819" s="41" t="s">
        <v>910</v>
      </c>
      <c r="N819" s="41" t="s">
        <v>2531</v>
      </c>
      <c r="O819" t="s">
        <v>2281</v>
      </c>
      <c r="Q819">
        <f t="shared" si="12"/>
        <v>0.78530235449332375</v>
      </c>
    </row>
    <row r="820" spans="1:17" x14ac:dyDescent="0.35">
      <c r="D820" s="71">
        <v>-1.9581958554530501</v>
      </c>
      <c r="E820" s="69">
        <v>89.523711325323603</v>
      </c>
      <c r="F820" s="72" t="s">
        <v>129</v>
      </c>
      <c r="G820" s="35">
        <v>20</v>
      </c>
      <c r="H820" s="1" t="s">
        <v>704</v>
      </c>
      <c r="I820" s="35">
        <v>15</v>
      </c>
      <c r="J820" s="46">
        <v>6</v>
      </c>
      <c r="K820" s="11" t="s">
        <v>649</v>
      </c>
      <c r="L820" s="27">
        <v>18</v>
      </c>
      <c r="M820" s="41" t="s">
        <v>801</v>
      </c>
      <c r="N820" s="43" t="s">
        <v>2532</v>
      </c>
      <c r="O820" s="1" t="s">
        <v>1390</v>
      </c>
      <c r="Q820">
        <f t="shared" si="12"/>
        <v>1.9581958554530501</v>
      </c>
    </row>
    <row r="821" spans="1:17" ht="15" thickBot="1" x14ac:dyDescent="0.4">
      <c r="C821" s="51"/>
      <c r="D821" s="82">
        <v>2.4932334351750196</v>
      </c>
      <c r="E821" s="76">
        <v>88.219118974874988</v>
      </c>
      <c r="F821" s="83" t="s">
        <v>231</v>
      </c>
      <c r="G821" s="49">
        <v>13</v>
      </c>
      <c r="H821" s="45" t="s">
        <v>647</v>
      </c>
      <c r="I821" s="49">
        <v>28</v>
      </c>
      <c r="J821" s="50">
        <v>10</v>
      </c>
      <c r="K821" s="51" t="s">
        <v>672</v>
      </c>
      <c r="L821" s="77">
        <v>19</v>
      </c>
      <c r="M821" s="42" t="s">
        <v>759</v>
      </c>
      <c r="N821" s="88" t="s">
        <v>2533</v>
      </c>
      <c r="O821" s="45" t="s">
        <v>1390</v>
      </c>
      <c r="P821" s="78"/>
      <c r="Q821">
        <f t="shared" si="12"/>
        <v>2.4932334351750196</v>
      </c>
    </row>
    <row r="822" spans="1:17" x14ac:dyDescent="0.35">
      <c r="A822" s="2" t="s">
        <v>2534</v>
      </c>
      <c r="B822" s="103" t="s">
        <v>1330</v>
      </c>
      <c r="C822" s="54" t="s">
        <v>3437</v>
      </c>
      <c r="D822" s="71">
        <v>6.2974043387832461</v>
      </c>
      <c r="E822" s="69">
        <v>54.366847210782197</v>
      </c>
      <c r="F822" s="72" t="s">
        <v>129</v>
      </c>
      <c r="G822" s="35">
        <v>29</v>
      </c>
      <c r="H822" s="1" t="s">
        <v>670</v>
      </c>
      <c r="I822" s="35">
        <v>26</v>
      </c>
      <c r="J822" s="46">
        <v>9</v>
      </c>
      <c r="K822" s="11" t="s">
        <v>734</v>
      </c>
      <c r="L822" s="27">
        <v>86</v>
      </c>
      <c r="M822" s="41" t="s">
        <v>721</v>
      </c>
      <c r="N822" s="43" t="s">
        <v>2535</v>
      </c>
      <c r="O822" s="1" t="s">
        <v>1390</v>
      </c>
      <c r="Q822">
        <f t="shared" si="12"/>
        <v>6.2974043387832461</v>
      </c>
    </row>
    <row r="823" spans="1:17" x14ac:dyDescent="0.35">
      <c r="C823" s="54" t="s">
        <v>3437</v>
      </c>
      <c r="D823" s="71">
        <v>-2.3720032250589318</v>
      </c>
      <c r="E823" s="69">
        <v>96.18110921610932</v>
      </c>
      <c r="F823" s="72" t="s">
        <v>231</v>
      </c>
      <c r="G823" s="35">
        <v>17</v>
      </c>
      <c r="H823" s="1" t="s">
        <v>704</v>
      </c>
      <c r="I823" s="35">
        <v>14</v>
      </c>
      <c r="J823" s="46">
        <v>8</v>
      </c>
      <c r="K823" s="11" t="s">
        <v>245</v>
      </c>
      <c r="L823" s="27">
        <v>2</v>
      </c>
      <c r="M823" s="41" t="s">
        <v>874</v>
      </c>
      <c r="N823" s="41" t="s">
        <v>2539</v>
      </c>
      <c r="O823" t="s">
        <v>2281</v>
      </c>
      <c r="Q823">
        <f t="shared" si="12"/>
        <v>2.3720032250589318</v>
      </c>
    </row>
    <row r="824" spans="1:17" x14ac:dyDescent="0.35">
      <c r="C824" s="54" t="s">
        <v>3437</v>
      </c>
      <c r="D824" s="71">
        <v>11.613648824467358</v>
      </c>
      <c r="E824" s="69">
        <v>53.641225755699566</v>
      </c>
      <c r="F824" s="72" t="s">
        <v>129</v>
      </c>
      <c r="G824" s="35">
        <v>13</v>
      </c>
      <c r="H824" s="1" t="s">
        <v>467</v>
      </c>
      <c r="I824" s="35">
        <v>34</v>
      </c>
      <c r="J824" s="46">
        <v>12</v>
      </c>
      <c r="K824" s="11" t="s">
        <v>720</v>
      </c>
      <c r="L824" s="27">
        <v>108</v>
      </c>
      <c r="M824" s="41" t="s">
        <v>806</v>
      </c>
      <c r="N824" s="43" t="s">
        <v>2542</v>
      </c>
      <c r="O824" s="1" t="s">
        <v>1390</v>
      </c>
      <c r="Q824">
        <f t="shared" si="12"/>
        <v>11.613648824467358</v>
      </c>
    </row>
    <row r="825" spans="1:17" x14ac:dyDescent="0.35">
      <c r="C825" s="54" t="s">
        <v>3437</v>
      </c>
      <c r="D825" s="71">
        <v>4.9752278814019268</v>
      </c>
      <c r="E825" s="69">
        <v>76.230210647670191</v>
      </c>
      <c r="F825" s="72" t="s">
        <v>129</v>
      </c>
      <c r="G825" s="35">
        <v>11</v>
      </c>
      <c r="H825" s="1" t="s">
        <v>647</v>
      </c>
      <c r="I825" s="35">
        <v>33</v>
      </c>
      <c r="J825" s="46">
        <v>4</v>
      </c>
      <c r="K825" s="11" t="s">
        <v>755</v>
      </c>
      <c r="L825" s="27">
        <v>53</v>
      </c>
      <c r="M825" s="41" t="s">
        <v>2301</v>
      </c>
      <c r="N825" s="43" t="s">
        <v>2545</v>
      </c>
      <c r="O825" s="1" t="s">
        <v>1390</v>
      </c>
      <c r="Q825">
        <f t="shared" si="12"/>
        <v>4.9752278814019268</v>
      </c>
    </row>
    <row r="826" spans="1:17" x14ac:dyDescent="0.35">
      <c r="C826" s="54" t="s">
        <v>3437</v>
      </c>
      <c r="D826" s="71">
        <v>0.93568497310972187</v>
      </c>
      <c r="E826" s="69">
        <v>15.82705966014376</v>
      </c>
      <c r="F826" s="72" t="s">
        <v>129</v>
      </c>
      <c r="G826" s="35">
        <v>99</v>
      </c>
      <c r="H826" s="1" t="s">
        <v>767</v>
      </c>
      <c r="I826" s="35">
        <v>20</v>
      </c>
      <c r="J826" s="46">
        <v>18</v>
      </c>
      <c r="K826" s="11" t="s">
        <v>638</v>
      </c>
      <c r="L826" s="27">
        <v>109</v>
      </c>
      <c r="M826" s="41" t="s">
        <v>702</v>
      </c>
      <c r="N826" s="41" t="s">
        <v>2549</v>
      </c>
      <c r="O826" s="6" t="s">
        <v>1386</v>
      </c>
      <c r="P826" s="70" t="s">
        <v>2550</v>
      </c>
      <c r="Q826">
        <f t="shared" si="12"/>
        <v>0.93568497310972187</v>
      </c>
    </row>
    <row r="827" spans="1:17" x14ac:dyDescent="0.35">
      <c r="C827" s="54" t="s">
        <v>3437</v>
      </c>
      <c r="D827" s="71">
        <v>-2.0201873139602196</v>
      </c>
      <c r="E827" s="69">
        <v>61.521906130403003</v>
      </c>
      <c r="F827" s="72" t="s">
        <v>129</v>
      </c>
      <c r="G827" s="35">
        <v>59</v>
      </c>
      <c r="H827" s="1" t="s">
        <v>785</v>
      </c>
      <c r="I827" s="35">
        <v>17</v>
      </c>
      <c r="J827" s="46">
        <v>16</v>
      </c>
      <c r="K827" s="11" t="s">
        <v>665</v>
      </c>
      <c r="L827" s="27">
        <v>51</v>
      </c>
      <c r="M827" s="41" t="s">
        <v>781</v>
      </c>
      <c r="N827" s="41" t="s">
        <v>2553</v>
      </c>
      <c r="O827" s="6" t="s">
        <v>1386</v>
      </c>
      <c r="P827" s="70" t="s">
        <v>2554</v>
      </c>
      <c r="Q827">
        <f t="shared" si="12"/>
        <v>2.0201873139602196</v>
      </c>
    </row>
    <row r="828" spans="1:17" x14ac:dyDescent="0.35">
      <c r="C828" s="54" t="s">
        <v>3437</v>
      </c>
      <c r="D828" s="71">
        <v>-1.7304798583048495</v>
      </c>
      <c r="E828" s="69">
        <v>72.545487051767395</v>
      </c>
      <c r="F828" s="72" t="s">
        <v>129</v>
      </c>
      <c r="G828" s="35">
        <v>44</v>
      </c>
      <c r="H828" s="1" t="s">
        <v>681</v>
      </c>
      <c r="I828" s="35">
        <v>16</v>
      </c>
      <c r="J828" s="46">
        <v>15</v>
      </c>
      <c r="K828" s="11" t="s">
        <v>671</v>
      </c>
      <c r="L828" s="27">
        <v>35</v>
      </c>
      <c r="M828" s="41" t="s">
        <v>806</v>
      </c>
      <c r="N828" s="41" t="s">
        <v>2558</v>
      </c>
      <c r="O828" s="6" t="s">
        <v>1386</v>
      </c>
      <c r="Q828">
        <f t="shared" si="12"/>
        <v>1.7304798583048495</v>
      </c>
    </row>
    <row r="829" spans="1:17" x14ac:dyDescent="0.35">
      <c r="C829" s="54" t="s">
        <v>3437</v>
      </c>
      <c r="D829" s="71">
        <v>8.8541485286480572</v>
      </c>
      <c r="E829" s="69">
        <v>76.950904517297687</v>
      </c>
      <c r="F829" s="72" t="s">
        <v>231</v>
      </c>
      <c r="G829" s="35">
        <v>4</v>
      </c>
      <c r="H829" s="1" t="s">
        <v>644</v>
      </c>
      <c r="I829" s="35">
        <v>23</v>
      </c>
      <c r="J829" s="46">
        <v>6</v>
      </c>
      <c r="K829" s="11" t="s">
        <v>750</v>
      </c>
      <c r="L829" s="27">
        <v>50</v>
      </c>
      <c r="M829" s="41" t="s">
        <v>924</v>
      </c>
      <c r="N829" s="43" t="s">
        <v>2561</v>
      </c>
      <c r="O829" s="1" t="s">
        <v>1390</v>
      </c>
      <c r="Q829">
        <f t="shared" si="12"/>
        <v>8.8541485286480572</v>
      </c>
    </row>
    <row r="830" spans="1:17" x14ac:dyDescent="0.35">
      <c r="C830" s="54" t="s">
        <v>3437</v>
      </c>
      <c r="D830" s="71">
        <v>-9.1947667660858934E-2</v>
      </c>
      <c r="E830" s="69">
        <v>67.514466357781984</v>
      </c>
      <c r="F830" s="72" t="s">
        <v>129</v>
      </c>
      <c r="G830" s="35">
        <v>38</v>
      </c>
      <c r="H830" s="1" t="s">
        <v>731</v>
      </c>
      <c r="I830" s="35">
        <v>14</v>
      </c>
      <c r="J830" s="46">
        <v>8</v>
      </c>
      <c r="K830" s="11" t="s">
        <v>746</v>
      </c>
      <c r="L830" s="27">
        <v>52</v>
      </c>
      <c r="M830" s="41" t="s">
        <v>741</v>
      </c>
      <c r="N830" s="41" t="s">
        <v>2565</v>
      </c>
      <c r="O830" t="s">
        <v>2281</v>
      </c>
      <c r="Q830">
        <f t="shared" si="12"/>
        <v>9.1947667660858934E-2</v>
      </c>
    </row>
    <row r="831" spans="1:17" x14ac:dyDescent="0.35">
      <c r="C831" s="54" t="s">
        <v>3437</v>
      </c>
      <c r="D831" s="71">
        <v>8.3063906599475406</v>
      </c>
      <c r="E831" s="69">
        <v>72.160177432890876</v>
      </c>
      <c r="F831" s="72" t="s">
        <v>129</v>
      </c>
      <c r="G831" s="35">
        <v>3</v>
      </c>
      <c r="H831" s="1" t="s">
        <v>242</v>
      </c>
      <c r="I831" s="35">
        <v>31</v>
      </c>
      <c r="J831" s="46">
        <v>6</v>
      </c>
      <c r="K831" s="11" t="s">
        <v>768</v>
      </c>
      <c r="L831" s="27">
        <v>67</v>
      </c>
      <c r="M831" s="41" t="s">
        <v>739</v>
      </c>
      <c r="N831" s="43" t="s">
        <v>2568</v>
      </c>
      <c r="O831" s="1" t="s">
        <v>1390</v>
      </c>
      <c r="Q831">
        <f t="shared" si="12"/>
        <v>8.3063906599475406</v>
      </c>
    </row>
    <row r="832" spans="1:17" x14ac:dyDescent="0.35">
      <c r="C832" s="54" t="s">
        <v>3437</v>
      </c>
      <c r="D832" s="71">
        <v>7.3794156562118429</v>
      </c>
      <c r="E832" s="69">
        <v>73.720375649578102</v>
      </c>
      <c r="F832" s="72" t="s">
        <v>129</v>
      </c>
      <c r="G832" s="35">
        <v>5</v>
      </c>
      <c r="H832" s="1" t="s">
        <v>328</v>
      </c>
      <c r="I832" s="35">
        <v>23</v>
      </c>
      <c r="J832" s="46">
        <v>13</v>
      </c>
      <c r="K832" s="11" t="s">
        <v>713</v>
      </c>
      <c r="L832" s="27">
        <v>62</v>
      </c>
      <c r="M832" s="41" t="s">
        <v>910</v>
      </c>
      <c r="N832" s="41" t="s">
        <v>2571</v>
      </c>
      <c r="O832" t="s">
        <v>2281</v>
      </c>
      <c r="Q832">
        <f t="shared" si="12"/>
        <v>7.3794156562118429</v>
      </c>
    </row>
    <row r="833" spans="1:17" x14ac:dyDescent="0.35">
      <c r="C833" s="54" t="s">
        <v>3437</v>
      </c>
      <c r="D833" s="71">
        <v>6.8691041446463199</v>
      </c>
      <c r="E833" s="69">
        <v>80.798433049870226</v>
      </c>
      <c r="F833" s="72" t="s">
        <v>129</v>
      </c>
      <c r="G833" s="35">
        <v>1</v>
      </c>
      <c r="H833" s="1" t="s">
        <v>468</v>
      </c>
      <c r="I833" s="35">
        <v>24</v>
      </c>
      <c r="J833" s="46">
        <v>14</v>
      </c>
      <c r="K833" s="11" t="s">
        <v>783</v>
      </c>
      <c r="L833" s="27">
        <v>45</v>
      </c>
      <c r="M833" s="41" t="s">
        <v>786</v>
      </c>
      <c r="N833" s="41" t="s">
        <v>2574</v>
      </c>
      <c r="O833" t="s">
        <v>2281</v>
      </c>
      <c r="Q833">
        <f t="shared" si="12"/>
        <v>6.8691041446463199</v>
      </c>
    </row>
    <row r="834" spans="1:17" x14ac:dyDescent="0.35">
      <c r="A834" s="2" t="s">
        <v>2557</v>
      </c>
      <c r="C834" s="54" t="s">
        <v>3437</v>
      </c>
      <c r="D834" s="71">
        <v>11.524992930365961</v>
      </c>
      <c r="E834" s="69">
        <v>60.126790259050452</v>
      </c>
      <c r="F834" s="72" t="s">
        <v>129</v>
      </c>
      <c r="G834" s="35">
        <v>7</v>
      </c>
      <c r="H834" s="1" t="s">
        <v>643</v>
      </c>
      <c r="I834" s="35">
        <v>23</v>
      </c>
      <c r="J834" s="46">
        <v>11</v>
      </c>
      <c r="K834" s="11" t="s">
        <v>1157</v>
      </c>
      <c r="L834" s="27">
        <v>94</v>
      </c>
      <c r="M834" s="41" t="s">
        <v>826</v>
      </c>
      <c r="N834" s="41" t="s">
        <v>2577</v>
      </c>
      <c r="O834" t="s">
        <v>2281</v>
      </c>
      <c r="Q834">
        <f t="shared" si="12"/>
        <v>11.524992930365961</v>
      </c>
    </row>
    <row r="835" spans="1:17" x14ac:dyDescent="0.35">
      <c r="C835" s="54" t="s">
        <v>3437</v>
      </c>
      <c r="D835" s="71">
        <v>12.677024867434463</v>
      </c>
      <c r="E835" s="69">
        <v>58.100484013792133</v>
      </c>
      <c r="F835" s="72" t="s">
        <v>231</v>
      </c>
      <c r="G835" s="35">
        <v>12</v>
      </c>
      <c r="H835" s="1" t="s">
        <v>747</v>
      </c>
      <c r="I835" s="35">
        <v>35</v>
      </c>
      <c r="J835" s="46">
        <v>11</v>
      </c>
      <c r="K835" s="11" t="s">
        <v>636</v>
      </c>
      <c r="L835" s="27">
        <v>93</v>
      </c>
      <c r="M835" s="41" t="s">
        <v>775</v>
      </c>
      <c r="N835" s="43" t="s">
        <v>2580</v>
      </c>
      <c r="O835" s="1" t="s">
        <v>1390</v>
      </c>
      <c r="Q835">
        <f t="shared" ref="Q835:Q898" si="13">ABS(D835)</f>
        <v>12.677024867434463</v>
      </c>
    </row>
    <row r="836" spans="1:17" x14ac:dyDescent="0.35">
      <c r="C836" s="54" t="s">
        <v>3437</v>
      </c>
      <c r="D836" s="71">
        <v>1.8451161617388789</v>
      </c>
      <c r="E836" s="69">
        <v>68.800461038882162</v>
      </c>
      <c r="F836" s="72" t="s">
        <v>231</v>
      </c>
      <c r="G836" s="35">
        <v>41</v>
      </c>
      <c r="H836" s="1" t="s">
        <v>632</v>
      </c>
      <c r="I836" s="35">
        <v>18</v>
      </c>
      <c r="J836" s="46">
        <v>17</v>
      </c>
      <c r="K836" s="11" t="s">
        <v>663</v>
      </c>
      <c r="L836" s="27">
        <v>42</v>
      </c>
      <c r="M836" s="41" t="s">
        <v>831</v>
      </c>
      <c r="N836" s="41" t="s">
        <v>2583</v>
      </c>
      <c r="O836" t="s">
        <v>2281</v>
      </c>
      <c r="Q836">
        <f t="shared" si="13"/>
        <v>1.8451161617388789</v>
      </c>
    </row>
    <row r="837" spans="1:17" x14ac:dyDescent="0.35">
      <c r="C837" s="54" t="s">
        <v>3437</v>
      </c>
      <c r="D837" s="71">
        <v>9.1455383674148187</v>
      </c>
      <c r="E837" s="69">
        <v>61.335011049519053</v>
      </c>
      <c r="F837" s="72" t="s">
        <v>129</v>
      </c>
      <c r="G837" s="35">
        <v>10</v>
      </c>
      <c r="H837" s="1" t="s">
        <v>718</v>
      </c>
      <c r="I837" s="35">
        <v>33</v>
      </c>
      <c r="J837" s="46">
        <v>11</v>
      </c>
      <c r="K837" s="11" t="s">
        <v>1164</v>
      </c>
      <c r="L837" s="27">
        <v>92</v>
      </c>
      <c r="M837" s="41" t="s">
        <v>799</v>
      </c>
      <c r="N837" s="43" t="s">
        <v>2586</v>
      </c>
      <c r="O837" s="1" t="s">
        <v>1390</v>
      </c>
      <c r="Q837">
        <f t="shared" si="13"/>
        <v>9.1455383674148187</v>
      </c>
    </row>
    <row r="838" spans="1:17" x14ac:dyDescent="0.35">
      <c r="A838" s="2" t="s">
        <v>2564</v>
      </c>
      <c r="B838" s="103" t="s">
        <v>1331</v>
      </c>
      <c r="C838" s="54" t="s">
        <v>3438</v>
      </c>
      <c r="D838" s="71">
        <v>9.3529598943388041</v>
      </c>
      <c r="E838" s="69">
        <v>52.402561496496482</v>
      </c>
      <c r="F838" s="72" t="s">
        <v>231</v>
      </c>
      <c r="G838" s="35">
        <v>29</v>
      </c>
      <c r="H838" s="1" t="s">
        <v>670</v>
      </c>
      <c r="I838" s="35">
        <v>39</v>
      </c>
      <c r="J838" s="46">
        <v>15</v>
      </c>
      <c r="K838" s="11" t="s">
        <v>734</v>
      </c>
      <c r="L838" s="27">
        <v>86</v>
      </c>
      <c r="M838" s="41" t="s">
        <v>759</v>
      </c>
      <c r="N838" s="43" t="s">
        <v>2536</v>
      </c>
      <c r="O838" s="1" t="s">
        <v>2537</v>
      </c>
      <c r="P838" s="70" t="s">
        <v>2538</v>
      </c>
      <c r="Q838">
        <f t="shared" si="13"/>
        <v>9.3529598943388041</v>
      </c>
    </row>
    <row r="839" spans="1:17" x14ac:dyDescent="0.35">
      <c r="C839" s="54" t="s">
        <v>3438</v>
      </c>
      <c r="D839" s="71">
        <v>5.5497810028367116</v>
      </c>
      <c r="E839" s="69">
        <v>91.088533641033536</v>
      </c>
      <c r="F839" s="72" t="s">
        <v>231</v>
      </c>
      <c r="G839" s="35">
        <v>2</v>
      </c>
      <c r="H839" s="1" t="s">
        <v>245</v>
      </c>
      <c r="I839" s="35">
        <v>26</v>
      </c>
      <c r="J839" s="46">
        <v>10</v>
      </c>
      <c r="K839" s="11" t="s">
        <v>704</v>
      </c>
      <c r="L839" s="27">
        <v>17</v>
      </c>
      <c r="M839" s="41" t="s">
        <v>775</v>
      </c>
      <c r="N839" s="43" t="s">
        <v>2540</v>
      </c>
      <c r="O839" s="1" t="s">
        <v>1390</v>
      </c>
      <c r="P839" s="70" t="s">
        <v>2541</v>
      </c>
      <c r="Q839">
        <f t="shared" si="13"/>
        <v>5.5497810028367116</v>
      </c>
    </row>
    <row r="840" spans="1:17" x14ac:dyDescent="0.35">
      <c r="C840" s="54" t="s">
        <v>3438</v>
      </c>
      <c r="D840" s="71">
        <v>14.280315491134026</v>
      </c>
      <c r="E840" s="69">
        <v>51.92694004141385</v>
      </c>
      <c r="F840" s="72" t="s">
        <v>231</v>
      </c>
      <c r="G840" s="35">
        <v>13</v>
      </c>
      <c r="H840" s="1" t="s">
        <v>467</v>
      </c>
      <c r="I840" s="35">
        <v>47</v>
      </c>
      <c r="J840" s="46">
        <v>10</v>
      </c>
      <c r="K840" s="11" t="s">
        <v>720</v>
      </c>
      <c r="L840" s="27">
        <v>108</v>
      </c>
      <c r="M840" s="41" t="s">
        <v>1237</v>
      </c>
      <c r="N840" s="43" t="s">
        <v>2543</v>
      </c>
      <c r="O840" s="1" t="s">
        <v>2537</v>
      </c>
      <c r="P840" s="70" t="s">
        <v>2544</v>
      </c>
      <c r="Q840">
        <f t="shared" si="13"/>
        <v>14.280315491134026</v>
      </c>
    </row>
    <row r="841" spans="1:17" x14ac:dyDescent="0.35">
      <c r="C841" s="54" t="s">
        <v>3438</v>
      </c>
      <c r="D841" s="71">
        <v>-8.489116770290817</v>
      </c>
      <c r="E841" s="69">
        <v>84.88586078090124</v>
      </c>
      <c r="F841" s="72" t="s">
        <v>129</v>
      </c>
      <c r="G841" s="35">
        <v>53</v>
      </c>
      <c r="H841" s="1" t="s">
        <v>755</v>
      </c>
      <c r="I841" s="35">
        <v>18</v>
      </c>
      <c r="J841" s="46">
        <v>17</v>
      </c>
      <c r="K841" s="11" t="s">
        <v>647</v>
      </c>
      <c r="L841" s="27">
        <v>11</v>
      </c>
      <c r="M841" s="41" t="s">
        <v>789</v>
      </c>
      <c r="N841" s="41" t="s">
        <v>2546</v>
      </c>
      <c r="O841" s="1" t="s">
        <v>2547</v>
      </c>
      <c r="P841" s="70" t="s">
        <v>2548</v>
      </c>
      <c r="Q841">
        <f t="shared" si="13"/>
        <v>8.489116770290817</v>
      </c>
    </row>
    <row r="842" spans="1:17" x14ac:dyDescent="0.35">
      <c r="C842" s="54" t="s">
        <v>3438</v>
      </c>
      <c r="D842" s="71">
        <v>3.7773516397763882</v>
      </c>
      <c r="E842" s="69">
        <v>14.000273945858044</v>
      </c>
      <c r="F842" s="72" t="s">
        <v>231</v>
      </c>
      <c r="G842" s="35">
        <v>99</v>
      </c>
      <c r="H842" s="1" t="s">
        <v>767</v>
      </c>
      <c r="I842" s="35">
        <v>24</v>
      </c>
      <c r="J842" s="46">
        <v>10</v>
      </c>
      <c r="K842" s="11" t="s">
        <v>638</v>
      </c>
      <c r="L842" s="27">
        <v>109</v>
      </c>
      <c r="M842" s="41" t="s">
        <v>724</v>
      </c>
      <c r="N842" s="41" t="s">
        <v>2551</v>
      </c>
      <c r="O842" t="s">
        <v>2281</v>
      </c>
      <c r="P842" s="70" t="s">
        <v>2552</v>
      </c>
      <c r="Q842">
        <f t="shared" si="13"/>
        <v>3.7773516397763882</v>
      </c>
    </row>
    <row r="843" spans="1:17" x14ac:dyDescent="0.35">
      <c r="C843" s="54" t="s">
        <v>3438</v>
      </c>
      <c r="D843" s="71">
        <v>-1.0471194703961841</v>
      </c>
      <c r="E843" s="69">
        <v>60.896362516683268</v>
      </c>
      <c r="F843" s="72" t="s">
        <v>129</v>
      </c>
      <c r="G843" s="35">
        <v>51</v>
      </c>
      <c r="H843" s="1" t="s">
        <v>665</v>
      </c>
      <c r="I843" s="35">
        <v>19</v>
      </c>
      <c r="J843" s="46">
        <v>14</v>
      </c>
      <c r="K843" s="11" t="s">
        <v>785</v>
      </c>
      <c r="L843" s="27">
        <v>59</v>
      </c>
      <c r="M843" s="41" t="s">
        <v>702</v>
      </c>
      <c r="N843" s="41" t="s">
        <v>2555</v>
      </c>
      <c r="O843" t="s">
        <v>2281</v>
      </c>
      <c r="P843" s="70" t="s">
        <v>2556</v>
      </c>
      <c r="Q843">
        <f t="shared" si="13"/>
        <v>1.0471194703961841</v>
      </c>
    </row>
    <row r="844" spans="1:17" x14ac:dyDescent="0.35">
      <c r="C844" s="54" t="s">
        <v>3438</v>
      </c>
      <c r="D844" s="71">
        <v>-0.74191350651629495</v>
      </c>
      <c r="E844" s="69">
        <v>71.909980111331919</v>
      </c>
      <c r="F844" s="72" t="s">
        <v>129</v>
      </c>
      <c r="G844" s="35">
        <v>35</v>
      </c>
      <c r="H844" s="1" t="s">
        <v>671</v>
      </c>
      <c r="I844" s="35">
        <v>19</v>
      </c>
      <c r="J844" s="46">
        <v>16</v>
      </c>
      <c r="K844" s="11" t="s">
        <v>681</v>
      </c>
      <c r="L844" s="27">
        <v>44</v>
      </c>
      <c r="M844" s="41" t="s">
        <v>806</v>
      </c>
      <c r="N844" s="41" t="s">
        <v>2559</v>
      </c>
      <c r="O844" t="s">
        <v>2281</v>
      </c>
      <c r="P844" s="70" t="s">
        <v>2560</v>
      </c>
      <c r="Q844">
        <f t="shared" si="13"/>
        <v>0.74191350651629495</v>
      </c>
    </row>
    <row r="845" spans="1:17" x14ac:dyDescent="0.35">
      <c r="C845" s="54" t="s">
        <v>3438</v>
      </c>
      <c r="D845" s="71">
        <v>-6.1041485286480572</v>
      </c>
      <c r="E845" s="69">
        <v>86.566952625559466</v>
      </c>
      <c r="F845" s="72" t="s">
        <v>231</v>
      </c>
      <c r="G845" s="35">
        <v>50</v>
      </c>
      <c r="H845" s="1" t="s">
        <v>750</v>
      </c>
      <c r="I845" s="35">
        <v>19</v>
      </c>
      <c r="J845" s="46">
        <v>17</v>
      </c>
      <c r="K845" s="11" t="s">
        <v>644</v>
      </c>
      <c r="L845" s="27">
        <v>4</v>
      </c>
      <c r="M845" s="41" t="s">
        <v>775</v>
      </c>
      <c r="N845" s="41" t="s">
        <v>2562</v>
      </c>
      <c r="O845" t="s">
        <v>2281</v>
      </c>
      <c r="P845" s="70" t="s">
        <v>2563</v>
      </c>
      <c r="Q845">
        <f t="shared" si="13"/>
        <v>6.1041485286480572</v>
      </c>
    </row>
    <row r="846" spans="1:17" x14ac:dyDescent="0.35">
      <c r="C846" s="54" t="s">
        <v>3438</v>
      </c>
      <c r="D846" s="71">
        <v>2.6858301101169189</v>
      </c>
      <c r="E846" s="69">
        <v>65.728752072067692</v>
      </c>
      <c r="F846" s="72" t="s">
        <v>231</v>
      </c>
      <c r="G846" s="35">
        <v>38</v>
      </c>
      <c r="H846" s="1" t="s">
        <v>731</v>
      </c>
      <c r="I846" s="35">
        <v>17</v>
      </c>
      <c r="J846" s="46">
        <v>15</v>
      </c>
      <c r="K846" s="11" t="s">
        <v>746</v>
      </c>
      <c r="L846" s="27">
        <v>52</v>
      </c>
      <c r="M846" s="41" t="s">
        <v>928</v>
      </c>
      <c r="N846" s="41" t="s">
        <v>2566</v>
      </c>
      <c r="O846" t="s">
        <v>2281</v>
      </c>
      <c r="P846" s="70" t="s">
        <v>2567</v>
      </c>
      <c r="Q846">
        <f t="shared" si="13"/>
        <v>2.6858301101169189</v>
      </c>
    </row>
    <row r="847" spans="1:17" x14ac:dyDescent="0.35">
      <c r="C847" s="54" t="s">
        <v>3438</v>
      </c>
      <c r="D847" s="71">
        <v>11.292501771058653</v>
      </c>
      <c r="E847" s="69">
        <v>70.240534575748015</v>
      </c>
      <c r="F847" s="72" t="s">
        <v>231</v>
      </c>
      <c r="G847" s="35">
        <v>3</v>
      </c>
      <c r="H847" s="1" t="s">
        <v>242</v>
      </c>
      <c r="I847" s="35">
        <v>33</v>
      </c>
      <c r="J847" s="46">
        <v>12</v>
      </c>
      <c r="K847" s="11" t="s">
        <v>768</v>
      </c>
      <c r="L847" s="27">
        <v>67</v>
      </c>
      <c r="M847" s="41" t="s">
        <v>748</v>
      </c>
      <c r="N847" s="43" t="s">
        <v>2569</v>
      </c>
      <c r="O847" s="1" t="s">
        <v>2537</v>
      </c>
      <c r="P847" s="70" t="s">
        <v>2570</v>
      </c>
      <c r="Q847">
        <f t="shared" si="13"/>
        <v>11.292501771058653</v>
      </c>
    </row>
    <row r="848" spans="1:17" x14ac:dyDescent="0.35">
      <c r="C848" s="54" t="s">
        <v>3438</v>
      </c>
      <c r="D848" s="71">
        <v>10.587748989545178</v>
      </c>
      <c r="E848" s="69">
        <v>71.657875649578102</v>
      </c>
      <c r="F848" s="72" t="s">
        <v>231</v>
      </c>
      <c r="G848" s="35">
        <v>5</v>
      </c>
      <c r="H848" s="1" t="s">
        <v>328</v>
      </c>
      <c r="I848" s="35">
        <v>34</v>
      </c>
      <c r="J848" s="46">
        <v>15</v>
      </c>
      <c r="K848" s="11" t="s">
        <v>713</v>
      </c>
      <c r="L848" s="27">
        <v>62</v>
      </c>
      <c r="M848" s="41" t="s">
        <v>759</v>
      </c>
      <c r="N848" s="43" t="s">
        <v>2572</v>
      </c>
      <c r="O848" s="1" t="s">
        <v>1390</v>
      </c>
      <c r="P848" s="70" t="s">
        <v>2573</v>
      </c>
      <c r="Q848">
        <f t="shared" si="13"/>
        <v>10.587748989545178</v>
      </c>
    </row>
    <row r="849" spans="1:17" x14ac:dyDescent="0.35">
      <c r="C849" s="54" t="s">
        <v>3438</v>
      </c>
      <c r="D849" s="71">
        <v>9.7579930335352074</v>
      </c>
      <c r="E849" s="69">
        <v>78.941290192727365</v>
      </c>
      <c r="F849" s="72" t="s">
        <v>231</v>
      </c>
      <c r="G849" s="35">
        <v>1</v>
      </c>
      <c r="H849" s="1" t="s">
        <v>468</v>
      </c>
      <c r="I849" s="35">
        <v>24</v>
      </c>
      <c r="J849" s="46">
        <v>17</v>
      </c>
      <c r="K849" s="11" t="s">
        <v>783</v>
      </c>
      <c r="L849" s="27">
        <v>45</v>
      </c>
      <c r="M849" s="41" t="s">
        <v>839</v>
      </c>
      <c r="N849" s="41" t="s">
        <v>2575</v>
      </c>
      <c r="O849" t="s">
        <v>2281</v>
      </c>
      <c r="P849" s="70" t="s">
        <v>2576</v>
      </c>
      <c r="Q849">
        <f t="shared" si="13"/>
        <v>9.7579930335352074</v>
      </c>
    </row>
    <row r="850" spans="1:17" x14ac:dyDescent="0.35">
      <c r="C850" s="54" t="s">
        <v>3438</v>
      </c>
      <c r="D850" s="71">
        <v>14.274992930365961</v>
      </c>
      <c r="E850" s="69">
        <v>58.358933116193313</v>
      </c>
      <c r="F850" s="72" t="s">
        <v>231</v>
      </c>
      <c r="G850" s="35">
        <v>7</v>
      </c>
      <c r="H850" s="1" t="s">
        <v>643</v>
      </c>
      <c r="I850" s="35">
        <v>31</v>
      </c>
      <c r="J850" s="46">
        <v>14</v>
      </c>
      <c r="K850" s="11" t="s">
        <v>1157</v>
      </c>
      <c r="L850" s="27">
        <v>94</v>
      </c>
      <c r="M850" s="41" t="s">
        <v>727</v>
      </c>
      <c r="N850" s="43" t="s">
        <v>2578</v>
      </c>
      <c r="O850" s="1" t="s">
        <v>1390</v>
      </c>
      <c r="P850" s="70" t="s">
        <v>2579</v>
      </c>
      <c r="Q850">
        <f t="shared" si="13"/>
        <v>14.274992930365961</v>
      </c>
    </row>
    <row r="851" spans="1:17" x14ac:dyDescent="0.35">
      <c r="C851" s="54" t="s">
        <v>3438</v>
      </c>
      <c r="D851" s="71">
        <v>9.2603582007677971</v>
      </c>
      <c r="E851" s="69">
        <v>60.296912585220696</v>
      </c>
      <c r="F851" s="72" t="s">
        <v>129</v>
      </c>
      <c r="G851" s="35">
        <v>12</v>
      </c>
      <c r="H851" s="1" t="s">
        <v>747</v>
      </c>
      <c r="I851" s="35">
        <v>25</v>
      </c>
      <c r="J851" s="46">
        <v>20</v>
      </c>
      <c r="K851" s="11" t="s">
        <v>636</v>
      </c>
      <c r="L851" s="27">
        <v>93</v>
      </c>
      <c r="M851" s="41" t="s">
        <v>889</v>
      </c>
      <c r="N851" s="41" t="s">
        <v>2581</v>
      </c>
      <c r="O851" s="6" t="s">
        <v>1386</v>
      </c>
      <c r="P851" s="70" t="s">
        <v>2582</v>
      </c>
      <c r="Q851">
        <f t="shared" si="13"/>
        <v>9.2603582007677971</v>
      </c>
    </row>
    <row r="852" spans="1:17" x14ac:dyDescent="0.35">
      <c r="C852" s="54" t="s">
        <v>3438</v>
      </c>
      <c r="D852" s="71">
        <v>0.57124691343025891</v>
      </c>
      <c r="E852" s="69">
        <v>69.619376984223408</v>
      </c>
      <c r="F852" s="72" t="s">
        <v>231</v>
      </c>
      <c r="G852" s="35">
        <v>42</v>
      </c>
      <c r="H852" s="1" t="s">
        <v>663</v>
      </c>
      <c r="I852" s="35">
        <v>18</v>
      </c>
      <c r="J852" s="46">
        <v>7</v>
      </c>
      <c r="K852" s="11" t="s">
        <v>632</v>
      </c>
      <c r="L852" s="27">
        <v>41</v>
      </c>
      <c r="M852" s="41" t="s">
        <v>870</v>
      </c>
      <c r="N852" s="43" t="s">
        <v>2584</v>
      </c>
      <c r="O852" s="1" t="s">
        <v>1390</v>
      </c>
      <c r="P852" s="70" t="s">
        <v>2585</v>
      </c>
      <c r="Q852">
        <f t="shared" si="13"/>
        <v>0.57124691343025891</v>
      </c>
    </row>
    <row r="853" spans="1:17" ht="15" thickBot="1" x14ac:dyDescent="0.4">
      <c r="C853" s="54" t="s">
        <v>3438</v>
      </c>
      <c r="D853" s="82">
        <v>12.228871700748151</v>
      </c>
      <c r="E853" s="76">
        <v>59.352868192376192</v>
      </c>
      <c r="F853" s="83" t="s">
        <v>231</v>
      </c>
      <c r="G853" s="49">
        <v>10</v>
      </c>
      <c r="H853" s="45" t="s">
        <v>718</v>
      </c>
      <c r="I853" s="49">
        <v>28</v>
      </c>
      <c r="J853" s="50">
        <v>13</v>
      </c>
      <c r="K853" s="51" t="s">
        <v>1164</v>
      </c>
      <c r="L853" s="77">
        <v>92</v>
      </c>
      <c r="M853" s="42" t="s">
        <v>710</v>
      </c>
      <c r="N853" s="42" t="s">
        <v>2587</v>
      </c>
      <c r="O853" s="40" t="s">
        <v>2281</v>
      </c>
      <c r="P853" s="78" t="s">
        <v>2588</v>
      </c>
      <c r="Q853">
        <f t="shared" si="13"/>
        <v>12.228871700748151</v>
      </c>
    </row>
    <row r="854" spans="1:17" x14ac:dyDescent="0.35">
      <c r="A854" s="2" t="s">
        <v>2589</v>
      </c>
      <c r="B854" s="103" t="s">
        <v>1332</v>
      </c>
      <c r="C854" s="54" t="s">
        <v>3437</v>
      </c>
      <c r="D854" s="71">
        <v>-2.5356353926908062</v>
      </c>
      <c r="E854" s="69">
        <v>96.848801323872664</v>
      </c>
      <c r="F854" s="72" t="s">
        <v>231</v>
      </c>
      <c r="G854" s="35">
        <v>14</v>
      </c>
      <c r="H854" s="1" t="s">
        <v>640</v>
      </c>
      <c r="I854" s="35">
        <v>17</v>
      </c>
      <c r="J854" s="46">
        <v>11</v>
      </c>
      <c r="K854" s="11" t="s">
        <v>242</v>
      </c>
      <c r="L854" s="27">
        <v>3</v>
      </c>
      <c r="M854" s="41" t="s">
        <v>874</v>
      </c>
      <c r="N854" s="41" t="s">
        <v>2590</v>
      </c>
      <c r="O854" t="s">
        <v>2281</v>
      </c>
      <c r="P854" s="81" t="s">
        <v>2591</v>
      </c>
      <c r="Q854">
        <f t="shared" si="13"/>
        <v>2.5356353926908062</v>
      </c>
    </row>
    <row r="855" spans="1:17" x14ac:dyDescent="0.35">
      <c r="C855" s="54" t="s">
        <v>3437</v>
      </c>
      <c r="D855" s="71">
        <v>13.175537229161502</v>
      </c>
      <c r="E855" s="69">
        <v>53.227504106551017</v>
      </c>
      <c r="F855" s="72" t="s">
        <v>231</v>
      </c>
      <c r="G855" s="35">
        <v>17</v>
      </c>
      <c r="H855" s="1" t="s">
        <v>704</v>
      </c>
      <c r="I855" s="35">
        <v>24</v>
      </c>
      <c r="J855" s="46">
        <v>15</v>
      </c>
      <c r="K855" s="11" t="s">
        <v>767</v>
      </c>
      <c r="L855" s="27">
        <v>99</v>
      </c>
      <c r="M855" s="41" t="s">
        <v>898</v>
      </c>
      <c r="N855" s="41" t="s">
        <v>2594</v>
      </c>
      <c r="O855" t="s">
        <v>2281</v>
      </c>
      <c r="Q855">
        <f t="shared" si="13"/>
        <v>13.175537229161502</v>
      </c>
    </row>
    <row r="856" spans="1:17" x14ac:dyDescent="0.35">
      <c r="C856" s="54" t="s">
        <v>3437</v>
      </c>
      <c r="D856" s="71">
        <v>0.37469624312972549</v>
      </c>
      <c r="E856" s="69">
        <v>91.703771040229043</v>
      </c>
      <c r="F856" s="72" t="s">
        <v>231</v>
      </c>
      <c r="G856" s="35">
        <v>16</v>
      </c>
      <c r="H856" s="1" t="s">
        <v>641</v>
      </c>
      <c r="I856" s="35">
        <v>19</v>
      </c>
      <c r="J856" s="46">
        <v>15</v>
      </c>
      <c r="K856" s="11" t="s">
        <v>747</v>
      </c>
      <c r="L856" s="27">
        <v>12</v>
      </c>
      <c r="M856" s="41" t="s">
        <v>773</v>
      </c>
      <c r="N856" s="41" t="s">
        <v>2598</v>
      </c>
      <c r="O856" t="s">
        <v>2281</v>
      </c>
      <c r="Q856">
        <f t="shared" si="13"/>
        <v>0.37469624312972549</v>
      </c>
    </row>
    <row r="857" spans="1:17" x14ac:dyDescent="0.35">
      <c r="C857" s="54" t="s">
        <v>3437</v>
      </c>
      <c r="D857" s="71">
        <v>-1.2445020247761942</v>
      </c>
      <c r="E857" s="69">
        <v>70.13745847342436</v>
      </c>
      <c r="F857" s="72" t="s">
        <v>129</v>
      </c>
      <c r="G857" s="35">
        <v>38</v>
      </c>
      <c r="H857" s="1" t="s">
        <v>731</v>
      </c>
      <c r="I857" s="35">
        <v>26</v>
      </c>
      <c r="J857" s="46">
        <v>6</v>
      </c>
      <c r="K857" s="11" t="s">
        <v>783</v>
      </c>
      <c r="L857" s="27">
        <v>45</v>
      </c>
      <c r="M857" s="41" t="s">
        <v>2301</v>
      </c>
      <c r="N857" s="43" t="s">
        <v>2601</v>
      </c>
      <c r="O857" s="1" t="s">
        <v>1390</v>
      </c>
      <c r="Q857">
        <f t="shared" si="13"/>
        <v>1.2445020247761942</v>
      </c>
    </row>
    <row r="858" spans="1:17" x14ac:dyDescent="0.35">
      <c r="A858" s="2" t="s">
        <v>2597</v>
      </c>
      <c r="C858" s="54" t="s">
        <v>3437</v>
      </c>
      <c r="D858" s="71">
        <v>4.0770883025126716</v>
      </c>
      <c r="E858" s="69">
        <v>68.118984829777389</v>
      </c>
      <c r="F858" s="72" t="s">
        <v>231</v>
      </c>
      <c r="G858" s="35">
        <v>27</v>
      </c>
      <c r="H858" s="1" t="s">
        <v>648</v>
      </c>
      <c r="I858" s="35">
        <v>34</v>
      </c>
      <c r="J858" s="46">
        <v>16</v>
      </c>
      <c r="K858" s="11" t="s">
        <v>746</v>
      </c>
      <c r="L858" s="27">
        <v>52</v>
      </c>
      <c r="M858" s="41" t="s">
        <v>931</v>
      </c>
      <c r="N858" s="43" t="s">
        <v>2604</v>
      </c>
      <c r="O858" s="1" t="s">
        <v>1390</v>
      </c>
      <c r="Q858">
        <f t="shared" si="13"/>
        <v>4.0770883025126716</v>
      </c>
    </row>
    <row r="859" spans="1:17" x14ac:dyDescent="0.35">
      <c r="C859" s="54" t="s">
        <v>3437</v>
      </c>
      <c r="D859" s="71">
        <v>2.6365555147120583</v>
      </c>
      <c r="E859" s="69">
        <v>94.367571454827953</v>
      </c>
      <c r="F859" s="72" t="s">
        <v>231</v>
      </c>
      <c r="G859" s="35">
        <v>6</v>
      </c>
      <c r="H859" s="1" t="s">
        <v>466</v>
      </c>
      <c r="I859" s="35">
        <v>25</v>
      </c>
      <c r="J859" s="46">
        <v>23</v>
      </c>
      <c r="K859" s="11" t="s">
        <v>642</v>
      </c>
      <c r="L859" s="27">
        <v>8</v>
      </c>
      <c r="M859" s="41" t="s">
        <v>2319</v>
      </c>
      <c r="N859" s="41" t="s">
        <v>2607</v>
      </c>
      <c r="O859" t="s">
        <v>2281</v>
      </c>
      <c r="P859" s="81" t="s">
        <v>2608</v>
      </c>
      <c r="Q859">
        <f t="shared" si="13"/>
        <v>2.6365555147120583</v>
      </c>
    </row>
    <row r="860" spans="1:17" x14ac:dyDescent="0.35">
      <c r="C860" s="54" t="s">
        <v>3437</v>
      </c>
      <c r="D860" s="71">
        <v>7.9342230018706257</v>
      </c>
      <c r="E860" s="69">
        <v>73.100367741627863</v>
      </c>
      <c r="F860" s="72" t="s">
        <v>129</v>
      </c>
      <c r="G860" s="35">
        <v>7</v>
      </c>
      <c r="H860" s="1" t="s">
        <v>643</v>
      </c>
      <c r="I860" s="35">
        <v>28</v>
      </c>
      <c r="J860" s="46">
        <v>18</v>
      </c>
      <c r="K860" s="11" t="s">
        <v>785</v>
      </c>
      <c r="L860" s="27">
        <v>59</v>
      </c>
      <c r="M860" s="41" t="s">
        <v>910</v>
      </c>
      <c r="N860" s="41" t="s">
        <v>2612</v>
      </c>
      <c r="O860" t="s">
        <v>2281</v>
      </c>
      <c r="Q860">
        <f t="shared" si="13"/>
        <v>7.9342230018706257</v>
      </c>
    </row>
    <row r="861" spans="1:17" x14ac:dyDescent="0.35">
      <c r="C861" s="54" t="s">
        <v>3437</v>
      </c>
      <c r="D861" s="71">
        <v>2.3034970294580068</v>
      </c>
      <c r="E861" s="69">
        <v>91.873773380641879</v>
      </c>
      <c r="F861" s="72" t="s">
        <v>231</v>
      </c>
      <c r="G861" s="35">
        <v>10</v>
      </c>
      <c r="H861" s="1" t="s">
        <v>718</v>
      </c>
      <c r="I861" s="35">
        <v>11</v>
      </c>
      <c r="J861" s="46">
        <v>10</v>
      </c>
      <c r="K861" s="11" t="s">
        <v>467</v>
      </c>
      <c r="L861" s="27">
        <v>13</v>
      </c>
      <c r="M861" s="41" t="s">
        <v>955</v>
      </c>
      <c r="N861" s="41" t="s">
        <v>2615</v>
      </c>
      <c r="O861" t="s">
        <v>2281</v>
      </c>
      <c r="Q861">
        <f t="shared" si="13"/>
        <v>2.3034970294580068</v>
      </c>
    </row>
    <row r="862" spans="1:17" x14ac:dyDescent="0.35">
      <c r="C862" s="54" t="s">
        <v>3437</v>
      </c>
      <c r="D862" s="71">
        <v>2.5092150193963416</v>
      </c>
      <c r="E862" s="69">
        <v>92.601087272968115</v>
      </c>
      <c r="F862" s="72" t="s">
        <v>129</v>
      </c>
      <c r="G862" s="35">
        <v>2</v>
      </c>
      <c r="H862" s="1" t="s">
        <v>245</v>
      </c>
      <c r="I862" s="35">
        <v>18</v>
      </c>
      <c r="J862" s="46">
        <v>13</v>
      </c>
      <c r="K862" s="11" t="s">
        <v>650</v>
      </c>
      <c r="L862" s="27">
        <v>18</v>
      </c>
      <c r="M862" s="41" t="s">
        <v>857</v>
      </c>
      <c r="N862" s="41" t="s">
        <v>2618</v>
      </c>
      <c r="O862" t="s">
        <v>2281</v>
      </c>
      <c r="Q862">
        <f t="shared" si="13"/>
        <v>2.5092150193963416</v>
      </c>
    </row>
    <row r="863" spans="1:17" x14ac:dyDescent="0.35">
      <c r="C863" s="54" t="s">
        <v>3437</v>
      </c>
      <c r="D863" s="71">
        <v>10.784389747339988</v>
      </c>
      <c r="E863" s="69">
        <v>63.013115308890868</v>
      </c>
      <c r="F863" s="72" t="s">
        <v>129</v>
      </c>
      <c r="G863" s="35">
        <v>4</v>
      </c>
      <c r="H863" s="1" t="s">
        <v>644</v>
      </c>
      <c r="I863" s="35">
        <v>20</v>
      </c>
      <c r="J863" s="46">
        <v>14</v>
      </c>
      <c r="K863" s="11" t="s">
        <v>726</v>
      </c>
      <c r="L863" s="27">
        <v>87</v>
      </c>
      <c r="M863" s="41" t="s">
        <v>707</v>
      </c>
      <c r="N863" s="41" t="s">
        <v>2621</v>
      </c>
      <c r="O863" t="s">
        <v>2281</v>
      </c>
      <c r="Q863">
        <f t="shared" si="13"/>
        <v>10.784389747339988</v>
      </c>
    </row>
    <row r="864" spans="1:17" x14ac:dyDescent="0.35">
      <c r="C864" s="54" t="s">
        <v>3437</v>
      </c>
      <c r="D864" s="71">
        <v>4.5257850115244302</v>
      </c>
      <c r="E864" s="69">
        <v>89.838412706712518</v>
      </c>
      <c r="F864" s="72" t="s">
        <v>129</v>
      </c>
      <c r="G864" s="35">
        <v>1</v>
      </c>
      <c r="H864" s="1" t="s">
        <v>468</v>
      </c>
      <c r="I864" s="35">
        <v>19</v>
      </c>
      <c r="J864" s="46">
        <v>9</v>
      </c>
      <c r="K864" s="11" t="s">
        <v>664</v>
      </c>
      <c r="L864" s="27">
        <v>24</v>
      </c>
      <c r="M864" s="41" t="s">
        <v>705</v>
      </c>
      <c r="N864" s="41" t="s">
        <v>2625</v>
      </c>
      <c r="O864" t="s">
        <v>2281</v>
      </c>
      <c r="Q864">
        <f t="shared" si="13"/>
        <v>4.5257850115244302</v>
      </c>
    </row>
    <row r="865" spans="1:17" x14ac:dyDescent="0.35">
      <c r="C865" s="54" t="s">
        <v>3437</v>
      </c>
      <c r="D865" s="71">
        <v>0.65766980746472625</v>
      </c>
      <c r="E865" s="69">
        <v>62.973174126523176</v>
      </c>
      <c r="F865" s="72" t="s">
        <v>231</v>
      </c>
      <c r="G865" s="35">
        <v>55</v>
      </c>
      <c r="H865" s="1" t="s">
        <v>1165</v>
      </c>
      <c r="I865" s="35">
        <v>23</v>
      </c>
      <c r="J865" s="46">
        <v>7</v>
      </c>
      <c r="K865" s="11" t="s">
        <v>681</v>
      </c>
      <c r="L865" s="27">
        <v>44</v>
      </c>
      <c r="M865" s="41" t="s">
        <v>821</v>
      </c>
      <c r="N865" s="43" t="s">
        <v>2628</v>
      </c>
      <c r="O865" s="1" t="s">
        <v>1390</v>
      </c>
      <c r="Q865">
        <f t="shared" si="13"/>
        <v>0.65766980746472625</v>
      </c>
    </row>
    <row r="866" spans="1:17" x14ac:dyDescent="0.35">
      <c r="A866" s="2" t="s">
        <v>2611</v>
      </c>
      <c r="C866" s="54" t="s">
        <v>3437</v>
      </c>
      <c r="D866" s="71">
        <v>13.342840059528987</v>
      </c>
      <c r="E866" s="69">
        <v>54.431847960880965</v>
      </c>
      <c r="F866" s="72" t="s">
        <v>231</v>
      </c>
      <c r="G866" s="35">
        <v>19</v>
      </c>
      <c r="H866" s="1" t="s">
        <v>334</v>
      </c>
      <c r="I866" s="35">
        <v>34</v>
      </c>
      <c r="J866" s="46">
        <v>13</v>
      </c>
      <c r="K866" s="11" t="s">
        <v>636</v>
      </c>
      <c r="L866" s="27">
        <v>93</v>
      </c>
      <c r="M866" s="41" t="s">
        <v>773</v>
      </c>
      <c r="N866" s="41" t="s">
        <v>2631</v>
      </c>
      <c r="O866" t="s">
        <v>2281</v>
      </c>
      <c r="Q866">
        <f t="shared" si="13"/>
        <v>13.342840059528987</v>
      </c>
    </row>
    <row r="867" spans="1:17" x14ac:dyDescent="0.35">
      <c r="C867" s="54" t="s">
        <v>3437</v>
      </c>
      <c r="D867" s="71">
        <v>5.8030716856772386</v>
      </c>
      <c r="E867" s="69">
        <v>84.029410035126389</v>
      </c>
      <c r="F867" s="72" t="s">
        <v>129</v>
      </c>
      <c r="G867" s="35">
        <v>5</v>
      </c>
      <c r="H867" s="1" t="s">
        <v>328</v>
      </c>
      <c r="I867" s="35">
        <v>28</v>
      </c>
      <c r="J867" s="46">
        <v>23</v>
      </c>
      <c r="K867" s="11" t="s">
        <v>667</v>
      </c>
      <c r="L867" s="27">
        <v>32</v>
      </c>
      <c r="M867" s="41" t="s">
        <v>2319</v>
      </c>
      <c r="N867" s="41" t="s">
        <v>2635</v>
      </c>
      <c r="O867" t="s">
        <v>2281</v>
      </c>
      <c r="Q867">
        <f t="shared" si="13"/>
        <v>5.8030716856772386</v>
      </c>
    </row>
    <row r="868" spans="1:17" x14ac:dyDescent="0.35">
      <c r="B868" s="103" t="s">
        <v>1333</v>
      </c>
      <c r="C868" s="54" t="s">
        <v>3438</v>
      </c>
      <c r="D868" s="71">
        <v>6.8012603926908071</v>
      </c>
      <c r="E868" s="69">
        <v>90.643100313374617</v>
      </c>
      <c r="F868" s="72" t="s">
        <v>231</v>
      </c>
      <c r="G868" s="35">
        <v>3</v>
      </c>
      <c r="H868" s="1" t="s">
        <v>242</v>
      </c>
      <c r="I868" s="35">
        <v>24</v>
      </c>
      <c r="J868" s="46">
        <v>12</v>
      </c>
      <c r="K868" s="11" t="s">
        <v>640</v>
      </c>
      <c r="L868" s="27">
        <v>14</v>
      </c>
      <c r="M868" s="41" t="s">
        <v>727</v>
      </c>
      <c r="N868" s="43" t="s">
        <v>2592</v>
      </c>
      <c r="O868" s="1" t="s">
        <v>1390</v>
      </c>
      <c r="P868" s="81" t="s">
        <v>2593</v>
      </c>
      <c r="Q868">
        <f t="shared" si="13"/>
        <v>6.8012603926908071</v>
      </c>
    </row>
    <row r="869" spans="1:17" x14ac:dyDescent="0.35">
      <c r="C869" s="54" t="s">
        <v>3438</v>
      </c>
      <c r="D869" s="71">
        <v>9.4255372291615043</v>
      </c>
      <c r="E869" s="69">
        <v>55.691789820836732</v>
      </c>
      <c r="F869" s="72" t="s">
        <v>129</v>
      </c>
      <c r="G869" s="35">
        <v>17</v>
      </c>
      <c r="H869" s="1" t="s">
        <v>704</v>
      </c>
      <c r="I869" s="35">
        <v>26</v>
      </c>
      <c r="J869" s="46">
        <v>14</v>
      </c>
      <c r="K869" s="11" t="s">
        <v>767</v>
      </c>
      <c r="L869" s="27">
        <v>99</v>
      </c>
      <c r="M869" s="41" t="s">
        <v>781</v>
      </c>
      <c r="N869" s="41" t="s">
        <v>2595</v>
      </c>
      <c r="O869" t="s">
        <v>2281</v>
      </c>
      <c r="P869" s="70" t="s">
        <v>2596</v>
      </c>
      <c r="Q869">
        <f t="shared" si="13"/>
        <v>9.4255372291615043</v>
      </c>
    </row>
    <row r="870" spans="1:17" x14ac:dyDescent="0.35">
      <c r="C870" s="54" t="s">
        <v>3438</v>
      </c>
      <c r="D870" s="71">
        <v>4.6171120470671454</v>
      </c>
      <c r="E870" s="69">
        <v>88.915897797641591</v>
      </c>
      <c r="F870" s="72" t="s">
        <v>231</v>
      </c>
      <c r="G870" s="35">
        <v>12</v>
      </c>
      <c r="H870" s="1" t="s">
        <v>747</v>
      </c>
      <c r="I870" s="35">
        <v>22</v>
      </c>
      <c r="J870" s="46">
        <v>13</v>
      </c>
      <c r="K870" s="11" t="s">
        <v>641</v>
      </c>
      <c r="L870" s="27">
        <v>16</v>
      </c>
      <c r="M870" s="41" t="s">
        <v>721</v>
      </c>
      <c r="N870" s="43" t="s">
        <v>2599</v>
      </c>
      <c r="O870" s="1" t="s">
        <v>1390</v>
      </c>
      <c r="P870" s="70" t="s">
        <v>2600</v>
      </c>
      <c r="Q870">
        <f t="shared" si="13"/>
        <v>4.6171120470671454</v>
      </c>
    </row>
    <row r="871" spans="1:17" x14ac:dyDescent="0.35">
      <c r="C871" s="54" t="s">
        <v>3438</v>
      </c>
      <c r="D871" s="71">
        <v>2.7185253030513179</v>
      </c>
      <c r="E871" s="69">
        <v>67.533183372280561</v>
      </c>
      <c r="F871" s="72" t="s">
        <v>231</v>
      </c>
      <c r="G871" s="35">
        <v>38</v>
      </c>
      <c r="H871" s="1" t="s">
        <v>731</v>
      </c>
      <c r="I871" s="35">
        <v>23</v>
      </c>
      <c r="J871" s="46">
        <v>17</v>
      </c>
      <c r="K871" s="11" t="s">
        <v>783</v>
      </c>
      <c r="L871" s="27">
        <v>45</v>
      </c>
      <c r="M871" s="41" t="s">
        <v>719</v>
      </c>
      <c r="N871" s="41" t="s">
        <v>2602</v>
      </c>
      <c r="O871" s="1" t="s">
        <v>2547</v>
      </c>
      <c r="P871" s="70" t="s">
        <v>2603</v>
      </c>
      <c r="Q871">
        <f t="shared" si="13"/>
        <v>2.7185253030513179</v>
      </c>
    </row>
    <row r="872" spans="1:17" x14ac:dyDescent="0.35">
      <c r="C872" s="54" t="s">
        <v>3438</v>
      </c>
      <c r="D872" s="71">
        <v>0.59444941362378279</v>
      </c>
      <c r="E872" s="69">
        <v>70.407576099618652</v>
      </c>
      <c r="F872" s="72" t="s">
        <v>129</v>
      </c>
      <c r="G872" s="35">
        <v>27</v>
      </c>
      <c r="H872" s="1" t="s">
        <v>648</v>
      </c>
      <c r="I872" s="35">
        <v>24</v>
      </c>
      <c r="J872" s="46">
        <v>15</v>
      </c>
      <c r="K872" s="11" t="s">
        <v>746</v>
      </c>
      <c r="L872" s="27">
        <v>52</v>
      </c>
      <c r="M872" s="41" t="s">
        <v>759</v>
      </c>
      <c r="N872" s="43" t="s">
        <v>2605</v>
      </c>
      <c r="O872" s="1" t="s">
        <v>2537</v>
      </c>
      <c r="P872" s="70" t="s">
        <v>2606</v>
      </c>
      <c r="Q872">
        <f t="shared" si="13"/>
        <v>0.59444941362378279</v>
      </c>
    </row>
    <row r="873" spans="1:17" x14ac:dyDescent="0.35">
      <c r="C873" s="54" t="s">
        <v>3438</v>
      </c>
      <c r="D873" s="71">
        <v>1.6342778186212752</v>
      </c>
      <c r="E873" s="69">
        <v>94.901046004906021</v>
      </c>
      <c r="F873" s="72" t="s">
        <v>231</v>
      </c>
      <c r="G873" s="35">
        <v>8</v>
      </c>
      <c r="H873" s="1" t="s">
        <v>642</v>
      </c>
      <c r="I873" s="35">
        <v>20</v>
      </c>
      <c r="J873" s="46">
        <v>17</v>
      </c>
      <c r="K873" s="11" t="s">
        <v>466</v>
      </c>
      <c r="L873" s="27">
        <v>6</v>
      </c>
      <c r="M873" s="41" t="s">
        <v>1229</v>
      </c>
      <c r="N873" s="41" t="s">
        <v>2609</v>
      </c>
      <c r="O873" t="s">
        <v>2281</v>
      </c>
      <c r="P873" s="81" t="s">
        <v>2610</v>
      </c>
      <c r="Q873">
        <f t="shared" si="13"/>
        <v>1.6342778186212752</v>
      </c>
    </row>
    <row r="874" spans="1:17" x14ac:dyDescent="0.35">
      <c r="A874" s="2" t="s">
        <v>2624</v>
      </c>
      <c r="C874" s="54" t="s">
        <v>3438</v>
      </c>
      <c r="D874" s="71">
        <v>-12.17380633520396</v>
      </c>
      <c r="E874" s="69">
        <v>86.314215591705462</v>
      </c>
      <c r="F874" s="72" t="s">
        <v>129</v>
      </c>
      <c r="G874" s="35">
        <v>59</v>
      </c>
      <c r="H874" s="1" t="s">
        <v>785</v>
      </c>
      <c r="I874" s="35">
        <v>16</v>
      </c>
      <c r="J874" s="46">
        <v>12</v>
      </c>
      <c r="K874" s="11" t="s">
        <v>643</v>
      </c>
      <c r="L874" s="27">
        <v>7</v>
      </c>
      <c r="M874" s="41" t="s">
        <v>752</v>
      </c>
      <c r="N874" s="41" t="s">
        <v>2613</v>
      </c>
      <c r="O874" s="6" t="s">
        <v>1972</v>
      </c>
      <c r="P874" s="70" t="s">
        <v>2614</v>
      </c>
      <c r="Q874">
        <f t="shared" si="13"/>
        <v>12.17380633520396</v>
      </c>
    </row>
    <row r="875" spans="1:17" x14ac:dyDescent="0.35">
      <c r="C875" s="54" t="s">
        <v>3438</v>
      </c>
      <c r="D875" s="71">
        <v>-1.6533647417735473</v>
      </c>
      <c r="E875" s="69">
        <v>94.473996830308323</v>
      </c>
      <c r="F875" s="72" t="s">
        <v>129</v>
      </c>
      <c r="G875" s="35">
        <v>10</v>
      </c>
      <c r="H875" s="1" t="s">
        <v>718</v>
      </c>
      <c r="I875" s="35">
        <v>18</v>
      </c>
      <c r="J875" s="46">
        <v>6</v>
      </c>
      <c r="K875" s="11" t="s">
        <v>467</v>
      </c>
      <c r="L875" s="27">
        <v>13</v>
      </c>
      <c r="M875" s="41" t="s">
        <v>933</v>
      </c>
      <c r="N875" s="43" t="s">
        <v>2616</v>
      </c>
      <c r="O875" s="1" t="s">
        <v>1390</v>
      </c>
      <c r="P875" s="70" t="s">
        <v>2617</v>
      </c>
      <c r="Q875">
        <f t="shared" si="13"/>
        <v>1.6533647417735473</v>
      </c>
    </row>
    <row r="876" spans="1:17" x14ac:dyDescent="0.35">
      <c r="C876" s="54" t="s">
        <v>3438</v>
      </c>
      <c r="D876" s="71">
        <v>6.7383816860630086</v>
      </c>
      <c r="E876" s="69">
        <v>89.821920606301447</v>
      </c>
      <c r="F876" s="72" t="s">
        <v>231</v>
      </c>
      <c r="G876" s="35">
        <v>2</v>
      </c>
      <c r="H876" s="1" t="s">
        <v>245</v>
      </c>
      <c r="I876" s="35">
        <v>22</v>
      </c>
      <c r="J876" s="46">
        <v>14</v>
      </c>
      <c r="K876" s="11" t="s">
        <v>650</v>
      </c>
      <c r="L876" s="27">
        <v>18</v>
      </c>
      <c r="M876" s="41" t="s">
        <v>910</v>
      </c>
      <c r="N876" s="41" t="s">
        <v>2619</v>
      </c>
      <c r="O876" t="s">
        <v>2281</v>
      </c>
      <c r="P876" s="70" t="s">
        <v>2620</v>
      </c>
      <c r="Q876">
        <f t="shared" si="13"/>
        <v>6.7383816860630086</v>
      </c>
    </row>
    <row r="877" spans="1:17" x14ac:dyDescent="0.35">
      <c r="C877" s="54" t="s">
        <v>3438</v>
      </c>
      <c r="D877" s="71">
        <v>14.44411196956221</v>
      </c>
      <c r="E877" s="69">
        <v>60.608154991430553</v>
      </c>
      <c r="F877" s="72" t="s">
        <v>231</v>
      </c>
      <c r="G877" s="35">
        <v>4</v>
      </c>
      <c r="H877" s="1" t="s">
        <v>644</v>
      </c>
      <c r="I877" s="35">
        <v>33</v>
      </c>
      <c r="J877" s="46">
        <v>10</v>
      </c>
      <c r="K877" s="11" t="s">
        <v>726</v>
      </c>
      <c r="L877" s="27">
        <v>87</v>
      </c>
      <c r="M877" s="41" t="s">
        <v>789</v>
      </c>
      <c r="N877" s="43" t="s">
        <v>2622</v>
      </c>
      <c r="O877" s="1" t="s">
        <v>1390</v>
      </c>
      <c r="P877" s="70" t="s">
        <v>2623</v>
      </c>
      <c r="Q877">
        <f t="shared" si="13"/>
        <v>14.44411196956221</v>
      </c>
    </row>
    <row r="878" spans="1:17" x14ac:dyDescent="0.35">
      <c r="C878" s="54" t="s">
        <v>3438</v>
      </c>
      <c r="D878" s="71">
        <v>7.9493961226355427</v>
      </c>
      <c r="E878" s="69">
        <v>87.588611119410928</v>
      </c>
      <c r="F878" s="72" t="s">
        <v>231</v>
      </c>
      <c r="G878" s="35">
        <v>1</v>
      </c>
      <c r="H878" s="1" t="s">
        <v>468</v>
      </c>
      <c r="I878" s="35">
        <v>34</v>
      </c>
      <c r="J878" s="46">
        <v>15</v>
      </c>
      <c r="K878" s="11" t="s">
        <v>664</v>
      </c>
      <c r="L878" s="27">
        <v>24</v>
      </c>
      <c r="M878" s="41" t="s">
        <v>1229</v>
      </c>
      <c r="N878" s="43" t="s">
        <v>2626</v>
      </c>
      <c r="O878" s="1" t="s">
        <v>2537</v>
      </c>
      <c r="P878" s="70" t="s">
        <v>2627</v>
      </c>
      <c r="Q878">
        <f t="shared" si="13"/>
        <v>7.9493961226355427</v>
      </c>
    </row>
    <row r="879" spans="1:17" x14ac:dyDescent="0.35">
      <c r="A879" s="2" t="s">
        <v>2632</v>
      </c>
      <c r="C879" s="54" t="s">
        <v>3438</v>
      </c>
      <c r="D879" s="71">
        <v>-3.9018781036261538</v>
      </c>
      <c r="E879" s="69">
        <v>65.969448468097184</v>
      </c>
      <c r="F879" s="72" t="s">
        <v>129</v>
      </c>
      <c r="G879" s="35">
        <v>55</v>
      </c>
      <c r="H879" s="1" t="s">
        <v>1165</v>
      </c>
      <c r="I879" s="35">
        <v>14</v>
      </c>
      <c r="J879" s="46">
        <v>13</v>
      </c>
      <c r="K879" s="11" t="s">
        <v>681</v>
      </c>
      <c r="L879" s="27">
        <v>44</v>
      </c>
      <c r="M879" s="41" t="s">
        <v>770</v>
      </c>
      <c r="N879" s="41" t="s">
        <v>2629</v>
      </c>
      <c r="O879" s="1" t="s">
        <v>2537</v>
      </c>
      <c r="P879" s="70" t="s">
        <v>2630</v>
      </c>
      <c r="Q879">
        <f t="shared" si="13"/>
        <v>3.9018781036261538</v>
      </c>
    </row>
    <row r="880" spans="1:17" x14ac:dyDescent="0.35">
      <c r="C880" s="54" t="s">
        <v>3438</v>
      </c>
      <c r="D880" s="71">
        <v>-8.5928400595289869</v>
      </c>
      <c r="E880" s="69">
        <v>68.846723467690481</v>
      </c>
      <c r="F880" s="72" t="s">
        <v>231</v>
      </c>
      <c r="G880" s="35">
        <v>93</v>
      </c>
      <c r="H880" s="1" t="s">
        <v>636</v>
      </c>
      <c r="I880" s="35">
        <v>28</v>
      </c>
      <c r="J880" s="46">
        <v>19</v>
      </c>
      <c r="K880" s="11" t="s">
        <v>334</v>
      </c>
      <c r="L880" s="27">
        <v>19</v>
      </c>
      <c r="M880" s="41" t="s">
        <v>881</v>
      </c>
      <c r="N880" s="41" t="s">
        <v>2633</v>
      </c>
      <c r="O880" t="s">
        <v>2281</v>
      </c>
      <c r="P880" s="70" t="s">
        <v>2634</v>
      </c>
      <c r="Q880">
        <f t="shared" si="13"/>
        <v>8.5928400595289869</v>
      </c>
    </row>
    <row r="881" spans="1:17" ht="15" thickBot="1" x14ac:dyDescent="0.4">
      <c r="C881" s="54" t="s">
        <v>3438</v>
      </c>
      <c r="D881" s="82">
        <v>10.594738352343906</v>
      </c>
      <c r="E881" s="76">
        <v>80.880600511316871</v>
      </c>
      <c r="F881" s="83" t="s">
        <v>231</v>
      </c>
      <c r="G881" s="49">
        <v>5</v>
      </c>
      <c r="H881" s="45" t="s">
        <v>328</v>
      </c>
      <c r="I881" s="49">
        <v>30</v>
      </c>
      <c r="J881" s="50">
        <v>15</v>
      </c>
      <c r="K881" s="51" t="s">
        <v>667</v>
      </c>
      <c r="L881" s="77">
        <v>32</v>
      </c>
      <c r="M881" s="42" t="s">
        <v>844</v>
      </c>
      <c r="N881" s="88" t="s">
        <v>2636</v>
      </c>
      <c r="O881" s="45" t="s">
        <v>1390</v>
      </c>
      <c r="P881" s="78" t="s">
        <v>2637</v>
      </c>
      <c r="Q881">
        <f t="shared" si="13"/>
        <v>10.594738352343906</v>
      </c>
    </row>
    <row r="882" spans="1:17" x14ac:dyDescent="0.35">
      <c r="A882" s="2" t="s">
        <v>2638</v>
      </c>
      <c r="B882" s="103" t="s">
        <v>1334</v>
      </c>
      <c r="C882" s="91" t="s">
        <v>2639</v>
      </c>
      <c r="D882" s="71">
        <v>3.4599859401600912</v>
      </c>
      <c r="E882" s="69">
        <v>1.5464386141713637</v>
      </c>
      <c r="F882" s="72" t="s">
        <v>231</v>
      </c>
      <c r="G882" s="35">
        <v>103</v>
      </c>
      <c r="H882" s="1" t="s">
        <v>631</v>
      </c>
      <c r="I882" s="35">
        <v>19</v>
      </c>
      <c r="J882" s="46">
        <v>14</v>
      </c>
      <c r="K882" s="11" t="s">
        <v>639</v>
      </c>
      <c r="L882" s="27">
        <v>112</v>
      </c>
      <c r="M882" s="41" t="s">
        <v>773</v>
      </c>
      <c r="N882" s="41" t="s">
        <v>2640</v>
      </c>
      <c r="O882" t="s">
        <v>2281</v>
      </c>
      <c r="Q882">
        <f t="shared" si="13"/>
        <v>3.4599859401600912</v>
      </c>
    </row>
    <row r="883" spans="1:17" x14ac:dyDescent="0.35">
      <c r="C883" s="37" t="s">
        <v>2641</v>
      </c>
      <c r="D883" s="71">
        <v>1.0016919482641455</v>
      </c>
      <c r="E883" s="69">
        <v>4.1952200369541721</v>
      </c>
      <c r="F883" s="72" t="s">
        <v>129</v>
      </c>
      <c r="G883" s="35">
        <v>102</v>
      </c>
      <c r="H883" s="1" t="s">
        <v>582</v>
      </c>
      <c r="I883" s="35">
        <v>26</v>
      </c>
      <c r="J883" s="46">
        <v>12</v>
      </c>
      <c r="K883" s="11" t="s">
        <v>737</v>
      </c>
      <c r="L883" s="27">
        <v>111</v>
      </c>
      <c r="M883" s="41" t="s">
        <v>793</v>
      </c>
      <c r="N883" s="41" t="s">
        <v>2642</v>
      </c>
      <c r="O883" t="s">
        <v>2281</v>
      </c>
      <c r="Q883">
        <f t="shared" si="13"/>
        <v>1.0016919482641455</v>
      </c>
    </row>
    <row r="884" spans="1:17" x14ac:dyDescent="0.35">
      <c r="C884" s="37" t="s">
        <v>2643</v>
      </c>
      <c r="D884" s="71">
        <v>12.013173353874327</v>
      </c>
      <c r="E884" s="69">
        <v>44.63344760437549</v>
      </c>
      <c r="F884" s="72" t="s">
        <v>231</v>
      </c>
      <c r="G884" s="35">
        <v>21</v>
      </c>
      <c r="H884" s="1" t="s">
        <v>650</v>
      </c>
      <c r="I884" s="35">
        <v>18</v>
      </c>
      <c r="J884" s="46">
        <v>14</v>
      </c>
      <c r="K884" s="11" t="s">
        <v>720</v>
      </c>
      <c r="L884" s="27">
        <v>110</v>
      </c>
      <c r="M884" s="41" t="s">
        <v>2644</v>
      </c>
      <c r="N884" s="41" t="s">
        <v>2645</v>
      </c>
      <c r="O884" t="s">
        <v>2281</v>
      </c>
      <c r="P884" s="70" t="s">
        <v>2646</v>
      </c>
      <c r="Q884">
        <f t="shared" si="13"/>
        <v>12.013173353874327</v>
      </c>
    </row>
    <row r="885" spans="1:17" x14ac:dyDescent="0.35">
      <c r="D885" s="71">
        <v>9.8138363109466145</v>
      </c>
      <c r="E885" s="69">
        <v>46.918688349323844</v>
      </c>
      <c r="F885" s="72" t="s">
        <v>129</v>
      </c>
      <c r="G885" s="35">
        <v>20</v>
      </c>
      <c r="H885" s="1" t="s">
        <v>660</v>
      </c>
      <c r="I885" s="35">
        <v>33</v>
      </c>
      <c r="J885" s="46">
        <v>12</v>
      </c>
      <c r="K885" s="11" t="s">
        <v>706</v>
      </c>
      <c r="L885" s="27">
        <v>109</v>
      </c>
      <c r="M885" s="41" t="s">
        <v>806</v>
      </c>
      <c r="N885" s="43" t="s">
        <v>2647</v>
      </c>
      <c r="O885" s="1" t="s">
        <v>1390</v>
      </c>
      <c r="Q885">
        <f t="shared" si="13"/>
        <v>9.8138363109466145</v>
      </c>
    </row>
    <row r="886" spans="1:17" x14ac:dyDescent="0.35">
      <c r="D886" s="71">
        <v>3.3730296689574102</v>
      </c>
      <c r="E886" s="69">
        <v>8.3049788078875757</v>
      </c>
      <c r="F886" s="72" t="s">
        <v>231</v>
      </c>
      <c r="G886" s="35">
        <v>92</v>
      </c>
      <c r="H886" s="1" t="s">
        <v>636</v>
      </c>
      <c r="I886" s="35">
        <v>20</v>
      </c>
      <c r="J886" s="46">
        <v>10</v>
      </c>
      <c r="K886" s="11" t="s">
        <v>638</v>
      </c>
      <c r="L886" s="27">
        <v>108</v>
      </c>
      <c r="M886" s="41" t="s">
        <v>770</v>
      </c>
      <c r="N886" s="41" t="s">
        <v>2648</v>
      </c>
      <c r="O886" t="s">
        <v>2281</v>
      </c>
      <c r="Q886">
        <f t="shared" si="13"/>
        <v>3.3730296689574102</v>
      </c>
    </row>
    <row r="887" spans="1:17" x14ac:dyDescent="0.35">
      <c r="D887" s="71">
        <v>-5.3455363075534246</v>
      </c>
      <c r="E887" s="69">
        <v>23.461097362538162</v>
      </c>
      <c r="F887" s="72" t="s">
        <v>129</v>
      </c>
      <c r="G887" s="35">
        <v>107</v>
      </c>
      <c r="H887" s="1" t="s">
        <v>792</v>
      </c>
      <c r="I887" s="35">
        <v>18</v>
      </c>
      <c r="J887" s="46">
        <v>14</v>
      </c>
      <c r="K887" s="11" t="s">
        <v>768</v>
      </c>
      <c r="L887" s="27">
        <v>73</v>
      </c>
      <c r="M887" s="41" t="s">
        <v>821</v>
      </c>
      <c r="N887" s="41" t="s">
        <v>2649</v>
      </c>
      <c r="O887" t="s">
        <v>2281</v>
      </c>
      <c r="Q887">
        <f t="shared" si="13"/>
        <v>5.3455363075534246</v>
      </c>
    </row>
    <row r="888" spans="1:17" x14ac:dyDescent="0.35">
      <c r="D888" s="71">
        <v>12.781249890087233</v>
      </c>
      <c r="E888" s="69">
        <v>49.441964364223402</v>
      </c>
      <c r="F888" s="72" t="s">
        <v>129</v>
      </c>
      <c r="G888" s="35">
        <v>10</v>
      </c>
      <c r="H888" s="1" t="s">
        <v>352</v>
      </c>
      <c r="I888" s="35">
        <v>28</v>
      </c>
      <c r="J888" s="46">
        <v>22</v>
      </c>
      <c r="K888" s="11" t="s">
        <v>637</v>
      </c>
      <c r="L888" s="27">
        <v>106</v>
      </c>
      <c r="M888" s="41" t="s">
        <v>1004</v>
      </c>
      <c r="N888" s="41" t="s">
        <v>2650</v>
      </c>
      <c r="O888" t="s">
        <v>2281</v>
      </c>
      <c r="Q888">
        <f t="shared" si="13"/>
        <v>12.781249890087233</v>
      </c>
    </row>
    <row r="889" spans="1:17" x14ac:dyDescent="0.35">
      <c r="A889" s="2" t="s">
        <v>2651</v>
      </c>
      <c r="D889" s="71">
        <v>6.8028774085285608</v>
      </c>
      <c r="E889" s="69">
        <v>32.864016136765315</v>
      </c>
      <c r="F889" s="72" t="s">
        <v>231</v>
      </c>
      <c r="G889" s="35">
        <v>50</v>
      </c>
      <c r="H889" s="1" t="s">
        <v>729</v>
      </c>
      <c r="I889" s="35">
        <v>27</v>
      </c>
      <c r="J889" s="46">
        <v>13</v>
      </c>
      <c r="K889" s="11" t="s">
        <v>716</v>
      </c>
      <c r="L889" s="27">
        <v>105</v>
      </c>
      <c r="M889" s="41" t="s">
        <v>759</v>
      </c>
      <c r="N889" s="41" t="s">
        <v>2652</v>
      </c>
      <c r="O889" t="s">
        <v>2281</v>
      </c>
      <c r="Q889">
        <f t="shared" si="13"/>
        <v>6.8028774085285608</v>
      </c>
    </row>
    <row r="890" spans="1:17" x14ac:dyDescent="0.35">
      <c r="D890" s="71">
        <v>5.6575856441206156</v>
      </c>
      <c r="E890" s="69">
        <v>21.851724539913842</v>
      </c>
      <c r="F890" s="72" t="s">
        <v>231</v>
      </c>
      <c r="G890" s="35">
        <v>62</v>
      </c>
      <c r="H890" s="1" t="s">
        <v>746</v>
      </c>
      <c r="I890" s="35">
        <v>30</v>
      </c>
      <c r="J890" s="46">
        <v>20</v>
      </c>
      <c r="K890" s="11" t="s">
        <v>709</v>
      </c>
      <c r="L890" s="27">
        <v>104</v>
      </c>
      <c r="M890" s="41" t="s">
        <v>987</v>
      </c>
      <c r="N890" s="41" t="s">
        <v>2653</v>
      </c>
      <c r="O890" t="s">
        <v>2281</v>
      </c>
      <c r="Q890">
        <f t="shared" si="13"/>
        <v>5.6575856441206156</v>
      </c>
    </row>
    <row r="891" spans="1:17" x14ac:dyDescent="0.35">
      <c r="D891" s="71">
        <v>1.938606784986435</v>
      </c>
      <c r="E891" s="69">
        <v>19.150995153581118</v>
      </c>
      <c r="F891" s="72" t="s">
        <v>129</v>
      </c>
      <c r="G891" s="35">
        <v>77</v>
      </c>
      <c r="H891" s="1" t="s">
        <v>712</v>
      </c>
      <c r="I891" s="35">
        <v>18</v>
      </c>
      <c r="J891" s="46">
        <v>8</v>
      </c>
      <c r="K891" s="11" t="s">
        <v>757</v>
      </c>
      <c r="L891" s="27">
        <v>101</v>
      </c>
      <c r="M891" s="41" t="s">
        <v>821</v>
      </c>
      <c r="N891" s="41" t="s">
        <v>2654</v>
      </c>
      <c r="O891" t="s">
        <v>2281</v>
      </c>
      <c r="Q891">
        <f t="shared" si="13"/>
        <v>1.938606784986435</v>
      </c>
    </row>
    <row r="892" spans="1:17" x14ac:dyDescent="0.35">
      <c r="D892" s="71">
        <v>-5.1997088239339053</v>
      </c>
      <c r="E892" s="69">
        <v>42.240863445667074</v>
      </c>
      <c r="F892" s="72" t="s">
        <v>129</v>
      </c>
      <c r="G892" s="35">
        <v>100</v>
      </c>
      <c r="H892" s="1" t="s">
        <v>777</v>
      </c>
      <c r="I892" s="35">
        <v>23</v>
      </c>
      <c r="J892" s="46">
        <v>15</v>
      </c>
      <c r="K892" s="11" t="s">
        <v>750</v>
      </c>
      <c r="L892" s="27">
        <v>53</v>
      </c>
      <c r="M892" s="41" t="s">
        <v>934</v>
      </c>
      <c r="N892" s="41" t="s">
        <v>2655</v>
      </c>
      <c r="O892" t="s">
        <v>2281</v>
      </c>
      <c r="Q892">
        <f t="shared" si="13"/>
        <v>5.1997088239339053</v>
      </c>
    </row>
    <row r="893" spans="1:17" x14ac:dyDescent="0.35">
      <c r="D893" s="71">
        <v>3.8678035138680751</v>
      </c>
      <c r="E893" s="69">
        <v>36.655037540292355</v>
      </c>
      <c r="F893" s="72" t="s">
        <v>129</v>
      </c>
      <c r="G893" s="35">
        <v>55</v>
      </c>
      <c r="H893" s="1" t="s">
        <v>783</v>
      </c>
      <c r="I893" s="35">
        <v>22</v>
      </c>
      <c r="J893" s="46">
        <v>18</v>
      </c>
      <c r="K893" s="11" t="s">
        <v>722</v>
      </c>
      <c r="L893" s="27">
        <v>99</v>
      </c>
      <c r="M893" s="41" t="s">
        <v>705</v>
      </c>
      <c r="N893" s="41" t="s">
        <v>2656</v>
      </c>
      <c r="O893" s="6" t="s">
        <v>1386</v>
      </c>
      <c r="P893" s="81" t="s">
        <v>2657</v>
      </c>
      <c r="Q893">
        <f t="shared" si="13"/>
        <v>3.8678035138680751</v>
      </c>
    </row>
    <row r="894" spans="1:17" x14ac:dyDescent="0.35">
      <c r="D894" s="71">
        <v>9.1202628594206949</v>
      </c>
      <c r="E894" s="69">
        <v>40.048026528985226</v>
      </c>
      <c r="F894" s="72" t="s">
        <v>231</v>
      </c>
      <c r="G894" s="35">
        <v>35</v>
      </c>
      <c r="H894" s="1" t="s">
        <v>677</v>
      </c>
      <c r="I894" s="35">
        <v>32</v>
      </c>
      <c r="J894" s="46">
        <v>28</v>
      </c>
      <c r="K894" s="11" t="s">
        <v>700</v>
      </c>
      <c r="L894" s="27">
        <v>98</v>
      </c>
      <c r="M894" s="41" t="s">
        <v>1011</v>
      </c>
      <c r="N894" s="41" t="s">
        <v>2658</v>
      </c>
      <c r="O894" s="6" t="s">
        <v>1386</v>
      </c>
      <c r="Q894">
        <f t="shared" si="13"/>
        <v>9.1202628594206949</v>
      </c>
    </row>
    <row r="895" spans="1:17" x14ac:dyDescent="0.35">
      <c r="D895" s="71">
        <v>6.0212128090341226</v>
      </c>
      <c r="E895" s="69">
        <v>40.654490850689903</v>
      </c>
      <c r="F895" s="72" t="s">
        <v>231</v>
      </c>
      <c r="G895" s="35">
        <v>40</v>
      </c>
      <c r="H895" s="1" t="s">
        <v>692</v>
      </c>
      <c r="I895" s="35">
        <v>21</v>
      </c>
      <c r="J895" s="46">
        <v>9</v>
      </c>
      <c r="K895" s="11" t="s">
        <v>732</v>
      </c>
      <c r="L895" s="27">
        <v>97</v>
      </c>
      <c r="M895" s="41" t="s">
        <v>839</v>
      </c>
      <c r="N895" s="41" t="s">
        <v>2659</v>
      </c>
      <c r="O895" t="s">
        <v>2281</v>
      </c>
      <c r="Q895">
        <f t="shared" si="13"/>
        <v>6.0212128090341226</v>
      </c>
    </row>
    <row r="896" spans="1:17" x14ac:dyDescent="0.35">
      <c r="D896" s="71">
        <v>-4.462345480163564</v>
      </c>
      <c r="E896" s="69">
        <v>44.124889628688258</v>
      </c>
      <c r="F896" s="72" t="s">
        <v>231</v>
      </c>
      <c r="G896" s="35">
        <v>96</v>
      </c>
      <c r="H896" s="1" t="s">
        <v>1158</v>
      </c>
      <c r="I896" s="35">
        <v>21</v>
      </c>
      <c r="J896" s="46">
        <v>14</v>
      </c>
      <c r="K896" s="11" t="s">
        <v>681</v>
      </c>
      <c r="L896" s="27">
        <v>51</v>
      </c>
      <c r="M896" s="41" t="s">
        <v>844</v>
      </c>
      <c r="N896" s="41" t="s">
        <v>2660</v>
      </c>
      <c r="O896" t="s">
        <v>2281</v>
      </c>
      <c r="Q896">
        <f t="shared" si="13"/>
        <v>4.462345480163564</v>
      </c>
    </row>
    <row r="897" spans="4:17" x14ac:dyDescent="0.35">
      <c r="D897" s="71">
        <v>10.263804929388396</v>
      </c>
      <c r="E897" s="69">
        <v>53.740139336151138</v>
      </c>
      <c r="F897" s="72" t="s">
        <v>231</v>
      </c>
      <c r="G897" s="35">
        <v>14</v>
      </c>
      <c r="H897" s="1" t="s">
        <v>704</v>
      </c>
      <c r="I897" s="35">
        <v>34</v>
      </c>
      <c r="J897" s="46">
        <v>17</v>
      </c>
      <c r="K897" s="11" t="s">
        <v>767</v>
      </c>
      <c r="L897" s="27">
        <v>95</v>
      </c>
      <c r="M897" s="41" t="s">
        <v>952</v>
      </c>
      <c r="N897" s="41" t="s">
        <v>2661</v>
      </c>
      <c r="O897" t="s">
        <v>2281</v>
      </c>
      <c r="Q897">
        <f t="shared" si="13"/>
        <v>10.263804929388396</v>
      </c>
    </row>
    <row r="898" spans="4:17" x14ac:dyDescent="0.35">
      <c r="D898" s="71">
        <v>-8.6804917213521264</v>
      </c>
      <c r="E898" s="69">
        <v>70.486065515251511</v>
      </c>
      <c r="F898" s="72" t="s">
        <v>231</v>
      </c>
      <c r="G898" s="35">
        <v>94</v>
      </c>
      <c r="H898" s="1" t="s">
        <v>760</v>
      </c>
      <c r="I898" s="35">
        <v>17</v>
      </c>
      <c r="J898" s="46">
        <v>16</v>
      </c>
      <c r="K898" s="11" t="s">
        <v>718</v>
      </c>
      <c r="L898" s="27">
        <v>6</v>
      </c>
      <c r="M898" s="41" t="s">
        <v>762</v>
      </c>
      <c r="N898" s="41" t="s">
        <v>2662</v>
      </c>
      <c r="O898" t="s">
        <v>2281</v>
      </c>
      <c r="P898" s="70" t="s">
        <v>2663</v>
      </c>
      <c r="Q898">
        <f t="shared" si="13"/>
        <v>8.6804917213521264</v>
      </c>
    </row>
    <row r="899" spans="4:17" x14ac:dyDescent="0.35">
      <c r="D899" s="71">
        <v>7.0861418054500298</v>
      </c>
      <c r="E899" s="69">
        <v>39.090255853249978</v>
      </c>
      <c r="F899" s="72" t="s">
        <v>231</v>
      </c>
      <c r="G899" s="35">
        <v>46</v>
      </c>
      <c r="H899" s="1" t="s">
        <v>666</v>
      </c>
      <c r="I899" s="35">
        <v>19</v>
      </c>
      <c r="J899" s="46">
        <v>10</v>
      </c>
      <c r="K899" s="11" t="s">
        <v>1164</v>
      </c>
      <c r="L899" s="27">
        <v>93</v>
      </c>
      <c r="M899" s="41" t="s">
        <v>770</v>
      </c>
      <c r="N899" s="41" t="s">
        <v>2664</v>
      </c>
      <c r="O899" t="s">
        <v>2281</v>
      </c>
      <c r="Q899">
        <f t="shared" ref="Q899:Q962" si="14">ABS(D899)</f>
        <v>7.0861418054500298</v>
      </c>
    </row>
    <row r="900" spans="4:17" x14ac:dyDescent="0.35">
      <c r="D900" s="71">
        <v>7.2081514743132535</v>
      </c>
      <c r="E900" s="69">
        <v>42.619177518347669</v>
      </c>
      <c r="F900" s="72" t="s">
        <v>231</v>
      </c>
      <c r="G900" s="35">
        <v>39</v>
      </c>
      <c r="H900" s="1" t="s">
        <v>663</v>
      </c>
      <c r="I900" s="35">
        <v>24</v>
      </c>
      <c r="J900" s="46">
        <v>4</v>
      </c>
      <c r="K900" s="11" t="s">
        <v>726</v>
      </c>
      <c r="L900" s="27">
        <v>91</v>
      </c>
      <c r="M900" s="41" t="s">
        <v>752</v>
      </c>
      <c r="N900" s="43" t="s">
        <v>2665</v>
      </c>
      <c r="O900" s="1" t="s">
        <v>1390</v>
      </c>
      <c r="Q900">
        <f t="shared" si="14"/>
        <v>7.2081514743132535</v>
      </c>
    </row>
    <row r="901" spans="4:17" x14ac:dyDescent="0.35">
      <c r="D901" s="71">
        <v>3.6956248366668119</v>
      </c>
      <c r="E901" s="69">
        <v>41.913839402380844</v>
      </c>
      <c r="F901" s="72" t="s">
        <v>129</v>
      </c>
      <c r="G901" s="35">
        <v>48</v>
      </c>
      <c r="H901" s="1" t="s">
        <v>1165</v>
      </c>
      <c r="I901" s="35">
        <v>25</v>
      </c>
      <c r="J901" s="46">
        <v>11</v>
      </c>
      <c r="K901" s="11" t="s">
        <v>1157</v>
      </c>
      <c r="L901" s="27">
        <v>90</v>
      </c>
      <c r="M901" s="41" t="s">
        <v>796</v>
      </c>
      <c r="N901" s="41" t="s">
        <v>2666</v>
      </c>
      <c r="O901" t="s">
        <v>2281</v>
      </c>
      <c r="Q901">
        <f t="shared" si="14"/>
        <v>3.6956248366668119</v>
      </c>
    </row>
    <row r="902" spans="4:17" x14ac:dyDescent="0.35">
      <c r="D902" s="71">
        <v>-2.723597268753907</v>
      </c>
      <c r="E902" s="69">
        <v>34.981140906252797</v>
      </c>
      <c r="F902" s="72" t="s">
        <v>231</v>
      </c>
      <c r="G902" s="35">
        <v>89</v>
      </c>
      <c r="H902" s="1" t="s">
        <v>779</v>
      </c>
      <c r="I902" s="35">
        <v>23</v>
      </c>
      <c r="J902" s="46">
        <v>20</v>
      </c>
      <c r="K902" s="11" t="s">
        <v>742</v>
      </c>
      <c r="L902" s="27">
        <v>61</v>
      </c>
      <c r="M902" s="41" t="s">
        <v>834</v>
      </c>
      <c r="N902" s="41" t="s">
        <v>2667</v>
      </c>
      <c r="O902" t="s">
        <v>2281</v>
      </c>
      <c r="Q902">
        <f t="shared" si="14"/>
        <v>2.723597268753907</v>
      </c>
    </row>
    <row r="903" spans="4:17" x14ac:dyDescent="0.35">
      <c r="D903" s="71">
        <v>4.9388078686335977</v>
      </c>
      <c r="E903" s="69">
        <v>46.650851522404565</v>
      </c>
      <c r="F903" s="72" t="s">
        <v>129</v>
      </c>
      <c r="G903" s="35">
        <v>36</v>
      </c>
      <c r="H903" s="1" t="s">
        <v>661</v>
      </c>
      <c r="I903" s="35">
        <v>32</v>
      </c>
      <c r="J903" s="46">
        <v>19</v>
      </c>
      <c r="K903" s="11" t="s">
        <v>734</v>
      </c>
      <c r="L903" s="27">
        <v>88</v>
      </c>
      <c r="M903" s="41" t="s">
        <v>823</v>
      </c>
      <c r="N903" s="41" t="s">
        <v>2668</v>
      </c>
      <c r="O903" t="s">
        <v>2281</v>
      </c>
      <c r="Q903">
        <f t="shared" si="14"/>
        <v>4.9388078686335977</v>
      </c>
    </row>
    <row r="904" spans="4:17" x14ac:dyDescent="0.35">
      <c r="D904" s="71">
        <v>-0.22456370212627286</v>
      </c>
      <c r="E904" s="69">
        <v>23.374688358661622</v>
      </c>
      <c r="F904" s="72" t="s">
        <v>129</v>
      </c>
      <c r="G904" s="35">
        <v>85</v>
      </c>
      <c r="H904" s="1" t="s">
        <v>1163</v>
      </c>
      <c r="I904" s="35">
        <v>22</v>
      </c>
      <c r="J904" s="46">
        <v>16</v>
      </c>
      <c r="K904" s="11" t="s">
        <v>1156</v>
      </c>
      <c r="L904" s="27">
        <v>87</v>
      </c>
      <c r="M904" s="41" t="s">
        <v>823</v>
      </c>
      <c r="N904" s="41" t="s">
        <v>2669</v>
      </c>
      <c r="O904" t="s">
        <v>2281</v>
      </c>
      <c r="Q904">
        <f t="shared" si="14"/>
        <v>0.22456370212627286</v>
      </c>
    </row>
    <row r="905" spans="4:17" x14ac:dyDescent="0.35">
      <c r="D905" s="71">
        <v>8.638347895268927</v>
      </c>
      <c r="E905" s="69">
        <v>57.758322931950765</v>
      </c>
      <c r="F905" s="72" t="s">
        <v>231</v>
      </c>
      <c r="G905" s="35">
        <v>15</v>
      </c>
      <c r="H905" s="1" t="s">
        <v>640</v>
      </c>
      <c r="I905" s="35">
        <v>23</v>
      </c>
      <c r="J905" s="46">
        <v>16</v>
      </c>
      <c r="K905" s="11" t="s">
        <v>723</v>
      </c>
      <c r="L905" s="27">
        <v>86</v>
      </c>
      <c r="M905" s="41" t="s">
        <v>928</v>
      </c>
      <c r="N905" s="41" t="s">
        <v>2670</v>
      </c>
      <c r="O905" t="s">
        <v>2281</v>
      </c>
      <c r="Q905">
        <f t="shared" si="14"/>
        <v>8.638347895268927</v>
      </c>
    </row>
    <row r="906" spans="4:17" x14ac:dyDescent="0.35">
      <c r="D906" s="71">
        <v>-2.496481091052853</v>
      </c>
      <c r="E906" s="69">
        <v>48.345700779323465</v>
      </c>
      <c r="F906" s="72" t="s">
        <v>231</v>
      </c>
      <c r="G906" s="35">
        <v>84</v>
      </c>
      <c r="H906" s="1" t="s">
        <v>784</v>
      </c>
      <c r="I906" s="35">
        <v>19</v>
      </c>
      <c r="J906" s="46">
        <v>12</v>
      </c>
      <c r="K906" s="11" t="s">
        <v>665</v>
      </c>
      <c r="L906" s="27">
        <v>49</v>
      </c>
      <c r="M906" s="41" t="s">
        <v>724</v>
      </c>
      <c r="N906" s="41" t="s">
        <v>2671</v>
      </c>
      <c r="O906" t="s">
        <v>2281</v>
      </c>
      <c r="Q906">
        <f t="shared" si="14"/>
        <v>2.496481091052853</v>
      </c>
    </row>
    <row r="907" spans="4:17" x14ac:dyDescent="0.35">
      <c r="D907" s="71">
        <v>3.4820974718552469</v>
      </c>
      <c r="E907" s="69">
        <v>31.887787520103394</v>
      </c>
      <c r="F907" s="72" t="s">
        <v>231</v>
      </c>
      <c r="G907" s="35">
        <v>64</v>
      </c>
      <c r="H907" s="1" t="s">
        <v>778</v>
      </c>
      <c r="I907" s="35">
        <v>23</v>
      </c>
      <c r="J907" s="46">
        <v>20</v>
      </c>
      <c r="K907" s="11" t="s">
        <v>756</v>
      </c>
      <c r="L907" s="27">
        <v>83</v>
      </c>
      <c r="M907" s="41" t="s">
        <v>950</v>
      </c>
      <c r="N907" s="41" t="s">
        <v>2672</v>
      </c>
      <c r="O907" t="s">
        <v>2281</v>
      </c>
      <c r="Q907">
        <f t="shared" si="14"/>
        <v>3.4820974718552469</v>
      </c>
    </row>
    <row r="908" spans="4:17" x14ac:dyDescent="0.35">
      <c r="D908" s="71">
        <v>-4.9453714191350882</v>
      </c>
      <c r="E908" s="69">
        <v>53.309193870810766</v>
      </c>
      <c r="F908" s="72" t="s">
        <v>129</v>
      </c>
      <c r="G908" s="35">
        <v>82</v>
      </c>
      <c r="H908" s="1" t="s">
        <v>633</v>
      </c>
      <c r="I908" s="35">
        <v>20</v>
      </c>
      <c r="J908" s="46">
        <v>17</v>
      </c>
      <c r="K908" s="11" t="s">
        <v>632</v>
      </c>
      <c r="L908" s="27">
        <v>43</v>
      </c>
      <c r="M908" s="41" t="s">
        <v>821</v>
      </c>
      <c r="N908" s="41" t="s">
        <v>2673</v>
      </c>
      <c r="O908" t="s">
        <v>2281</v>
      </c>
      <c r="Q908">
        <f t="shared" si="14"/>
        <v>4.9453714191350882</v>
      </c>
    </row>
    <row r="909" spans="4:17" x14ac:dyDescent="0.35">
      <c r="D909" s="71">
        <v>5.8628475265590385</v>
      </c>
      <c r="E909" s="69">
        <v>60.455108909600682</v>
      </c>
      <c r="F909" s="72" t="s">
        <v>129</v>
      </c>
      <c r="G909" s="35">
        <v>18</v>
      </c>
      <c r="H909" s="1" t="s">
        <v>651</v>
      </c>
      <c r="I909" s="35">
        <v>28</v>
      </c>
      <c r="J909" s="46">
        <v>12</v>
      </c>
      <c r="K909" s="11" t="s">
        <v>1155</v>
      </c>
      <c r="L909" s="27">
        <v>81</v>
      </c>
      <c r="M909" s="41" t="s">
        <v>820</v>
      </c>
      <c r="N909" s="41" t="s">
        <v>2674</v>
      </c>
      <c r="O909" t="s">
        <v>2281</v>
      </c>
      <c r="Q909">
        <f t="shared" si="14"/>
        <v>5.8628475265590385</v>
      </c>
    </row>
    <row r="910" spans="4:17" x14ac:dyDescent="0.35">
      <c r="D910" s="71">
        <v>2.226453879664497</v>
      </c>
      <c r="E910" s="69">
        <v>28.766818657382508</v>
      </c>
      <c r="F910" s="72" t="s">
        <v>231</v>
      </c>
      <c r="G910" s="35">
        <v>76</v>
      </c>
      <c r="H910" s="1" t="s">
        <v>634</v>
      </c>
      <c r="I910" s="35">
        <v>17</v>
      </c>
      <c r="J910" s="46">
        <v>13</v>
      </c>
      <c r="K910" s="11" t="s">
        <v>635</v>
      </c>
      <c r="L910" s="27">
        <v>80</v>
      </c>
      <c r="M910" s="41" t="s">
        <v>705</v>
      </c>
      <c r="N910" s="41" t="s">
        <v>2675</v>
      </c>
      <c r="Q910">
        <f t="shared" si="14"/>
        <v>2.226453879664497</v>
      </c>
    </row>
    <row r="911" spans="4:17" x14ac:dyDescent="0.35">
      <c r="D911" s="71">
        <v>11.329436749802992</v>
      </c>
      <c r="E911" s="69">
        <v>62.978973750140725</v>
      </c>
      <c r="F911" s="72" t="s">
        <v>231</v>
      </c>
      <c r="G911" s="35">
        <v>2</v>
      </c>
      <c r="H911" s="1" t="s">
        <v>468</v>
      </c>
      <c r="I911" s="35">
        <v>33</v>
      </c>
      <c r="J911" s="46">
        <v>15</v>
      </c>
      <c r="K911" s="11" t="s">
        <v>1161</v>
      </c>
      <c r="L911" s="27">
        <v>79</v>
      </c>
      <c r="M911" s="41" t="s">
        <v>806</v>
      </c>
      <c r="N911" s="43" t="s">
        <v>2676</v>
      </c>
      <c r="O911" s="1" t="s">
        <v>1390</v>
      </c>
      <c r="Q911">
        <f t="shared" si="14"/>
        <v>11.329436749802992</v>
      </c>
    </row>
    <row r="912" spans="4:17" x14ac:dyDescent="0.35">
      <c r="D912" s="71">
        <v>12.814668035282274</v>
      </c>
      <c r="E912" s="69">
        <v>61.918094260512667</v>
      </c>
      <c r="F912" s="72" t="s">
        <v>231</v>
      </c>
      <c r="G912" s="35">
        <v>3</v>
      </c>
      <c r="H912" s="1" t="s">
        <v>245</v>
      </c>
      <c r="I912" s="35">
        <v>44</v>
      </c>
      <c r="J912" s="46">
        <v>13</v>
      </c>
      <c r="K912" s="11" t="s">
        <v>764</v>
      </c>
      <c r="L912" s="27">
        <v>78</v>
      </c>
      <c r="M912" s="41" t="s">
        <v>823</v>
      </c>
      <c r="N912" s="43" t="s">
        <v>2677</v>
      </c>
      <c r="O912" s="1" t="s">
        <v>1390</v>
      </c>
      <c r="Q912">
        <f t="shared" si="14"/>
        <v>12.814668035282274</v>
      </c>
    </row>
    <row r="913" spans="1:17" x14ac:dyDescent="0.35">
      <c r="D913" s="71">
        <v>4.4281918098837121</v>
      </c>
      <c r="E913" s="69">
        <v>49.024505850083067</v>
      </c>
      <c r="F913" s="72" t="s">
        <v>231</v>
      </c>
      <c r="G913" s="35">
        <v>44</v>
      </c>
      <c r="H913" s="1" t="s">
        <v>645</v>
      </c>
      <c r="I913" s="35">
        <v>19</v>
      </c>
      <c r="J913" s="46">
        <v>3</v>
      </c>
      <c r="K913" s="11" t="s">
        <v>1162</v>
      </c>
      <c r="L913" s="27">
        <v>75</v>
      </c>
      <c r="M913" s="41" t="s">
        <v>852</v>
      </c>
      <c r="N913" s="43" t="s">
        <v>2678</v>
      </c>
      <c r="O913" s="1" t="s">
        <v>1390</v>
      </c>
      <c r="Q913">
        <f t="shared" si="14"/>
        <v>4.4281918098837121</v>
      </c>
    </row>
    <row r="914" spans="1:17" x14ac:dyDescent="0.35">
      <c r="D914" s="71">
        <v>3.813635644878048</v>
      </c>
      <c r="E914" s="69">
        <v>37.900974539372825</v>
      </c>
      <c r="F914" s="72" t="s">
        <v>231</v>
      </c>
      <c r="G914" s="35">
        <v>59</v>
      </c>
      <c r="H914" s="1" t="s">
        <v>701</v>
      </c>
      <c r="I914" s="35">
        <v>19</v>
      </c>
      <c r="J914" s="46">
        <v>17</v>
      </c>
      <c r="K914" s="11" t="s">
        <v>761</v>
      </c>
      <c r="L914" s="27">
        <v>74</v>
      </c>
      <c r="M914" s="41" t="s">
        <v>705</v>
      </c>
      <c r="N914" s="41" t="s">
        <v>2679</v>
      </c>
      <c r="O914" t="s">
        <v>2281</v>
      </c>
      <c r="Q914">
        <f t="shared" si="14"/>
        <v>3.813635644878048</v>
      </c>
    </row>
    <row r="915" spans="1:17" x14ac:dyDescent="0.35">
      <c r="D915" s="71">
        <v>5.2997853916512048</v>
      </c>
      <c r="E915" s="69">
        <v>63.714439005963428</v>
      </c>
      <c r="F915" s="72" t="s">
        <v>129</v>
      </c>
      <c r="G915" s="35">
        <v>19</v>
      </c>
      <c r="H915" s="1" t="s">
        <v>758</v>
      </c>
      <c r="I915" s="35">
        <v>30</v>
      </c>
      <c r="J915" s="46">
        <v>8</v>
      </c>
      <c r="K915" s="11" t="s">
        <v>676</v>
      </c>
      <c r="L915" s="27">
        <v>72</v>
      </c>
      <c r="M915" s="41" t="s">
        <v>724</v>
      </c>
      <c r="N915" s="43" t="s">
        <v>2680</v>
      </c>
      <c r="O915" s="1" t="s">
        <v>1390</v>
      </c>
      <c r="Q915">
        <f t="shared" si="14"/>
        <v>5.2997853916512048</v>
      </c>
    </row>
    <row r="916" spans="1:17" x14ac:dyDescent="0.35">
      <c r="D916" s="71">
        <v>5.3339258703089198</v>
      </c>
      <c r="E916" s="69">
        <v>52.797195806922204</v>
      </c>
      <c r="F916" s="72" t="s">
        <v>231</v>
      </c>
      <c r="G916" s="35">
        <v>37</v>
      </c>
      <c r="H916" s="1" t="s">
        <v>646</v>
      </c>
      <c r="I916" s="35">
        <v>17</v>
      </c>
      <c r="J916" s="46">
        <v>7</v>
      </c>
      <c r="K916" s="11" t="s">
        <v>738</v>
      </c>
      <c r="L916" s="27">
        <v>71</v>
      </c>
      <c r="M916" s="41" t="s">
        <v>762</v>
      </c>
      <c r="N916" s="43" t="s">
        <v>2681</v>
      </c>
      <c r="O916" s="1" t="s">
        <v>1390</v>
      </c>
      <c r="Q916">
        <f t="shared" si="14"/>
        <v>5.3339258703089198</v>
      </c>
    </row>
    <row r="917" spans="1:17" x14ac:dyDescent="0.35">
      <c r="A917" s="2" t="s">
        <v>2682</v>
      </c>
      <c r="D917" s="71">
        <v>-2.9912797366865065</v>
      </c>
      <c r="E917" s="69">
        <v>62.359842669061791</v>
      </c>
      <c r="F917" s="72" t="s">
        <v>231</v>
      </c>
      <c r="G917" s="35">
        <v>70</v>
      </c>
      <c r="H917" s="1" t="s">
        <v>673</v>
      </c>
      <c r="I917" s="35">
        <v>14</v>
      </c>
      <c r="J917" s="46">
        <v>13</v>
      </c>
      <c r="K917" s="11" t="s">
        <v>780</v>
      </c>
      <c r="L917" s="27">
        <v>29</v>
      </c>
      <c r="M917" s="41" t="s">
        <v>724</v>
      </c>
      <c r="N917" s="41" t="s">
        <v>2683</v>
      </c>
      <c r="O917" t="s">
        <v>2281</v>
      </c>
      <c r="Q917">
        <f t="shared" si="14"/>
        <v>2.9912797366865065</v>
      </c>
    </row>
    <row r="918" spans="1:17" x14ac:dyDescent="0.35">
      <c r="D918" s="71">
        <v>7.2800044905385493</v>
      </c>
      <c r="E918" s="69">
        <v>68.728568221043901</v>
      </c>
      <c r="F918" s="72" t="s">
        <v>129</v>
      </c>
      <c r="G918" s="35">
        <v>4</v>
      </c>
      <c r="H918" s="1" t="s">
        <v>644</v>
      </c>
      <c r="I918" s="35">
        <v>25</v>
      </c>
      <c r="J918" s="46">
        <v>7</v>
      </c>
      <c r="K918" s="11" t="s">
        <v>774</v>
      </c>
      <c r="L918" s="27">
        <v>69</v>
      </c>
      <c r="M918" s="41" t="s">
        <v>821</v>
      </c>
      <c r="N918" s="43" t="s">
        <v>2684</v>
      </c>
      <c r="O918" s="1" t="s">
        <v>1390</v>
      </c>
      <c r="Q918">
        <f t="shared" si="14"/>
        <v>7.2800044905385493</v>
      </c>
    </row>
    <row r="919" spans="1:17" x14ac:dyDescent="0.35">
      <c r="D919" s="71">
        <v>5.4062636272057532</v>
      </c>
      <c r="E919" s="69">
        <v>68.995525980567322</v>
      </c>
      <c r="F919" s="72" t="s">
        <v>129</v>
      </c>
      <c r="G919" s="35">
        <v>8</v>
      </c>
      <c r="H919" s="1" t="s">
        <v>466</v>
      </c>
      <c r="I919" s="35">
        <v>28</v>
      </c>
      <c r="J919" s="46">
        <v>9</v>
      </c>
      <c r="K919" s="11" t="s">
        <v>743</v>
      </c>
      <c r="L919" s="27">
        <v>68</v>
      </c>
      <c r="M919" s="41" t="s">
        <v>836</v>
      </c>
      <c r="N919" s="43" t="s">
        <v>2685</v>
      </c>
      <c r="O919" s="1" t="s">
        <v>1390</v>
      </c>
      <c r="Q919">
        <f t="shared" si="14"/>
        <v>5.4062636272057532</v>
      </c>
    </row>
    <row r="920" spans="1:17" x14ac:dyDescent="0.35">
      <c r="D920" s="71">
        <v>1.3123685566718899</v>
      </c>
      <c r="E920" s="69">
        <v>39.687593888091513</v>
      </c>
      <c r="F920" s="72" t="s">
        <v>231</v>
      </c>
      <c r="G920" s="35">
        <v>67</v>
      </c>
      <c r="H920" s="1" t="s">
        <v>776</v>
      </c>
      <c r="I920" s="35">
        <v>23</v>
      </c>
      <c r="J920" s="46">
        <v>11</v>
      </c>
      <c r="K920" s="11" t="s">
        <v>751</v>
      </c>
      <c r="L920" s="27">
        <v>66</v>
      </c>
      <c r="M920" s="41" t="s">
        <v>773</v>
      </c>
      <c r="N920" s="41" t="s">
        <v>2686</v>
      </c>
      <c r="O920" t="s">
        <v>2281</v>
      </c>
      <c r="Q920">
        <f t="shared" si="14"/>
        <v>1.3123685566718899</v>
      </c>
    </row>
    <row r="921" spans="1:17" x14ac:dyDescent="0.35">
      <c r="D921" s="71">
        <v>1.5969309547500439</v>
      </c>
      <c r="E921" s="69">
        <v>43.948620746607105</v>
      </c>
      <c r="F921" s="72" t="s">
        <v>231</v>
      </c>
      <c r="G921" s="35">
        <v>58</v>
      </c>
      <c r="H921" s="1" t="s">
        <v>713</v>
      </c>
      <c r="I921" s="35">
        <v>15</v>
      </c>
      <c r="J921" s="46">
        <v>6</v>
      </c>
      <c r="K921" s="11" t="s">
        <v>765</v>
      </c>
      <c r="L921" s="27">
        <v>65</v>
      </c>
      <c r="M921" s="41" t="s">
        <v>762</v>
      </c>
      <c r="N921" s="41" t="s">
        <v>2687</v>
      </c>
      <c r="O921" t="s">
        <v>2281</v>
      </c>
      <c r="Q921">
        <f t="shared" si="14"/>
        <v>1.5969309547500439</v>
      </c>
    </row>
    <row r="922" spans="1:17" x14ac:dyDescent="0.35">
      <c r="D922" s="71">
        <v>8.3965943471368565</v>
      </c>
      <c r="E922" s="69">
        <v>68.9223839570042</v>
      </c>
      <c r="F922" s="72" t="s">
        <v>231</v>
      </c>
      <c r="G922" s="35">
        <v>9</v>
      </c>
      <c r="H922" s="1" t="s">
        <v>643</v>
      </c>
      <c r="I922" s="35">
        <v>29</v>
      </c>
      <c r="J922" s="46">
        <v>24</v>
      </c>
      <c r="K922" s="11" t="s">
        <v>772</v>
      </c>
      <c r="L922" s="27">
        <v>63</v>
      </c>
      <c r="M922" s="41" t="s">
        <v>1781</v>
      </c>
      <c r="N922" s="41" t="s">
        <v>2688</v>
      </c>
      <c r="O922" s="6" t="s">
        <v>1386</v>
      </c>
      <c r="P922" s="81" t="s">
        <v>2689</v>
      </c>
      <c r="Q922">
        <f t="shared" si="14"/>
        <v>8.3965943471368565</v>
      </c>
    </row>
    <row r="923" spans="1:17" x14ac:dyDescent="0.35">
      <c r="D923" s="71">
        <v>-0.23804214400420209</v>
      </c>
      <c r="E923" s="69">
        <v>57.982530102860139</v>
      </c>
      <c r="F923" s="72" t="s">
        <v>129</v>
      </c>
      <c r="G923" s="35">
        <v>45</v>
      </c>
      <c r="H923" s="1" t="s">
        <v>680</v>
      </c>
      <c r="I923" s="35">
        <v>16</v>
      </c>
      <c r="J923" s="46">
        <v>15</v>
      </c>
      <c r="K923" s="11" t="s">
        <v>771</v>
      </c>
      <c r="L923" s="27">
        <v>60</v>
      </c>
      <c r="M923" s="41" t="s">
        <v>789</v>
      </c>
      <c r="N923" s="41" t="s">
        <v>2690</v>
      </c>
      <c r="O923" s="6" t="s">
        <v>1386</v>
      </c>
      <c r="P923" s="70" t="s">
        <v>2691</v>
      </c>
      <c r="Q923">
        <f t="shared" si="14"/>
        <v>0.23804214400420209</v>
      </c>
    </row>
    <row r="924" spans="1:17" x14ac:dyDescent="0.35">
      <c r="A924" s="2" t="s">
        <v>2692</v>
      </c>
      <c r="D924" s="71">
        <v>-2.0847305538853833</v>
      </c>
      <c r="E924" s="69">
        <v>59.703378967060992</v>
      </c>
      <c r="F924" s="72" t="s">
        <v>129</v>
      </c>
      <c r="G924" s="35">
        <v>57</v>
      </c>
      <c r="H924" s="1" t="s">
        <v>679</v>
      </c>
      <c r="I924" s="35">
        <v>14</v>
      </c>
      <c r="J924" s="46">
        <v>11</v>
      </c>
      <c r="K924" s="11" t="s">
        <v>693</v>
      </c>
      <c r="L924" s="27">
        <v>47</v>
      </c>
      <c r="M924" s="41" t="s">
        <v>789</v>
      </c>
      <c r="N924" s="41" t="s">
        <v>2693</v>
      </c>
      <c r="O924" t="s">
        <v>2281</v>
      </c>
      <c r="Q924">
        <f t="shared" si="14"/>
        <v>2.0847305538853833</v>
      </c>
    </row>
    <row r="925" spans="1:17" x14ac:dyDescent="0.35">
      <c r="D925" s="71">
        <v>-1.5783849100321155</v>
      </c>
      <c r="E925" s="69">
        <v>56.930989221451512</v>
      </c>
      <c r="F925" s="72" t="s">
        <v>129</v>
      </c>
      <c r="G925" s="35">
        <v>56</v>
      </c>
      <c r="H925" s="1" t="s">
        <v>785</v>
      </c>
      <c r="I925" s="35">
        <v>22</v>
      </c>
      <c r="J925" s="46">
        <v>8</v>
      </c>
      <c r="K925" s="11" t="s">
        <v>763</v>
      </c>
      <c r="L925" s="27">
        <v>54</v>
      </c>
      <c r="M925" s="41" t="s">
        <v>836</v>
      </c>
      <c r="N925" s="43" t="s">
        <v>2694</v>
      </c>
      <c r="O925" s="1" t="s">
        <v>1390</v>
      </c>
      <c r="Q925">
        <f t="shared" si="14"/>
        <v>1.5783849100321155</v>
      </c>
    </row>
    <row r="926" spans="1:17" x14ac:dyDescent="0.35">
      <c r="D926" s="71">
        <v>4.1528017979098575</v>
      </c>
      <c r="E926" s="69">
        <v>74.53371300149297</v>
      </c>
      <c r="F926" s="72" t="s">
        <v>129</v>
      </c>
      <c r="G926" s="35">
        <v>11</v>
      </c>
      <c r="H926" s="1" t="s">
        <v>642</v>
      </c>
      <c r="I926" s="35">
        <v>20</v>
      </c>
      <c r="J926" s="46">
        <v>16</v>
      </c>
      <c r="K926" s="11" t="s">
        <v>755</v>
      </c>
      <c r="L926" s="27">
        <v>52</v>
      </c>
      <c r="M926" s="41" t="s">
        <v>831</v>
      </c>
      <c r="N926" s="41" t="s">
        <v>2695</v>
      </c>
      <c r="O926" t="s">
        <v>2281</v>
      </c>
      <c r="Q926">
        <f t="shared" si="14"/>
        <v>4.1528017979098575</v>
      </c>
    </row>
    <row r="927" spans="1:17" x14ac:dyDescent="0.35">
      <c r="D927" s="71">
        <v>2.8626725294698474</v>
      </c>
      <c r="E927" s="69">
        <v>70.232019621807254</v>
      </c>
      <c r="F927" s="72" t="s">
        <v>231</v>
      </c>
      <c r="G927" s="35">
        <v>27</v>
      </c>
      <c r="H927" s="1" t="s">
        <v>664</v>
      </c>
      <c r="I927" s="35">
        <v>17</v>
      </c>
      <c r="J927" s="46">
        <v>13</v>
      </c>
      <c r="K927" s="11" t="s">
        <v>1160</v>
      </c>
      <c r="L927" s="27">
        <v>42</v>
      </c>
      <c r="M927" s="41" t="s">
        <v>727</v>
      </c>
      <c r="N927" s="41" t="s">
        <v>2696</v>
      </c>
      <c r="O927" t="s">
        <v>2281</v>
      </c>
      <c r="Q927">
        <f t="shared" si="14"/>
        <v>2.8626725294698474</v>
      </c>
    </row>
    <row r="928" spans="1:17" x14ac:dyDescent="0.35">
      <c r="D928" s="71">
        <v>-6.5550927472237985</v>
      </c>
      <c r="E928" s="69">
        <v>88.253637676588426</v>
      </c>
      <c r="F928" s="72" t="s">
        <v>231</v>
      </c>
      <c r="G928" s="35">
        <v>41</v>
      </c>
      <c r="H928" s="1" t="s">
        <v>667</v>
      </c>
      <c r="I928" s="35">
        <v>17</v>
      </c>
      <c r="J928" s="46">
        <v>15</v>
      </c>
      <c r="K928" s="11" t="s">
        <v>328</v>
      </c>
      <c r="L928" s="27">
        <v>5</v>
      </c>
      <c r="M928" s="41" t="s">
        <v>821</v>
      </c>
      <c r="N928" s="41" t="s">
        <v>2697</v>
      </c>
      <c r="O928" t="s">
        <v>2281</v>
      </c>
      <c r="Q928">
        <f t="shared" si="14"/>
        <v>6.5550927472237985</v>
      </c>
    </row>
    <row r="929" spans="1:19" x14ac:dyDescent="0.35">
      <c r="D929" s="71">
        <v>-0.87071017510427584</v>
      </c>
      <c r="E929" s="69">
        <v>71.693364410788774</v>
      </c>
      <c r="F929" s="72" t="s">
        <v>129</v>
      </c>
      <c r="G929" s="35">
        <v>38</v>
      </c>
      <c r="H929" s="1" t="s">
        <v>630</v>
      </c>
      <c r="I929" s="35">
        <v>26</v>
      </c>
      <c r="J929" s="46">
        <v>16</v>
      </c>
      <c r="K929" s="11" t="s">
        <v>652</v>
      </c>
      <c r="L929" s="27">
        <v>34</v>
      </c>
      <c r="M929" s="41" t="s">
        <v>790</v>
      </c>
      <c r="N929" s="41" t="s">
        <v>2698</v>
      </c>
      <c r="O929" t="s">
        <v>2281</v>
      </c>
      <c r="Q929">
        <f t="shared" si="14"/>
        <v>0.87071017510427584</v>
      </c>
    </row>
    <row r="930" spans="1:19" x14ac:dyDescent="0.35">
      <c r="D930" s="71">
        <v>0.59277397575749124</v>
      </c>
      <c r="E930" s="69">
        <v>79.933732874458926</v>
      </c>
      <c r="F930" s="72" t="s">
        <v>129</v>
      </c>
      <c r="G930" s="35">
        <v>22</v>
      </c>
      <c r="H930" s="1" t="s">
        <v>670</v>
      </c>
      <c r="I930" s="35">
        <v>18</v>
      </c>
      <c r="J930" s="46">
        <v>17</v>
      </c>
      <c r="K930" s="11" t="s">
        <v>678</v>
      </c>
      <c r="L930" s="27">
        <v>33</v>
      </c>
      <c r="M930" s="41" t="s">
        <v>796</v>
      </c>
      <c r="N930" s="41" t="s">
        <v>2699</v>
      </c>
      <c r="O930" s="6" t="s">
        <v>1386</v>
      </c>
      <c r="Q930">
        <f t="shared" si="14"/>
        <v>0.59277397575749124</v>
      </c>
    </row>
    <row r="931" spans="1:19" x14ac:dyDescent="0.35">
      <c r="D931" s="71">
        <v>6.2497788793759623</v>
      </c>
      <c r="E931" s="69">
        <v>83.750157943302881</v>
      </c>
      <c r="F931" s="72" t="s">
        <v>129</v>
      </c>
      <c r="G931" s="35">
        <v>1</v>
      </c>
      <c r="H931" s="1" t="s">
        <v>242</v>
      </c>
      <c r="I931" s="35">
        <v>21</v>
      </c>
      <c r="J931" s="46">
        <v>17</v>
      </c>
      <c r="K931" s="11" t="s">
        <v>671</v>
      </c>
      <c r="L931" s="27">
        <v>32</v>
      </c>
      <c r="M931" s="41" t="s">
        <v>702</v>
      </c>
      <c r="N931" s="41" t="s">
        <v>2700</v>
      </c>
      <c r="O931" t="s">
        <v>2281</v>
      </c>
      <c r="Q931">
        <f t="shared" si="14"/>
        <v>6.2497788793759623</v>
      </c>
    </row>
    <row r="932" spans="1:19" x14ac:dyDescent="0.35">
      <c r="D932" s="71">
        <v>-0.82824818526229016</v>
      </c>
      <c r="E932" s="69">
        <v>80.59160584661592</v>
      </c>
      <c r="F932" s="72" t="s">
        <v>129</v>
      </c>
      <c r="G932" s="35">
        <v>25</v>
      </c>
      <c r="H932" s="1" t="s">
        <v>334</v>
      </c>
      <c r="I932" s="35">
        <v>29</v>
      </c>
      <c r="J932" s="46">
        <v>9</v>
      </c>
      <c r="K932" s="11" t="s">
        <v>629</v>
      </c>
      <c r="L932" s="27">
        <v>31</v>
      </c>
      <c r="M932" s="41" t="s">
        <v>740</v>
      </c>
      <c r="N932" s="43" t="s">
        <v>2701</v>
      </c>
      <c r="O932" s="1" t="s">
        <v>1390</v>
      </c>
      <c r="Q932">
        <f t="shared" si="14"/>
        <v>0.82824818526229016</v>
      </c>
    </row>
    <row r="933" spans="1:19" x14ac:dyDescent="0.35">
      <c r="D933" s="71">
        <v>1.4199541470702448</v>
      </c>
      <c r="E933" s="69">
        <v>75.682175609235543</v>
      </c>
      <c r="F933" s="72" t="s">
        <v>231</v>
      </c>
      <c r="G933" s="35">
        <v>28</v>
      </c>
      <c r="H933" s="1" t="s">
        <v>731</v>
      </c>
      <c r="I933" s="35">
        <v>26</v>
      </c>
      <c r="J933" s="46">
        <v>9</v>
      </c>
      <c r="K933" s="11" t="s">
        <v>672</v>
      </c>
      <c r="L933" s="27">
        <v>30</v>
      </c>
      <c r="M933" s="41" t="s">
        <v>1179</v>
      </c>
      <c r="N933" s="43" t="s">
        <v>2702</v>
      </c>
      <c r="O933" s="1" t="s">
        <v>1390</v>
      </c>
      <c r="Q933">
        <f t="shared" si="14"/>
        <v>1.4199541470702448</v>
      </c>
    </row>
    <row r="934" spans="1:19" x14ac:dyDescent="0.35">
      <c r="D934" s="71">
        <v>1.0135978799368639</v>
      </c>
      <c r="E934" s="69">
        <v>85.347430085759385</v>
      </c>
      <c r="F934" s="72" t="s">
        <v>129</v>
      </c>
      <c r="G934" s="35">
        <v>13</v>
      </c>
      <c r="H934" s="1" t="s">
        <v>467</v>
      </c>
      <c r="I934" s="35">
        <v>18</v>
      </c>
      <c r="J934" s="46">
        <v>7</v>
      </c>
      <c r="K934" s="11" t="s">
        <v>649</v>
      </c>
      <c r="L934" s="27">
        <v>26</v>
      </c>
      <c r="M934" s="41" t="s">
        <v>748</v>
      </c>
      <c r="N934" s="43" t="s">
        <v>2703</v>
      </c>
      <c r="O934" s="1" t="s">
        <v>1390</v>
      </c>
      <c r="Q934">
        <f t="shared" si="14"/>
        <v>1.0135978799368639</v>
      </c>
    </row>
    <row r="935" spans="1:19" x14ac:dyDescent="0.35">
      <c r="D935" s="71">
        <v>-1.8120733689596402</v>
      </c>
      <c r="E935" s="69">
        <v>86.606838120685453</v>
      </c>
      <c r="F935" s="72" t="s">
        <v>129</v>
      </c>
      <c r="G935" s="35">
        <v>24</v>
      </c>
      <c r="H935" s="1" t="s">
        <v>648</v>
      </c>
      <c r="I935" s="35">
        <v>16</v>
      </c>
      <c r="J935" s="46">
        <v>13</v>
      </c>
      <c r="K935" s="11" t="s">
        <v>753</v>
      </c>
      <c r="L935" s="27">
        <v>23</v>
      </c>
      <c r="M935" s="41" t="s">
        <v>773</v>
      </c>
      <c r="N935" s="41" t="s">
        <v>2704</v>
      </c>
      <c r="O935" t="s">
        <v>2281</v>
      </c>
      <c r="Q935">
        <f t="shared" si="14"/>
        <v>1.8120733689596402</v>
      </c>
    </row>
    <row r="936" spans="1:19" x14ac:dyDescent="0.35">
      <c r="D936" s="71">
        <v>2.9152803814829253</v>
      </c>
      <c r="E936" s="69">
        <v>88.855156870369328</v>
      </c>
      <c r="F936" s="72" t="s">
        <v>231</v>
      </c>
      <c r="G936" s="35">
        <v>12</v>
      </c>
      <c r="H936" s="1" t="s">
        <v>747</v>
      </c>
      <c r="I936" s="35">
        <v>22</v>
      </c>
      <c r="J936" s="46">
        <v>20</v>
      </c>
      <c r="K936" s="11" t="s">
        <v>465</v>
      </c>
      <c r="L936" s="27">
        <v>17</v>
      </c>
      <c r="M936" s="41" t="s">
        <v>988</v>
      </c>
      <c r="N936" s="41" t="s">
        <v>2705</v>
      </c>
      <c r="O936" t="s">
        <v>2281</v>
      </c>
      <c r="P936" s="70" t="s">
        <v>2706</v>
      </c>
      <c r="Q936">
        <f t="shared" si="14"/>
        <v>2.9152803814829253</v>
      </c>
    </row>
    <row r="937" spans="1:19" ht="15" thickBot="1" x14ac:dyDescent="0.4">
      <c r="C937" s="51"/>
      <c r="D937" s="82">
        <v>-1.8727011353019283</v>
      </c>
      <c r="E937" s="76">
        <v>94.150143668072801</v>
      </c>
      <c r="F937" s="83" t="s">
        <v>231</v>
      </c>
      <c r="G937" s="49">
        <v>16</v>
      </c>
      <c r="H937" s="45" t="s">
        <v>641</v>
      </c>
      <c r="I937" s="49">
        <v>25</v>
      </c>
      <c r="J937" s="50">
        <v>24</v>
      </c>
      <c r="K937" s="51" t="s">
        <v>647</v>
      </c>
      <c r="L937" s="77">
        <v>7</v>
      </c>
      <c r="M937" s="42" t="s">
        <v>754</v>
      </c>
      <c r="N937" s="42" t="s">
        <v>2707</v>
      </c>
      <c r="O937" s="40" t="s">
        <v>2281</v>
      </c>
      <c r="P937" s="78" t="s">
        <v>2708</v>
      </c>
      <c r="Q937">
        <f t="shared" si="14"/>
        <v>1.8727011353019283</v>
      </c>
    </row>
    <row r="938" spans="1:19" x14ac:dyDescent="0.35">
      <c r="A938" s="2" t="s">
        <v>2709</v>
      </c>
      <c r="B938" s="103" t="s">
        <v>1335</v>
      </c>
      <c r="C938" s="11" t="s">
        <v>2710</v>
      </c>
      <c r="D938" s="71">
        <v>1.1282026488297536</v>
      </c>
      <c r="E938" s="69">
        <v>16.105084011466587</v>
      </c>
      <c r="F938" s="72" t="s">
        <v>129</v>
      </c>
      <c r="G938" s="35">
        <v>98</v>
      </c>
      <c r="H938" s="1" t="s">
        <v>767</v>
      </c>
      <c r="I938" s="35">
        <v>20</v>
      </c>
      <c r="J938" s="46">
        <v>17</v>
      </c>
      <c r="K938" s="11" t="s">
        <v>720</v>
      </c>
      <c r="L938" s="27">
        <v>109</v>
      </c>
      <c r="M938" s="41" t="s">
        <v>793</v>
      </c>
      <c r="N938" s="41" t="s">
        <v>2711</v>
      </c>
      <c r="O938" t="s">
        <v>2281</v>
      </c>
      <c r="Q938">
        <f t="shared" si="14"/>
        <v>1.1282026488297536</v>
      </c>
      <c r="R938" s="2"/>
      <c r="S938" s="2"/>
    </row>
    <row r="939" spans="1:19" x14ac:dyDescent="0.35">
      <c r="C939" s="11" t="s">
        <v>2710</v>
      </c>
      <c r="D939" s="71">
        <v>1.0300927479509645</v>
      </c>
      <c r="E939" s="69">
        <v>64.985118947745818</v>
      </c>
      <c r="F939" s="72" t="s">
        <v>231</v>
      </c>
      <c r="G939" s="35">
        <v>44</v>
      </c>
      <c r="H939" s="1" t="s">
        <v>666</v>
      </c>
      <c r="I939" s="35">
        <v>25</v>
      </c>
      <c r="J939" s="46">
        <v>17</v>
      </c>
      <c r="K939" s="11" t="s">
        <v>679</v>
      </c>
      <c r="L939" s="27">
        <v>51</v>
      </c>
      <c r="M939" s="41" t="s">
        <v>987</v>
      </c>
      <c r="N939" s="41" t="s">
        <v>2712</v>
      </c>
      <c r="O939" t="s">
        <v>2281</v>
      </c>
      <c r="Q939">
        <f t="shared" si="14"/>
        <v>1.0300927479509645</v>
      </c>
      <c r="R939" s="2"/>
      <c r="S939" s="2"/>
    </row>
    <row r="940" spans="1:19" x14ac:dyDescent="0.35">
      <c r="C940" s="11" t="s">
        <v>2710</v>
      </c>
      <c r="D940" s="71">
        <v>3.3299825956704199</v>
      </c>
      <c r="E940" s="69">
        <v>74.395011188497591</v>
      </c>
      <c r="F940" s="72" t="s">
        <v>129</v>
      </c>
      <c r="G940" s="35">
        <v>23</v>
      </c>
      <c r="H940" s="1" t="s">
        <v>670</v>
      </c>
      <c r="I940" s="35">
        <v>19</v>
      </c>
      <c r="J940" s="46">
        <v>13</v>
      </c>
      <c r="K940" s="11" t="s">
        <v>1160</v>
      </c>
      <c r="L940" s="27">
        <v>50</v>
      </c>
      <c r="M940" s="41" t="s">
        <v>839</v>
      </c>
      <c r="N940" s="41" t="s">
        <v>2713</v>
      </c>
      <c r="O940" t="s">
        <v>2281</v>
      </c>
      <c r="Q940">
        <f t="shared" si="14"/>
        <v>3.3299825956704199</v>
      </c>
      <c r="R940" s="2"/>
      <c r="S940" s="2"/>
    </row>
    <row r="941" spans="1:19" x14ac:dyDescent="0.35">
      <c r="C941" s="11" t="s">
        <v>2710</v>
      </c>
      <c r="D941" s="71">
        <v>-3.4816995350901472</v>
      </c>
      <c r="E941" s="69">
        <v>96.05073541541509</v>
      </c>
      <c r="F941" s="72" t="s">
        <v>129</v>
      </c>
      <c r="G941" s="35">
        <v>15</v>
      </c>
      <c r="H941" s="1" t="s">
        <v>758</v>
      </c>
      <c r="I941" s="35">
        <v>29</v>
      </c>
      <c r="J941" s="46">
        <v>19</v>
      </c>
      <c r="K941" s="11" t="s">
        <v>328</v>
      </c>
      <c r="L941" s="27">
        <v>7</v>
      </c>
      <c r="M941" s="41" t="s">
        <v>744</v>
      </c>
      <c r="N941" s="43" t="s">
        <v>2714</v>
      </c>
      <c r="O941" s="1" t="s">
        <v>1390</v>
      </c>
      <c r="Q941">
        <f t="shared" si="14"/>
        <v>3.4816995350901472</v>
      </c>
      <c r="R941" s="2"/>
      <c r="S941" s="2"/>
    </row>
    <row r="942" spans="1:19" x14ac:dyDescent="0.35">
      <c r="C942" s="11" t="s">
        <v>2710</v>
      </c>
      <c r="D942" s="71">
        <v>6.8224796964509942</v>
      </c>
      <c r="E942" s="69">
        <v>81.4712630522815</v>
      </c>
      <c r="F942" s="72" t="s">
        <v>129</v>
      </c>
      <c r="G942" s="35">
        <v>1</v>
      </c>
      <c r="H942" s="1" t="s">
        <v>242</v>
      </c>
      <c r="I942" s="35">
        <v>32</v>
      </c>
      <c r="J942" s="46">
        <v>15</v>
      </c>
      <c r="K942" s="11" t="s">
        <v>729</v>
      </c>
      <c r="L942" s="27">
        <v>43</v>
      </c>
      <c r="M942" s="41" t="s">
        <v>818</v>
      </c>
      <c r="N942" s="43" t="s">
        <v>2715</v>
      </c>
      <c r="O942" s="1" t="s">
        <v>1390</v>
      </c>
      <c r="Q942">
        <f t="shared" si="14"/>
        <v>6.8224796964509942</v>
      </c>
      <c r="R942" s="2"/>
      <c r="S942" s="2"/>
    </row>
    <row r="943" spans="1:19" x14ac:dyDescent="0.35">
      <c r="C943" s="11" t="s">
        <v>2710</v>
      </c>
      <c r="D943" s="71">
        <v>6.3495100415544607</v>
      </c>
      <c r="E943" s="69">
        <v>75.989600687572135</v>
      </c>
      <c r="F943" s="72" t="s">
        <v>231</v>
      </c>
      <c r="G943" s="35">
        <v>13</v>
      </c>
      <c r="H943" s="1" t="s">
        <v>718</v>
      </c>
      <c r="I943" s="35">
        <v>26</v>
      </c>
      <c r="J943" s="46">
        <v>20</v>
      </c>
      <c r="K943" s="11" t="s">
        <v>713</v>
      </c>
      <c r="L943" s="27">
        <v>49</v>
      </c>
      <c r="M943" s="41" t="s">
        <v>866</v>
      </c>
      <c r="N943" s="41" t="s">
        <v>2716</v>
      </c>
      <c r="O943" t="s">
        <v>2281</v>
      </c>
      <c r="Q943">
        <f t="shared" si="14"/>
        <v>6.3495100415544607</v>
      </c>
      <c r="R943" s="2"/>
      <c r="S943" s="2"/>
    </row>
    <row r="944" spans="1:19" x14ac:dyDescent="0.35">
      <c r="C944" s="11" t="s">
        <v>2710</v>
      </c>
      <c r="D944" s="71">
        <v>-4.402318078286136</v>
      </c>
      <c r="E944" s="69">
        <v>82.580061621755377</v>
      </c>
      <c r="F944" s="72" t="s">
        <v>231</v>
      </c>
      <c r="G944" s="35">
        <v>54</v>
      </c>
      <c r="H944" s="1" t="s">
        <v>746</v>
      </c>
      <c r="I944" s="35">
        <v>15</v>
      </c>
      <c r="J944" s="46">
        <v>13</v>
      </c>
      <c r="K944" s="11" t="s">
        <v>747</v>
      </c>
      <c r="L944" s="27">
        <v>9</v>
      </c>
      <c r="M944" s="41" t="s">
        <v>821</v>
      </c>
      <c r="N944" s="41" t="s">
        <v>2717</v>
      </c>
      <c r="O944" t="s">
        <v>2281</v>
      </c>
      <c r="Q944">
        <f t="shared" si="14"/>
        <v>4.402318078286136</v>
      </c>
      <c r="R944" s="2"/>
      <c r="S944" s="2"/>
    </row>
    <row r="945" spans="1:19" x14ac:dyDescent="0.35">
      <c r="C945" s="11" t="s">
        <v>2710</v>
      </c>
      <c r="D945" s="71">
        <v>0.89040701443559811</v>
      </c>
      <c r="E945" s="69">
        <v>85.92759549071998</v>
      </c>
      <c r="F945" s="72" t="s">
        <v>129</v>
      </c>
      <c r="G945" s="35">
        <v>12</v>
      </c>
      <c r="H945" s="1" t="s">
        <v>642</v>
      </c>
      <c r="I945" s="35">
        <v>18</v>
      </c>
      <c r="J945" s="46">
        <v>11</v>
      </c>
      <c r="K945" s="11" t="s">
        <v>663</v>
      </c>
      <c r="L945" s="27">
        <v>30</v>
      </c>
      <c r="M945" s="41" t="s">
        <v>789</v>
      </c>
      <c r="N945" s="41" t="s">
        <v>2718</v>
      </c>
      <c r="O945" t="s">
        <v>2281</v>
      </c>
      <c r="Q945">
        <f t="shared" si="14"/>
        <v>0.89040701443559811</v>
      </c>
      <c r="R945" s="2"/>
      <c r="S945" s="2"/>
    </row>
    <row r="946" spans="1:19" x14ac:dyDescent="0.35">
      <c r="C946" s="11" t="s">
        <v>2710</v>
      </c>
      <c r="D946" s="71">
        <v>9.2516320196870137</v>
      </c>
      <c r="E946" s="69">
        <v>84.409665130201205</v>
      </c>
      <c r="F946" s="72" t="s">
        <v>231</v>
      </c>
      <c r="G946" s="35">
        <v>2</v>
      </c>
      <c r="H946" s="1" t="s">
        <v>468</v>
      </c>
      <c r="I946" s="35">
        <v>29</v>
      </c>
      <c r="J946" s="46">
        <v>18</v>
      </c>
      <c r="K946" s="11" t="s">
        <v>753</v>
      </c>
      <c r="L946" s="27">
        <v>28</v>
      </c>
      <c r="M946" s="41" t="s">
        <v>952</v>
      </c>
      <c r="N946" s="41" t="s">
        <v>2719</v>
      </c>
      <c r="O946" t="s">
        <v>2281</v>
      </c>
      <c r="Q946">
        <f t="shared" si="14"/>
        <v>9.2516320196870137</v>
      </c>
      <c r="R946" s="2"/>
      <c r="S946" s="2"/>
    </row>
    <row r="947" spans="1:19" x14ac:dyDescent="0.35">
      <c r="C947" s="11" t="s">
        <v>2710</v>
      </c>
      <c r="D947" s="71">
        <v>10.981597543218422</v>
      </c>
      <c r="E947" s="69">
        <v>72.690401579359602</v>
      </c>
      <c r="F947" s="72" t="s">
        <v>231</v>
      </c>
      <c r="G947" s="35">
        <v>3</v>
      </c>
      <c r="H947" s="1" t="s">
        <v>245</v>
      </c>
      <c r="I947" s="35">
        <v>24</v>
      </c>
      <c r="J947" s="46">
        <v>19</v>
      </c>
      <c r="K947" s="11" t="s">
        <v>681</v>
      </c>
      <c r="L947" s="27">
        <v>60</v>
      </c>
      <c r="M947" s="41" t="s">
        <v>898</v>
      </c>
      <c r="N947" s="41" t="s">
        <v>2720</v>
      </c>
      <c r="O947" t="s">
        <v>2281</v>
      </c>
      <c r="Q947">
        <f t="shared" si="14"/>
        <v>10.981597543218422</v>
      </c>
      <c r="R947" s="2"/>
      <c r="S947" s="2"/>
    </row>
    <row r="948" spans="1:19" x14ac:dyDescent="0.35">
      <c r="C948" s="11" t="s">
        <v>2710</v>
      </c>
      <c r="D948" s="71">
        <v>-2.5112868955469421</v>
      </c>
      <c r="E948" s="69">
        <v>94.583148718565894</v>
      </c>
      <c r="F948" s="72" t="s">
        <v>231</v>
      </c>
      <c r="G948" s="35">
        <v>21</v>
      </c>
      <c r="H948" s="1" t="s">
        <v>731</v>
      </c>
      <c r="I948" s="35">
        <v>21</v>
      </c>
      <c r="J948" s="46">
        <v>14</v>
      </c>
      <c r="K948" s="11" t="s">
        <v>644</v>
      </c>
      <c r="L948" s="27">
        <v>4</v>
      </c>
      <c r="M948" s="41" t="s">
        <v>759</v>
      </c>
      <c r="N948" s="41" t="s">
        <v>2721</v>
      </c>
      <c r="O948" t="s">
        <v>2281</v>
      </c>
      <c r="Q948">
        <f t="shared" si="14"/>
        <v>2.5112868955469421</v>
      </c>
      <c r="R948" s="2"/>
      <c r="S948" s="2"/>
    </row>
    <row r="949" spans="1:19" x14ac:dyDescent="0.35">
      <c r="C949" s="11" t="s">
        <v>2710</v>
      </c>
      <c r="D949" s="71">
        <v>-3.4991841574775715</v>
      </c>
      <c r="E949" s="69">
        <v>77.298582672664168</v>
      </c>
      <c r="F949" s="72" t="s">
        <v>129</v>
      </c>
      <c r="G949" s="35">
        <v>42</v>
      </c>
      <c r="H949" s="1" t="s">
        <v>629</v>
      </c>
      <c r="I949" s="35">
        <v>22</v>
      </c>
      <c r="J949" s="46">
        <v>16</v>
      </c>
      <c r="K949" s="11" t="s">
        <v>661</v>
      </c>
      <c r="L949" s="27">
        <v>27</v>
      </c>
      <c r="M949" s="41" t="s">
        <v>744</v>
      </c>
      <c r="N949" s="41" t="s">
        <v>2722</v>
      </c>
      <c r="O949" t="s">
        <v>2281</v>
      </c>
      <c r="Q949">
        <f t="shared" si="14"/>
        <v>3.4991841574775715</v>
      </c>
      <c r="R949" s="2"/>
      <c r="S949" s="2"/>
    </row>
    <row r="950" spans="1:19" x14ac:dyDescent="0.35">
      <c r="C950" s="11" t="s">
        <v>2710</v>
      </c>
      <c r="D950" s="71">
        <v>5.4666830294161572</v>
      </c>
      <c r="E950" s="69">
        <v>79.449989481089617</v>
      </c>
      <c r="F950" s="72" t="s">
        <v>129</v>
      </c>
      <c r="G950" s="35">
        <v>6</v>
      </c>
      <c r="H950" s="1" t="s">
        <v>643</v>
      </c>
      <c r="I950" s="35">
        <v>29</v>
      </c>
      <c r="J950" s="46">
        <v>15</v>
      </c>
      <c r="K950" s="11" t="s">
        <v>783</v>
      </c>
      <c r="L950" s="27">
        <v>47</v>
      </c>
      <c r="M950" s="41" t="s">
        <v>735</v>
      </c>
      <c r="N950" s="43" t="s">
        <v>2723</v>
      </c>
      <c r="O950" s="1" t="s">
        <v>1390</v>
      </c>
      <c r="Q950">
        <f t="shared" si="14"/>
        <v>5.4666830294161572</v>
      </c>
      <c r="R950" s="2"/>
      <c r="S950" s="2"/>
    </row>
    <row r="951" spans="1:19" x14ac:dyDescent="0.35">
      <c r="A951" s="2" t="s">
        <v>2724</v>
      </c>
      <c r="C951" s="11" t="s">
        <v>2710</v>
      </c>
      <c r="D951" s="71">
        <v>7.2407525712013792</v>
      </c>
      <c r="E951" s="69">
        <v>76.059516204227691</v>
      </c>
      <c r="F951" s="72" t="s">
        <v>231</v>
      </c>
      <c r="G951" s="35">
        <v>8</v>
      </c>
      <c r="H951" s="1" t="s">
        <v>467</v>
      </c>
      <c r="I951" s="35">
        <v>20</v>
      </c>
      <c r="J951" s="46">
        <v>13</v>
      </c>
      <c r="K951" s="11" t="s">
        <v>632</v>
      </c>
      <c r="L951" s="27">
        <v>52</v>
      </c>
      <c r="M951" s="41" t="s">
        <v>857</v>
      </c>
      <c r="N951" s="41" t="s">
        <v>2725</v>
      </c>
      <c r="O951" t="s">
        <v>2281</v>
      </c>
      <c r="Q951">
        <f t="shared" si="14"/>
        <v>7.2407525712013792</v>
      </c>
      <c r="R951" s="2"/>
      <c r="S951" s="2"/>
    </row>
    <row r="952" spans="1:19" x14ac:dyDescent="0.35">
      <c r="C952" s="11" t="s">
        <v>2710</v>
      </c>
      <c r="D952" s="71">
        <v>2.3853999492291824</v>
      </c>
      <c r="E952" s="69">
        <v>80.145100032638382</v>
      </c>
      <c r="F952" s="72" t="s">
        <v>129</v>
      </c>
      <c r="G952" s="35">
        <v>17</v>
      </c>
      <c r="H952" s="1" t="s">
        <v>660</v>
      </c>
      <c r="I952" s="35">
        <v>22</v>
      </c>
      <c r="J952" s="46">
        <v>13</v>
      </c>
      <c r="K952" s="11" t="s">
        <v>672</v>
      </c>
      <c r="L952" s="27">
        <v>40</v>
      </c>
      <c r="M952" s="41" t="s">
        <v>910</v>
      </c>
      <c r="N952" s="41" t="s">
        <v>2726</v>
      </c>
      <c r="O952" t="s">
        <v>2281</v>
      </c>
      <c r="Q952">
        <f t="shared" si="14"/>
        <v>2.3853999492291824</v>
      </c>
      <c r="R952" s="2"/>
      <c r="S952" s="2"/>
    </row>
    <row r="953" spans="1:19" x14ac:dyDescent="0.35">
      <c r="C953" s="11" t="s">
        <v>2710</v>
      </c>
      <c r="D953" s="71">
        <v>2.2575009886968713</v>
      </c>
      <c r="E953" s="69">
        <v>89.548749364409147</v>
      </c>
      <c r="F953" s="72" t="s">
        <v>231</v>
      </c>
      <c r="G953" s="35">
        <v>14</v>
      </c>
      <c r="H953" s="1" t="s">
        <v>352</v>
      </c>
      <c r="I953" s="35">
        <v>17</v>
      </c>
      <c r="J953" s="46">
        <v>4</v>
      </c>
      <c r="K953" s="11" t="s">
        <v>641</v>
      </c>
      <c r="L953" s="27">
        <v>18</v>
      </c>
      <c r="M953" s="41" t="s">
        <v>870</v>
      </c>
      <c r="N953" s="43" t="s">
        <v>2727</v>
      </c>
      <c r="O953" s="1" t="s">
        <v>1390</v>
      </c>
      <c r="Q953">
        <f t="shared" si="14"/>
        <v>2.2575009886968713</v>
      </c>
      <c r="R953" s="2"/>
      <c r="S953" s="2"/>
    </row>
    <row r="954" spans="1:19" x14ac:dyDescent="0.35">
      <c r="B954" s="104" t="s">
        <v>1336</v>
      </c>
      <c r="C954" s="11" t="s">
        <v>2728</v>
      </c>
      <c r="D954" s="71">
        <v>-3.5566054266075313</v>
      </c>
      <c r="E954" s="69">
        <v>19.116746345676283</v>
      </c>
      <c r="F954" s="72" t="s">
        <v>129</v>
      </c>
      <c r="G954" s="35">
        <v>109</v>
      </c>
      <c r="H954" s="1" t="s">
        <v>720</v>
      </c>
      <c r="I954" s="35">
        <v>18</v>
      </c>
      <c r="J954" s="46">
        <v>15</v>
      </c>
      <c r="K954" s="11" t="s">
        <v>767</v>
      </c>
      <c r="L954" s="27">
        <v>98</v>
      </c>
      <c r="M954" s="41" t="s">
        <v>699</v>
      </c>
      <c r="N954" s="41" t="s">
        <v>2729</v>
      </c>
      <c r="O954" t="s">
        <v>2281</v>
      </c>
      <c r="P954" s="70" t="s">
        <v>2730</v>
      </c>
      <c r="Q954">
        <f t="shared" si="14"/>
        <v>3.5566054266075313</v>
      </c>
      <c r="S954" s="92"/>
    </row>
    <row r="955" spans="1:19" x14ac:dyDescent="0.35">
      <c r="B955" s="104"/>
      <c r="C955" s="11" t="s">
        <v>2728</v>
      </c>
      <c r="D955" s="71">
        <v>1.754594752049035</v>
      </c>
      <c r="E955" s="69">
        <v>64.519367659397048</v>
      </c>
      <c r="F955" s="72" t="s">
        <v>231</v>
      </c>
      <c r="G955" s="35">
        <v>51</v>
      </c>
      <c r="H955" s="1" t="s">
        <v>679</v>
      </c>
      <c r="I955" s="35">
        <v>22</v>
      </c>
      <c r="J955" s="46">
        <v>10</v>
      </c>
      <c r="K955" s="11" t="s">
        <v>666</v>
      </c>
      <c r="L955" s="27">
        <v>44</v>
      </c>
      <c r="M955" s="41" t="s">
        <v>793</v>
      </c>
      <c r="N955" s="43" t="s">
        <v>2731</v>
      </c>
      <c r="O955" s="1" t="s">
        <v>1390</v>
      </c>
      <c r="P955" s="70" t="s">
        <v>2732</v>
      </c>
      <c r="Q955">
        <f t="shared" si="14"/>
        <v>1.754594752049035</v>
      </c>
      <c r="S955" s="92"/>
    </row>
    <row r="956" spans="1:19" x14ac:dyDescent="0.35">
      <c r="B956" s="104"/>
      <c r="C956" s="11" t="s">
        <v>2728</v>
      </c>
      <c r="D956" s="71">
        <v>6.0599825956704203</v>
      </c>
      <c r="E956" s="69">
        <v>73.856010691231035</v>
      </c>
      <c r="F956" s="72" t="s">
        <v>231</v>
      </c>
      <c r="G956" s="35">
        <v>23</v>
      </c>
      <c r="H956" s="1" t="s">
        <v>670</v>
      </c>
      <c r="I956" s="35">
        <v>33</v>
      </c>
      <c r="J956" s="46">
        <v>25</v>
      </c>
      <c r="K956" s="11" t="s">
        <v>1160</v>
      </c>
      <c r="L956" s="27">
        <v>50</v>
      </c>
      <c r="M956" s="41" t="s">
        <v>2733</v>
      </c>
      <c r="N956" s="41" t="s">
        <v>2734</v>
      </c>
      <c r="O956" t="s">
        <v>2281</v>
      </c>
      <c r="P956" s="81" t="s">
        <v>2735</v>
      </c>
      <c r="Q956">
        <f t="shared" si="14"/>
        <v>6.0599825956704203</v>
      </c>
      <c r="S956" s="92"/>
    </row>
    <row r="957" spans="1:19" x14ac:dyDescent="0.35">
      <c r="B957" s="104"/>
      <c r="C957" s="11" t="s">
        <v>2728</v>
      </c>
      <c r="D957" s="71">
        <v>1.0645120350901471</v>
      </c>
      <c r="E957" s="69">
        <v>93.128170834584907</v>
      </c>
      <c r="F957" s="72" t="s">
        <v>129</v>
      </c>
      <c r="G957" s="35">
        <v>7</v>
      </c>
      <c r="H957" s="1" t="s">
        <v>328</v>
      </c>
      <c r="I957" s="35">
        <v>26</v>
      </c>
      <c r="J957" s="46">
        <v>20</v>
      </c>
      <c r="K957" s="11" t="s">
        <v>758</v>
      </c>
      <c r="L957" s="27">
        <v>15</v>
      </c>
      <c r="M957" s="41" t="s">
        <v>719</v>
      </c>
      <c r="N957" s="41" t="s">
        <v>2736</v>
      </c>
      <c r="O957" t="s">
        <v>2281</v>
      </c>
      <c r="P957" s="70" t="s">
        <v>2737</v>
      </c>
      <c r="Q957">
        <f t="shared" si="14"/>
        <v>1.0645120350901471</v>
      </c>
      <c r="S957" s="92"/>
    </row>
    <row r="958" spans="1:19" x14ac:dyDescent="0.35">
      <c r="B958" s="104"/>
      <c r="C958" s="11" t="s">
        <v>2728</v>
      </c>
      <c r="D958" s="71">
        <v>9.2520630297843258</v>
      </c>
      <c r="E958" s="69">
        <v>79.9093880522815</v>
      </c>
      <c r="F958" s="72" t="s">
        <v>231</v>
      </c>
      <c r="G958" s="35">
        <v>1</v>
      </c>
      <c r="H958" s="1" t="s">
        <v>242</v>
      </c>
      <c r="I958" s="35">
        <v>27</v>
      </c>
      <c r="J958" s="46">
        <v>25</v>
      </c>
      <c r="K958" s="11" t="s">
        <v>729</v>
      </c>
      <c r="L958" s="27">
        <v>43</v>
      </c>
      <c r="M958" s="41" t="s">
        <v>950</v>
      </c>
      <c r="N958" s="41" t="s">
        <v>2738</v>
      </c>
      <c r="O958" s="6" t="s">
        <v>1386</v>
      </c>
      <c r="P958" s="70" t="s">
        <v>2739</v>
      </c>
      <c r="Q958">
        <f t="shared" si="14"/>
        <v>9.2520630297843258</v>
      </c>
      <c r="S958" s="92"/>
    </row>
    <row r="959" spans="1:19" x14ac:dyDescent="0.35">
      <c r="B959" s="104"/>
      <c r="C959" s="11" t="s">
        <v>2728</v>
      </c>
      <c r="D959" s="71">
        <v>3.2328433748877941</v>
      </c>
      <c r="E959" s="69">
        <v>77.993172116143555</v>
      </c>
      <c r="F959" s="72" t="s">
        <v>129</v>
      </c>
      <c r="G959" s="35">
        <v>13</v>
      </c>
      <c r="H959" s="1" t="s">
        <v>718</v>
      </c>
      <c r="I959" s="35">
        <v>21</v>
      </c>
      <c r="J959" s="46">
        <v>14</v>
      </c>
      <c r="K959" s="11" t="s">
        <v>713</v>
      </c>
      <c r="L959" s="27">
        <v>49</v>
      </c>
      <c r="M959" s="41" t="s">
        <v>702</v>
      </c>
      <c r="N959" s="41" t="s">
        <v>2740</v>
      </c>
      <c r="O959" t="s">
        <v>2281</v>
      </c>
      <c r="P959" s="70" t="s">
        <v>2741</v>
      </c>
      <c r="Q959">
        <f t="shared" si="14"/>
        <v>3.2328433748877941</v>
      </c>
      <c r="S959" s="92"/>
    </row>
    <row r="960" spans="1:19" x14ac:dyDescent="0.35">
      <c r="B960" s="104"/>
      <c r="C960" s="11" t="s">
        <v>2728</v>
      </c>
      <c r="D960" s="71">
        <v>-7.226206967175024</v>
      </c>
      <c r="E960" s="69">
        <v>84.74218723651002</v>
      </c>
      <c r="F960" s="72" t="s">
        <v>129</v>
      </c>
      <c r="G960" s="35">
        <v>54</v>
      </c>
      <c r="H960" s="1" t="s">
        <v>746</v>
      </c>
      <c r="I960" s="35">
        <v>25</v>
      </c>
      <c r="J960" s="46">
        <v>24</v>
      </c>
      <c r="K960" s="11" t="s">
        <v>747</v>
      </c>
      <c r="L960" s="27">
        <v>9</v>
      </c>
      <c r="M960" s="41" t="s">
        <v>952</v>
      </c>
      <c r="N960" s="41" t="s">
        <v>2742</v>
      </c>
      <c r="O960" t="s">
        <v>2281</v>
      </c>
      <c r="P960" s="81" t="s">
        <v>2743</v>
      </c>
      <c r="Q960">
        <f t="shared" si="14"/>
        <v>7.226206967175024</v>
      </c>
      <c r="S960" s="92"/>
    </row>
    <row r="961" spans="1:19" x14ac:dyDescent="0.35">
      <c r="B961" s="104"/>
      <c r="C961" s="11" t="s">
        <v>2728</v>
      </c>
      <c r="D961" s="71">
        <v>3.4616570144355987</v>
      </c>
      <c r="E961" s="69">
        <v>84.274649062148541</v>
      </c>
      <c r="F961" s="72" t="s">
        <v>231</v>
      </c>
      <c r="G961" s="35">
        <v>12</v>
      </c>
      <c r="H961" s="1" t="s">
        <v>642</v>
      </c>
      <c r="I961" s="35">
        <v>26</v>
      </c>
      <c r="J961" s="46">
        <v>18</v>
      </c>
      <c r="K961" s="11" t="s">
        <v>663</v>
      </c>
      <c r="L961" s="27">
        <v>30</v>
      </c>
      <c r="M961" s="41" t="s">
        <v>754</v>
      </c>
      <c r="N961" s="41" t="s">
        <v>2744</v>
      </c>
      <c r="O961" t="s">
        <v>2281</v>
      </c>
      <c r="P961" s="70" t="s">
        <v>2745</v>
      </c>
      <c r="Q961">
        <f t="shared" si="14"/>
        <v>3.4616570144355987</v>
      </c>
      <c r="S961" s="92"/>
    </row>
    <row r="962" spans="1:19" x14ac:dyDescent="0.35">
      <c r="A962" s="2" t="s">
        <v>2746</v>
      </c>
      <c r="B962" s="104"/>
      <c r="C962" s="11" t="s">
        <v>2728</v>
      </c>
      <c r="D962" s="71">
        <v>6.0659028530203463</v>
      </c>
      <c r="E962" s="69">
        <v>86.4576338802012</v>
      </c>
      <c r="F962" s="72" t="s">
        <v>129</v>
      </c>
      <c r="G962" s="35">
        <v>2</v>
      </c>
      <c r="H962" s="1" t="s">
        <v>468</v>
      </c>
      <c r="I962" s="35">
        <v>30</v>
      </c>
      <c r="J962" s="46">
        <v>15</v>
      </c>
      <c r="K962" s="11" t="s">
        <v>753</v>
      </c>
      <c r="L962" s="27">
        <v>28</v>
      </c>
      <c r="M962" s="41" t="s">
        <v>910</v>
      </c>
      <c r="N962" s="43" t="s">
        <v>2747</v>
      </c>
      <c r="O962" s="1" t="s">
        <v>1390</v>
      </c>
      <c r="P962" s="70" t="s">
        <v>2748</v>
      </c>
      <c r="Q962">
        <f t="shared" si="14"/>
        <v>6.0659028530203463</v>
      </c>
      <c r="S962" s="92"/>
    </row>
    <row r="963" spans="1:19" x14ac:dyDescent="0.35">
      <c r="B963" s="104"/>
      <c r="C963" s="11" t="s">
        <v>2728</v>
      </c>
      <c r="D963" s="71">
        <v>8.4292364321073112</v>
      </c>
      <c r="E963" s="69">
        <v>74.331205150788165</v>
      </c>
      <c r="F963" s="72" t="s">
        <v>129</v>
      </c>
      <c r="G963" s="35">
        <v>3</v>
      </c>
      <c r="H963" s="1" t="s">
        <v>245</v>
      </c>
      <c r="I963" s="35">
        <v>24</v>
      </c>
      <c r="J963" s="46">
        <v>16</v>
      </c>
      <c r="K963" s="11" t="s">
        <v>681</v>
      </c>
      <c r="L963" s="27">
        <v>60</v>
      </c>
      <c r="M963" s="41" t="s">
        <v>710</v>
      </c>
      <c r="N963" s="41" t="s">
        <v>2749</v>
      </c>
      <c r="O963" t="s">
        <v>2281</v>
      </c>
      <c r="P963" s="70" t="s">
        <v>2750</v>
      </c>
      <c r="Q963">
        <f t="shared" ref="Q963:Q1026" si="15">ABS(D963)</f>
        <v>8.4292364321073112</v>
      </c>
      <c r="S963" s="92"/>
    </row>
    <row r="964" spans="1:19" x14ac:dyDescent="0.35">
      <c r="B964" s="104"/>
      <c r="C964" s="11" t="s">
        <v>2728</v>
      </c>
      <c r="D964" s="71">
        <v>5.0229188399913856</v>
      </c>
      <c r="E964" s="69">
        <v>89.739730745719825</v>
      </c>
      <c r="F964" s="72" t="s">
        <v>231</v>
      </c>
      <c r="G964" s="35">
        <v>4</v>
      </c>
      <c r="H964" s="1" t="s">
        <v>644</v>
      </c>
      <c r="I964" s="35">
        <v>23</v>
      </c>
      <c r="J964" s="46">
        <v>12</v>
      </c>
      <c r="K964" s="11" t="s">
        <v>731</v>
      </c>
      <c r="L964" s="27">
        <v>21</v>
      </c>
      <c r="M964" s="41" t="s">
        <v>910</v>
      </c>
      <c r="N964" s="41" t="s">
        <v>2751</v>
      </c>
      <c r="O964" t="s">
        <v>2281</v>
      </c>
      <c r="P964" s="70" t="s">
        <v>2752</v>
      </c>
      <c r="Q964">
        <f t="shared" si="15"/>
        <v>5.0229188399913856</v>
      </c>
      <c r="S964" s="92"/>
    </row>
    <row r="965" spans="1:19" x14ac:dyDescent="0.35">
      <c r="B965" s="104"/>
      <c r="C965" s="11" t="s">
        <v>2728</v>
      </c>
      <c r="D965" s="71">
        <v>-0.75605915747757191</v>
      </c>
      <c r="E965" s="69">
        <v>75.535145172664159</v>
      </c>
      <c r="F965" s="72" t="s">
        <v>231</v>
      </c>
      <c r="G965" s="35">
        <v>42</v>
      </c>
      <c r="H965" s="1" t="s">
        <v>629</v>
      </c>
      <c r="I965" s="35">
        <v>20</v>
      </c>
      <c r="J965" s="46">
        <v>13</v>
      </c>
      <c r="K965" s="11" t="s">
        <v>661</v>
      </c>
      <c r="L965" s="27">
        <v>27</v>
      </c>
      <c r="M965" s="41" t="s">
        <v>740</v>
      </c>
      <c r="N965" s="41" t="s">
        <v>2753</v>
      </c>
      <c r="O965" t="s">
        <v>2281</v>
      </c>
      <c r="P965" s="70" t="s">
        <v>2754</v>
      </c>
      <c r="Q965">
        <f t="shared" si="15"/>
        <v>0.75605915747757191</v>
      </c>
      <c r="S965" s="92"/>
    </row>
    <row r="966" spans="1:19" x14ac:dyDescent="0.35">
      <c r="B966" s="104"/>
      <c r="C966" s="11" t="s">
        <v>2728</v>
      </c>
      <c r="D966" s="71">
        <v>-8.0733496960828237</v>
      </c>
      <c r="E966" s="69">
        <v>88.154296233196106</v>
      </c>
      <c r="F966" s="72" t="s">
        <v>129</v>
      </c>
      <c r="G966" s="35">
        <v>47</v>
      </c>
      <c r="H966" s="1" t="s">
        <v>783</v>
      </c>
      <c r="I966" s="35">
        <v>24</v>
      </c>
      <c r="J966" s="46">
        <v>20</v>
      </c>
      <c r="K966" s="11" t="s">
        <v>643</v>
      </c>
      <c r="L966" s="27">
        <v>6</v>
      </c>
      <c r="M966" s="41" t="s">
        <v>790</v>
      </c>
      <c r="N966" s="41" t="s">
        <v>2755</v>
      </c>
      <c r="O966" t="s">
        <v>2281</v>
      </c>
      <c r="P966" s="70" t="s">
        <v>2756</v>
      </c>
      <c r="Q966">
        <f t="shared" si="15"/>
        <v>8.0733496960828237</v>
      </c>
      <c r="S966" s="92"/>
    </row>
    <row r="967" spans="1:19" x14ac:dyDescent="0.35">
      <c r="B967" s="104"/>
      <c r="C967" s="11" t="s">
        <v>2728</v>
      </c>
      <c r="D967" s="71">
        <v>4.838322015645824</v>
      </c>
      <c r="E967" s="69">
        <v>77.603935847084827</v>
      </c>
      <c r="F967" s="72" t="s">
        <v>129</v>
      </c>
      <c r="G967" s="35">
        <v>8</v>
      </c>
      <c r="H967" s="1" t="s">
        <v>467</v>
      </c>
      <c r="I967" s="35">
        <v>16</v>
      </c>
      <c r="J967" s="46">
        <v>14</v>
      </c>
      <c r="K967" s="11" t="s">
        <v>632</v>
      </c>
      <c r="L967" s="27">
        <v>52</v>
      </c>
      <c r="M967" s="41" t="s">
        <v>770</v>
      </c>
      <c r="N967" s="41" t="s">
        <v>2757</v>
      </c>
      <c r="O967" s="6" t="s">
        <v>1386</v>
      </c>
      <c r="P967" s="70" t="s">
        <v>2758</v>
      </c>
      <c r="Q967">
        <f t="shared" si="15"/>
        <v>4.838322015645824</v>
      </c>
      <c r="S967" s="92"/>
    </row>
    <row r="968" spans="1:19" x14ac:dyDescent="0.35">
      <c r="B968" s="104"/>
      <c r="C968" s="11" t="s">
        <v>2728</v>
      </c>
      <c r="D968" s="71">
        <v>-5.0453999492291821</v>
      </c>
      <c r="E968" s="69">
        <v>85.257108539515485</v>
      </c>
      <c r="F968" s="72" t="s">
        <v>129</v>
      </c>
      <c r="G968" s="35">
        <v>40</v>
      </c>
      <c r="H968" s="1" t="s">
        <v>672</v>
      </c>
      <c r="I968" s="35">
        <v>27</v>
      </c>
      <c r="J968" s="46">
        <v>20</v>
      </c>
      <c r="K968" s="11" t="s">
        <v>660</v>
      </c>
      <c r="L968" s="27">
        <v>17</v>
      </c>
      <c r="M968" s="41" t="s">
        <v>1177</v>
      </c>
      <c r="N968" s="41" t="s">
        <v>2759</v>
      </c>
      <c r="O968" t="s">
        <v>2281</v>
      </c>
      <c r="P968" s="81" t="s">
        <v>2760</v>
      </c>
      <c r="Q968">
        <f t="shared" si="15"/>
        <v>5.0453999492291821</v>
      </c>
      <c r="S968" s="92"/>
    </row>
    <row r="969" spans="1:19" ht="15" thickBot="1" x14ac:dyDescent="0.4">
      <c r="B969" s="104"/>
      <c r="C969" s="51" t="s">
        <v>2728</v>
      </c>
      <c r="D969" s="82">
        <v>-0.47852781404924083</v>
      </c>
      <c r="E969" s="76">
        <v>91.307625023317371</v>
      </c>
      <c r="F969" s="83" t="s">
        <v>129</v>
      </c>
      <c r="G969" s="49">
        <v>14</v>
      </c>
      <c r="H969" s="45" t="s">
        <v>352</v>
      </c>
      <c r="I969" s="49">
        <v>14</v>
      </c>
      <c r="J969" s="50">
        <v>13</v>
      </c>
      <c r="K969" s="51" t="s">
        <v>641</v>
      </c>
      <c r="L969" s="77">
        <v>18</v>
      </c>
      <c r="M969" s="42" t="s">
        <v>826</v>
      </c>
      <c r="N969" s="42" t="s">
        <v>2761</v>
      </c>
      <c r="O969" s="93" t="s">
        <v>1386</v>
      </c>
      <c r="P969" s="78" t="s">
        <v>2762</v>
      </c>
      <c r="Q969">
        <f t="shared" si="15"/>
        <v>0.47852781404924083</v>
      </c>
      <c r="S969" s="92"/>
    </row>
    <row r="970" spans="1:19" x14ac:dyDescent="0.35">
      <c r="B970" s="103" t="s">
        <v>1337</v>
      </c>
      <c r="C970" s="54" t="s">
        <v>3437</v>
      </c>
      <c r="D970" s="71">
        <v>-5.0690796872647175</v>
      </c>
      <c r="E970" s="69">
        <v>76.716823794488249</v>
      </c>
      <c r="F970" s="72" t="s">
        <v>129</v>
      </c>
      <c r="G970" s="35">
        <v>59</v>
      </c>
      <c r="H970" s="1" t="s">
        <v>778</v>
      </c>
      <c r="I970" s="35">
        <v>24</v>
      </c>
      <c r="J970" s="46">
        <v>20</v>
      </c>
      <c r="K970" s="11" t="s">
        <v>648</v>
      </c>
      <c r="L970" s="27">
        <v>22</v>
      </c>
      <c r="M970" s="41" t="s">
        <v>823</v>
      </c>
      <c r="N970" s="41" t="s">
        <v>2763</v>
      </c>
      <c r="Q970">
        <f t="shared" si="15"/>
        <v>5.0690796872647175</v>
      </c>
    </row>
    <row r="971" spans="1:19" x14ac:dyDescent="0.35">
      <c r="C971" s="54" t="s">
        <v>3437</v>
      </c>
      <c r="D971" s="71">
        <v>1.8771804632368307</v>
      </c>
      <c r="E971" s="69">
        <v>75.478924267015799</v>
      </c>
      <c r="F971" s="72" t="s">
        <v>231</v>
      </c>
      <c r="G971" s="35">
        <v>31</v>
      </c>
      <c r="H971" s="1" t="s">
        <v>630</v>
      </c>
      <c r="I971" s="35">
        <v>20</v>
      </c>
      <c r="J971" s="46">
        <v>9</v>
      </c>
      <c r="K971" s="11" t="s">
        <v>649</v>
      </c>
      <c r="L971" s="27">
        <v>32</v>
      </c>
      <c r="M971" s="41" t="s">
        <v>910</v>
      </c>
      <c r="N971" s="41" t="s">
        <v>2766</v>
      </c>
      <c r="O971" t="s">
        <v>2281</v>
      </c>
      <c r="Q971">
        <f t="shared" si="15"/>
        <v>1.8771804632368307</v>
      </c>
    </row>
    <row r="972" spans="1:19" x14ac:dyDescent="0.35">
      <c r="C972" s="54" t="s">
        <v>3437</v>
      </c>
      <c r="D972" s="71">
        <v>1.4943055584976679</v>
      </c>
      <c r="E972" s="69">
        <v>81.932313490130099</v>
      </c>
      <c r="F972" s="72" t="s">
        <v>129</v>
      </c>
      <c r="G972" s="35">
        <v>16</v>
      </c>
      <c r="H972" s="1" t="s">
        <v>640</v>
      </c>
      <c r="I972" s="35">
        <v>28</v>
      </c>
      <c r="J972" s="46">
        <v>18</v>
      </c>
      <c r="K972" s="11" t="s">
        <v>780</v>
      </c>
      <c r="L972" s="27">
        <v>36</v>
      </c>
      <c r="M972" s="41" t="s">
        <v>907</v>
      </c>
      <c r="N972" s="41" t="s">
        <v>2769</v>
      </c>
      <c r="O972" t="s">
        <v>2281</v>
      </c>
      <c r="Q972">
        <f t="shared" si="15"/>
        <v>1.4943055584976679</v>
      </c>
    </row>
    <row r="973" spans="1:19" x14ac:dyDescent="0.35">
      <c r="C973" s="54" t="s">
        <v>3437</v>
      </c>
      <c r="D973" s="71">
        <v>10.107644726027575</v>
      </c>
      <c r="E973" s="69">
        <v>68.057833465753319</v>
      </c>
      <c r="F973" s="72" t="s">
        <v>231</v>
      </c>
      <c r="G973" s="35">
        <v>5</v>
      </c>
      <c r="H973" s="1" t="s">
        <v>466</v>
      </c>
      <c r="I973" s="35">
        <v>41</v>
      </c>
      <c r="J973" s="46">
        <v>13</v>
      </c>
      <c r="K973" s="11" t="s">
        <v>751</v>
      </c>
      <c r="L973" s="27">
        <v>72</v>
      </c>
      <c r="M973" s="41" t="s">
        <v>881</v>
      </c>
      <c r="N973" s="43" t="s">
        <v>2773</v>
      </c>
      <c r="O973" s="1" t="s">
        <v>1390</v>
      </c>
      <c r="Q973">
        <f t="shared" si="15"/>
        <v>10.107644726027575</v>
      </c>
    </row>
    <row r="974" spans="1:19" x14ac:dyDescent="0.35">
      <c r="C974" s="54" t="s">
        <v>3437</v>
      </c>
      <c r="D974" s="71">
        <v>5.8651672009336036</v>
      </c>
      <c r="E974" s="69">
        <v>73.145747267957915</v>
      </c>
      <c r="F974" s="72" t="s">
        <v>231</v>
      </c>
      <c r="G974" s="35">
        <v>19</v>
      </c>
      <c r="H974" s="1" t="s">
        <v>651</v>
      </c>
      <c r="I974" s="35">
        <v>21</v>
      </c>
      <c r="J974" s="46">
        <v>9</v>
      </c>
      <c r="K974" s="11" t="s">
        <v>679</v>
      </c>
      <c r="L974" s="27">
        <v>51</v>
      </c>
      <c r="M974" s="41" t="s">
        <v>874</v>
      </c>
      <c r="N974" s="43" t="s">
        <v>2776</v>
      </c>
      <c r="O974" s="1" t="s">
        <v>1390</v>
      </c>
      <c r="Q974">
        <f t="shared" si="15"/>
        <v>5.8651672009336036</v>
      </c>
    </row>
    <row r="975" spans="1:19" x14ac:dyDescent="0.35">
      <c r="C975" s="54" t="s">
        <v>3437</v>
      </c>
      <c r="D975" s="71">
        <v>1.2598740960240904</v>
      </c>
      <c r="E975" s="69">
        <v>69.600654165469876</v>
      </c>
      <c r="F975" s="72" t="s">
        <v>231</v>
      </c>
      <c r="G975" s="35">
        <v>43</v>
      </c>
      <c r="H975" s="1" t="s">
        <v>729</v>
      </c>
      <c r="I975" s="35">
        <v>14</v>
      </c>
      <c r="J975" s="46">
        <v>11</v>
      </c>
      <c r="K975" s="11" t="s">
        <v>667</v>
      </c>
      <c r="L975" s="27">
        <v>37</v>
      </c>
      <c r="M975" s="41" t="s">
        <v>839</v>
      </c>
      <c r="N975" s="41" t="s">
        <v>2779</v>
      </c>
      <c r="Q975">
        <f t="shared" si="15"/>
        <v>1.2598740960240904</v>
      </c>
    </row>
    <row r="976" spans="1:19" x14ac:dyDescent="0.35">
      <c r="A976" s="2" t="s">
        <v>2772</v>
      </c>
      <c r="C976" s="54" t="s">
        <v>3437</v>
      </c>
      <c r="D976" s="71">
        <v>4.1385822930712441</v>
      </c>
      <c r="E976" s="69">
        <v>54.032145921696049</v>
      </c>
      <c r="F976" s="72" t="s">
        <v>129</v>
      </c>
      <c r="G976" s="35">
        <v>27</v>
      </c>
      <c r="H976" s="1" t="s">
        <v>661</v>
      </c>
      <c r="I976" s="35">
        <v>20</v>
      </c>
      <c r="J976" s="46">
        <v>19</v>
      </c>
      <c r="K976" s="11" t="s">
        <v>1155</v>
      </c>
      <c r="L976" s="27">
        <v>90</v>
      </c>
      <c r="M976" s="41" t="s">
        <v>831</v>
      </c>
      <c r="N976" s="41" t="s">
        <v>2782</v>
      </c>
      <c r="O976" s="6" t="s">
        <v>1386</v>
      </c>
      <c r="Q976">
        <f t="shared" si="15"/>
        <v>4.1385822930712441</v>
      </c>
    </row>
    <row r="977" spans="2:17" x14ac:dyDescent="0.35">
      <c r="C977" s="54" t="s">
        <v>3437</v>
      </c>
      <c r="D977" s="71">
        <v>-3.8137626923455965</v>
      </c>
      <c r="E977" s="69">
        <v>84.434758340684255</v>
      </c>
      <c r="F977" s="72" t="s">
        <v>129</v>
      </c>
      <c r="G977" s="35">
        <v>35</v>
      </c>
      <c r="H977" s="1" t="s">
        <v>692</v>
      </c>
      <c r="I977" s="35">
        <v>22</v>
      </c>
      <c r="J977" s="46">
        <v>11</v>
      </c>
      <c r="K977" s="11" t="s">
        <v>334</v>
      </c>
      <c r="L977" s="27">
        <v>20</v>
      </c>
      <c r="M977" s="41" t="s">
        <v>748</v>
      </c>
      <c r="N977" s="41" t="s">
        <v>2785</v>
      </c>
      <c r="O977" t="s">
        <v>2281</v>
      </c>
      <c r="Q977">
        <f t="shared" si="15"/>
        <v>3.8137626923455965</v>
      </c>
    </row>
    <row r="978" spans="2:17" x14ac:dyDescent="0.35">
      <c r="C978" s="54" t="s">
        <v>3437</v>
      </c>
      <c r="D978" s="71">
        <v>-4.1464323673785692</v>
      </c>
      <c r="E978" s="69">
        <v>81.367655555705923</v>
      </c>
      <c r="F978" s="72" t="s">
        <v>129</v>
      </c>
      <c r="G978" s="35">
        <v>41</v>
      </c>
      <c r="H978" s="1" t="s">
        <v>1165</v>
      </c>
      <c r="I978" s="35">
        <v>16</v>
      </c>
      <c r="J978" s="46">
        <v>12</v>
      </c>
      <c r="K978" s="11" t="s">
        <v>650</v>
      </c>
      <c r="L978" s="27">
        <v>24</v>
      </c>
      <c r="M978" s="41" t="s">
        <v>789</v>
      </c>
      <c r="N978" s="41" t="s">
        <v>2788</v>
      </c>
      <c r="Q978">
        <f t="shared" si="15"/>
        <v>4.1464323673785692</v>
      </c>
    </row>
    <row r="979" spans="2:17" x14ac:dyDescent="0.35">
      <c r="C979" s="54" t="s">
        <v>3437</v>
      </c>
      <c r="D979" s="71">
        <v>2.2234961176496042</v>
      </c>
      <c r="E979" s="69">
        <v>22.556702551258844</v>
      </c>
      <c r="F979" s="72" t="s">
        <v>129</v>
      </c>
      <c r="G979" s="35">
        <v>79</v>
      </c>
      <c r="H979" s="1" t="s">
        <v>676</v>
      </c>
      <c r="I979" s="35">
        <v>18</v>
      </c>
      <c r="J979" s="46">
        <v>10</v>
      </c>
      <c r="K979" s="11" t="s">
        <v>637</v>
      </c>
      <c r="L979" s="27">
        <v>106</v>
      </c>
      <c r="M979" s="41" t="s">
        <v>821</v>
      </c>
      <c r="N979" s="41" t="s">
        <v>2791</v>
      </c>
      <c r="Q979">
        <f t="shared" si="15"/>
        <v>2.2234961176496042</v>
      </c>
    </row>
    <row r="980" spans="2:17" x14ac:dyDescent="0.35">
      <c r="C980" s="54" t="s">
        <v>3437</v>
      </c>
      <c r="D980" s="71">
        <v>-4.8873834076835682E-2</v>
      </c>
      <c r="E980" s="69">
        <v>91.407117090964789</v>
      </c>
      <c r="F980" s="72" t="s">
        <v>129</v>
      </c>
      <c r="G980" s="35">
        <v>12</v>
      </c>
      <c r="H980" s="1" t="s">
        <v>642</v>
      </c>
      <c r="I980" s="35">
        <v>16</v>
      </c>
      <c r="J980" s="46">
        <v>13</v>
      </c>
      <c r="K980" s="11" t="s">
        <v>641</v>
      </c>
      <c r="L980" s="27">
        <v>18</v>
      </c>
      <c r="M980" s="41" t="s">
        <v>910</v>
      </c>
      <c r="N980" s="41" t="s">
        <v>2794</v>
      </c>
      <c r="O980" t="s">
        <v>2281</v>
      </c>
      <c r="Q980">
        <f t="shared" si="15"/>
        <v>4.8873834076835682E-2</v>
      </c>
    </row>
    <row r="981" spans="2:17" x14ac:dyDescent="0.35">
      <c r="C981" s="54" t="s">
        <v>3437</v>
      </c>
      <c r="D981" s="71">
        <v>2.9456884547881943</v>
      </c>
      <c r="E981" s="69">
        <v>31.939261872567759</v>
      </c>
      <c r="F981" s="72" t="s">
        <v>231</v>
      </c>
      <c r="G981" s="35">
        <v>75</v>
      </c>
      <c r="H981" s="1" t="s">
        <v>761</v>
      </c>
      <c r="I981" s="35">
        <v>23</v>
      </c>
      <c r="J981" s="46">
        <v>18</v>
      </c>
      <c r="K981" s="11" t="s">
        <v>1158</v>
      </c>
      <c r="L981" s="27">
        <v>86</v>
      </c>
      <c r="M981" s="41" t="s">
        <v>866</v>
      </c>
      <c r="N981" s="41" t="s">
        <v>2797</v>
      </c>
      <c r="O981" t="s">
        <v>2281</v>
      </c>
      <c r="Q981">
        <f t="shared" si="15"/>
        <v>2.9456884547881943</v>
      </c>
    </row>
    <row r="982" spans="2:17" x14ac:dyDescent="0.35">
      <c r="B982" s="103" t="s">
        <v>1338</v>
      </c>
      <c r="C982" s="54" t="s">
        <v>3438</v>
      </c>
      <c r="D982" s="71">
        <v>2.0765796872647169</v>
      </c>
      <c r="E982" s="69">
        <v>72.021104776940319</v>
      </c>
      <c r="F982" s="72" t="s">
        <v>129</v>
      </c>
      <c r="G982" s="35">
        <v>22</v>
      </c>
      <c r="H982" s="1" t="s">
        <v>648</v>
      </c>
      <c r="I982" s="35">
        <v>24</v>
      </c>
      <c r="J982" s="46">
        <v>15</v>
      </c>
      <c r="K982" s="11" t="s">
        <v>778</v>
      </c>
      <c r="L982" s="27">
        <v>59</v>
      </c>
      <c r="M982" s="41" t="s">
        <v>866</v>
      </c>
      <c r="N982" s="41" t="s">
        <v>2764</v>
      </c>
      <c r="O982" t="s">
        <v>2281</v>
      </c>
      <c r="P982" s="70" t="s">
        <v>2765</v>
      </c>
      <c r="Q982">
        <f t="shared" si="15"/>
        <v>2.0765796872647169</v>
      </c>
    </row>
    <row r="983" spans="2:17" x14ac:dyDescent="0.35">
      <c r="C983" s="54" t="s">
        <v>3438</v>
      </c>
      <c r="D983" s="71">
        <v>0.90750703676316935</v>
      </c>
      <c r="E983" s="69">
        <v>76.116138232984198</v>
      </c>
      <c r="F983" s="72" t="s">
        <v>231</v>
      </c>
      <c r="G983" s="35">
        <v>32</v>
      </c>
      <c r="H983" s="1" t="s">
        <v>649</v>
      </c>
      <c r="I983" s="35">
        <v>16</v>
      </c>
      <c r="J983" s="46">
        <v>14</v>
      </c>
      <c r="K983" s="11" t="s">
        <v>630</v>
      </c>
      <c r="L983" s="27">
        <v>31</v>
      </c>
      <c r="M983" s="41" t="s">
        <v>773</v>
      </c>
      <c r="N983" s="41" t="s">
        <v>2767</v>
      </c>
      <c r="O983" t="s">
        <v>2281</v>
      </c>
      <c r="P983" s="70" t="s">
        <v>2768</v>
      </c>
      <c r="Q983">
        <f t="shared" si="15"/>
        <v>0.90750703676316935</v>
      </c>
    </row>
    <row r="984" spans="2:17" x14ac:dyDescent="0.35">
      <c r="C984" s="54" t="s">
        <v>3438</v>
      </c>
      <c r="D984" s="71">
        <v>3.9486805584976685</v>
      </c>
      <c r="E984" s="69">
        <v>80.319438490130096</v>
      </c>
      <c r="F984" s="72" t="s">
        <v>231</v>
      </c>
      <c r="G984" s="35">
        <v>16</v>
      </c>
      <c r="H984" s="1" t="s">
        <v>640</v>
      </c>
      <c r="I984" s="35">
        <v>38</v>
      </c>
      <c r="J984" s="46">
        <v>16</v>
      </c>
      <c r="K984" s="11" t="s">
        <v>780</v>
      </c>
      <c r="L984" s="27">
        <v>36</v>
      </c>
      <c r="M984" s="41" t="s">
        <v>1177</v>
      </c>
      <c r="N984" s="43" t="s">
        <v>2770</v>
      </c>
      <c r="O984" s="1" t="s">
        <v>1390</v>
      </c>
      <c r="P984" s="70" t="s">
        <v>2771</v>
      </c>
      <c r="Q984">
        <f t="shared" si="15"/>
        <v>3.9486805584976685</v>
      </c>
    </row>
    <row r="985" spans="2:17" x14ac:dyDescent="0.35">
      <c r="C985" s="54" t="s">
        <v>3438</v>
      </c>
      <c r="D985" s="71">
        <v>-7.6401447260275752</v>
      </c>
      <c r="E985" s="69">
        <v>80.161521609589158</v>
      </c>
      <c r="F985" s="72" t="s">
        <v>231</v>
      </c>
      <c r="G985" s="35">
        <v>72</v>
      </c>
      <c r="H985" s="1" t="s">
        <v>751</v>
      </c>
      <c r="I985" s="35">
        <v>23</v>
      </c>
      <c r="J985" s="46">
        <v>21</v>
      </c>
      <c r="K985" s="11" t="s">
        <v>466</v>
      </c>
      <c r="L985" s="27">
        <v>5</v>
      </c>
      <c r="M985" s="41" t="s">
        <v>859</v>
      </c>
      <c r="N985" s="41" t="s">
        <v>2774</v>
      </c>
      <c r="P985" s="81" t="s">
        <v>2775</v>
      </c>
      <c r="Q985">
        <f t="shared" si="15"/>
        <v>7.6401447260275752</v>
      </c>
    </row>
    <row r="986" spans="2:17" x14ac:dyDescent="0.35">
      <c r="C986" s="54" t="s">
        <v>3438</v>
      </c>
      <c r="D986" s="71">
        <v>3.1339172009336038</v>
      </c>
      <c r="E986" s="69">
        <v>74.94056869652934</v>
      </c>
      <c r="F986" s="72" t="s">
        <v>129</v>
      </c>
      <c r="G986" s="35">
        <v>19</v>
      </c>
      <c r="H986" s="1" t="s">
        <v>651</v>
      </c>
      <c r="I986" s="35">
        <v>23</v>
      </c>
      <c r="J986" s="46">
        <v>15</v>
      </c>
      <c r="K986" s="11" t="s">
        <v>679</v>
      </c>
      <c r="L986" s="27">
        <v>51</v>
      </c>
      <c r="M986" s="41" t="s">
        <v>702</v>
      </c>
      <c r="N986" s="41" t="s">
        <v>2777</v>
      </c>
      <c r="O986" t="s">
        <v>2281</v>
      </c>
      <c r="P986" s="70" t="s">
        <v>2778</v>
      </c>
      <c r="Q986">
        <f t="shared" si="15"/>
        <v>3.1339172009336038</v>
      </c>
    </row>
    <row r="987" spans="2:17" x14ac:dyDescent="0.35">
      <c r="C987" s="54" t="s">
        <v>3438</v>
      </c>
      <c r="D987" s="71">
        <v>1.3366300113530125</v>
      </c>
      <c r="E987" s="69">
        <v>69.550214563968012</v>
      </c>
      <c r="F987" s="72" t="s">
        <v>231</v>
      </c>
      <c r="G987" s="35">
        <v>37</v>
      </c>
      <c r="H987" s="1" t="s">
        <v>667</v>
      </c>
      <c r="I987" s="35">
        <v>25</v>
      </c>
      <c r="J987" s="46">
        <v>11</v>
      </c>
      <c r="K987" s="11" t="s">
        <v>729</v>
      </c>
      <c r="L987" s="27">
        <v>43</v>
      </c>
      <c r="M987" s="41" t="s">
        <v>844</v>
      </c>
      <c r="N987" s="43" t="s">
        <v>2780</v>
      </c>
      <c r="O987" s="1" t="s">
        <v>1390</v>
      </c>
      <c r="P987" s="70" t="s">
        <v>2781</v>
      </c>
      <c r="Q987">
        <f t="shared" si="15"/>
        <v>1.3366300113530125</v>
      </c>
    </row>
    <row r="988" spans="2:17" x14ac:dyDescent="0.35">
      <c r="C988" s="54" t="s">
        <v>3438</v>
      </c>
      <c r="D988" s="71">
        <v>7.3614989597379106</v>
      </c>
      <c r="E988" s="69">
        <v>51.914229255029376</v>
      </c>
      <c r="F988" s="72" t="s">
        <v>231</v>
      </c>
      <c r="G988" s="35">
        <v>27</v>
      </c>
      <c r="H988" s="1" t="s">
        <v>661</v>
      </c>
      <c r="I988" s="35">
        <v>27</v>
      </c>
      <c r="J988" s="46">
        <v>16</v>
      </c>
      <c r="K988" s="11" t="s">
        <v>1155</v>
      </c>
      <c r="L988" s="27">
        <v>90</v>
      </c>
      <c r="M988" s="41" t="s">
        <v>910</v>
      </c>
      <c r="N988" s="41" t="s">
        <v>2783</v>
      </c>
      <c r="O988" t="s">
        <v>2281</v>
      </c>
      <c r="P988" s="70" t="s">
        <v>2784</v>
      </c>
      <c r="Q988">
        <f t="shared" si="15"/>
        <v>7.3614989597379106</v>
      </c>
    </row>
    <row r="989" spans="2:17" x14ac:dyDescent="0.35">
      <c r="C989" s="54" t="s">
        <v>3438</v>
      </c>
      <c r="D989" s="71">
        <v>1.1887626923455963</v>
      </c>
      <c r="E989" s="69">
        <v>81.147384516458615</v>
      </c>
      <c r="F989" s="72" t="s">
        <v>129</v>
      </c>
      <c r="G989" s="35">
        <v>20</v>
      </c>
      <c r="H989" s="1" t="s">
        <v>334</v>
      </c>
      <c r="I989" s="35">
        <v>29</v>
      </c>
      <c r="J989" s="46">
        <v>7</v>
      </c>
      <c r="K989" s="11" t="s">
        <v>692</v>
      </c>
      <c r="L989" s="27">
        <v>35</v>
      </c>
      <c r="M989" s="41" t="s">
        <v>844</v>
      </c>
      <c r="N989" s="43" t="s">
        <v>2786</v>
      </c>
      <c r="O989" s="1" t="s">
        <v>1390</v>
      </c>
      <c r="P989" s="70" t="s">
        <v>2787</v>
      </c>
      <c r="Q989">
        <f t="shared" si="15"/>
        <v>1.1887626923455963</v>
      </c>
    </row>
    <row r="990" spans="2:17" x14ac:dyDescent="0.35">
      <c r="C990" s="54" t="s">
        <v>3438</v>
      </c>
      <c r="D990" s="71">
        <v>-0.98393236737856871</v>
      </c>
      <c r="E990" s="69">
        <v>79.289441269991627</v>
      </c>
      <c r="F990" s="72" t="s">
        <v>231</v>
      </c>
      <c r="G990" s="35">
        <v>41</v>
      </c>
      <c r="H990" s="1" t="s">
        <v>1165</v>
      </c>
      <c r="I990" s="35">
        <v>12</v>
      </c>
      <c r="J990" s="46">
        <v>8</v>
      </c>
      <c r="K990" s="11" t="s">
        <v>650</v>
      </c>
      <c r="L990" s="27">
        <v>24</v>
      </c>
      <c r="M990" s="41" t="s">
        <v>741</v>
      </c>
      <c r="N990" s="41" t="s">
        <v>2789</v>
      </c>
      <c r="P990" s="70" t="s">
        <v>2790</v>
      </c>
      <c r="Q990">
        <f t="shared" si="15"/>
        <v>0.98393236737856871</v>
      </c>
    </row>
    <row r="991" spans="2:17" x14ac:dyDescent="0.35">
      <c r="C991" s="54" t="s">
        <v>3438</v>
      </c>
      <c r="D991" s="71">
        <v>4.8280794509829379</v>
      </c>
      <c r="E991" s="69">
        <v>20.8451192179255</v>
      </c>
      <c r="F991" s="72" t="s">
        <v>231</v>
      </c>
      <c r="G991" s="35">
        <v>79</v>
      </c>
      <c r="H991" s="1" t="s">
        <v>676</v>
      </c>
      <c r="I991" s="35">
        <v>25</v>
      </c>
      <c r="J991" s="46">
        <v>15</v>
      </c>
      <c r="K991" s="11" t="s">
        <v>637</v>
      </c>
      <c r="L991" s="27">
        <v>106</v>
      </c>
      <c r="M991" s="41" t="s">
        <v>759</v>
      </c>
      <c r="N991" s="41" t="s">
        <v>2792</v>
      </c>
      <c r="P991" s="70" t="s">
        <v>2793</v>
      </c>
      <c r="Q991">
        <f t="shared" si="15"/>
        <v>4.8280794509829379</v>
      </c>
    </row>
    <row r="992" spans="2:17" x14ac:dyDescent="0.35">
      <c r="C992" s="54" t="s">
        <v>3438</v>
      </c>
      <c r="D992" s="71">
        <v>-2.6711261659231642</v>
      </c>
      <c r="E992" s="69">
        <v>93.130311480463789</v>
      </c>
      <c r="F992" s="72" t="s">
        <v>129</v>
      </c>
      <c r="G992" s="35">
        <v>18</v>
      </c>
      <c r="H992" s="1" t="s">
        <v>641</v>
      </c>
      <c r="I992" s="35">
        <v>18</v>
      </c>
      <c r="J992" s="46">
        <v>8</v>
      </c>
      <c r="K992" s="11" t="s">
        <v>642</v>
      </c>
      <c r="L992" s="27">
        <v>12</v>
      </c>
      <c r="M992" s="41" t="s">
        <v>739</v>
      </c>
      <c r="N992" s="43" t="s">
        <v>2795</v>
      </c>
      <c r="O992" s="1" t="s">
        <v>1390</v>
      </c>
      <c r="P992" s="70" t="s">
        <v>2796</v>
      </c>
      <c r="Q992">
        <f t="shared" si="15"/>
        <v>2.6711261659231642</v>
      </c>
    </row>
    <row r="993" spans="1:17" ht="15" thickBot="1" x14ac:dyDescent="0.4">
      <c r="C993" s="54" t="s">
        <v>3438</v>
      </c>
      <c r="D993" s="82">
        <v>6.402178812152777E-2</v>
      </c>
      <c r="E993" s="76">
        <v>33.83292853923443</v>
      </c>
      <c r="F993" s="83" t="s">
        <v>129</v>
      </c>
      <c r="G993" s="49">
        <v>75</v>
      </c>
      <c r="H993" s="45" t="s">
        <v>761</v>
      </c>
      <c r="I993" s="49">
        <v>28</v>
      </c>
      <c r="J993" s="50">
        <v>15</v>
      </c>
      <c r="K993" s="51" t="s">
        <v>1158</v>
      </c>
      <c r="L993" s="77">
        <v>86</v>
      </c>
      <c r="M993" s="42" t="s">
        <v>735</v>
      </c>
      <c r="N993" s="88" t="s">
        <v>2798</v>
      </c>
      <c r="O993" s="45" t="s">
        <v>1390</v>
      </c>
      <c r="P993" s="78" t="s">
        <v>2799</v>
      </c>
      <c r="Q993">
        <f t="shared" si="15"/>
        <v>6.402178812152777E-2</v>
      </c>
    </row>
    <row r="994" spans="1:17" x14ac:dyDescent="0.35">
      <c r="A994" s="2" t="s">
        <v>2800</v>
      </c>
      <c r="B994" s="103" t="s">
        <v>1339</v>
      </c>
      <c r="C994" s="11" t="s">
        <v>2801</v>
      </c>
      <c r="D994" s="71">
        <v>-7.6044446935854131</v>
      </c>
      <c r="E994" s="69">
        <v>23.735317638275287</v>
      </c>
      <c r="F994" s="72" t="s">
        <v>129</v>
      </c>
      <c r="G994" s="35">
        <v>112</v>
      </c>
      <c r="H994" s="1" t="s">
        <v>639</v>
      </c>
      <c r="I994" s="35">
        <v>24</v>
      </c>
      <c r="J994" s="46">
        <v>21</v>
      </c>
      <c r="K994" s="11" t="s">
        <v>633</v>
      </c>
      <c r="L994" s="27">
        <v>71</v>
      </c>
      <c r="M994" s="41" t="s">
        <v>796</v>
      </c>
      <c r="N994" s="41" t="s">
        <v>2802</v>
      </c>
      <c r="O994" t="s">
        <v>2281</v>
      </c>
      <c r="Q994">
        <f t="shared" si="15"/>
        <v>7.6044446935854131</v>
      </c>
    </row>
    <row r="995" spans="1:17" x14ac:dyDescent="0.35">
      <c r="D995" s="71">
        <v>-6.6026871540941228</v>
      </c>
      <c r="E995" s="69">
        <v>21.234062252924378</v>
      </c>
      <c r="F995" s="72" t="s">
        <v>129</v>
      </c>
      <c r="G995" s="35">
        <v>111</v>
      </c>
      <c r="H995" s="1" t="s">
        <v>737</v>
      </c>
      <c r="I995" s="35">
        <v>22</v>
      </c>
      <c r="J995" s="46">
        <v>20</v>
      </c>
      <c r="K995" s="11" t="s">
        <v>738</v>
      </c>
      <c r="L995" s="27">
        <v>76</v>
      </c>
      <c r="M995" s="41" t="s">
        <v>759</v>
      </c>
      <c r="N995" s="41" t="s">
        <v>2803</v>
      </c>
      <c r="O995" t="s">
        <v>2281</v>
      </c>
      <c r="P995" s="70" t="s">
        <v>2804</v>
      </c>
      <c r="Q995">
        <f t="shared" si="15"/>
        <v>6.6026871540941228</v>
      </c>
    </row>
    <row r="996" spans="1:17" x14ac:dyDescent="0.35">
      <c r="D996" s="71">
        <v>-3.6234306866850385</v>
      </c>
      <c r="E996" s="69">
        <v>7.498879061917874</v>
      </c>
      <c r="F996" s="72" t="s">
        <v>129</v>
      </c>
      <c r="G996" s="35">
        <v>110</v>
      </c>
      <c r="H996" s="1" t="s">
        <v>706</v>
      </c>
      <c r="I996" s="35">
        <v>29</v>
      </c>
      <c r="J996" s="46">
        <v>19</v>
      </c>
      <c r="K996" s="11" t="s">
        <v>732</v>
      </c>
      <c r="L996" s="27">
        <v>103</v>
      </c>
      <c r="M996" s="41" t="s">
        <v>881</v>
      </c>
      <c r="N996" s="41" t="s">
        <v>2805</v>
      </c>
      <c r="O996" t="s">
        <v>2281</v>
      </c>
      <c r="Q996">
        <f t="shared" si="15"/>
        <v>3.6234306866850385</v>
      </c>
    </row>
    <row r="997" spans="1:17" x14ac:dyDescent="0.35">
      <c r="D997" s="71">
        <v>-3.645310209902477</v>
      </c>
      <c r="E997" s="69">
        <v>19.121650149930336</v>
      </c>
      <c r="F997" s="72" t="s">
        <v>231</v>
      </c>
      <c r="G997" s="35">
        <v>109</v>
      </c>
      <c r="H997" s="1" t="s">
        <v>716</v>
      </c>
      <c r="I997" s="35">
        <v>20</v>
      </c>
      <c r="J997" s="46">
        <v>19</v>
      </c>
      <c r="K997" s="11" t="s">
        <v>774</v>
      </c>
      <c r="L997" s="27">
        <v>78</v>
      </c>
      <c r="M997" s="41" t="s">
        <v>786</v>
      </c>
      <c r="N997" s="41" t="s">
        <v>2806</v>
      </c>
      <c r="O997" s="6"/>
      <c r="P997" s="70" t="s">
        <v>2807</v>
      </c>
      <c r="Q997">
        <f t="shared" si="15"/>
        <v>3.645310209902477</v>
      </c>
    </row>
    <row r="998" spans="1:17" x14ac:dyDescent="0.35">
      <c r="D998" s="71">
        <v>12.324450621425724</v>
      </c>
      <c r="E998" s="69">
        <v>45.83967812755305</v>
      </c>
      <c r="F998" s="72" t="s">
        <v>231</v>
      </c>
      <c r="G998" s="35">
        <v>19</v>
      </c>
      <c r="H998" s="1" t="s">
        <v>334</v>
      </c>
      <c r="I998" s="35">
        <v>27</v>
      </c>
      <c r="J998" s="46">
        <v>23</v>
      </c>
      <c r="K998" s="11" t="s">
        <v>638</v>
      </c>
      <c r="L998" s="27">
        <v>108</v>
      </c>
      <c r="M998" s="41" t="s">
        <v>1004</v>
      </c>
      <c r="N998" s="41" t="s">
        <v>2808</v>
      </c>
      <c r="O998" s="6" t="s">
        <v>1386</v>
      </c>
      <c r="Q998">
        <f t="shared" si="15"/>
        <v>12.324450621425724</v>
      </c>
    </row>
    <row r="999" spans="1:17" x14ac:dyDescent="0.35">
      <c r="A999" s="2" t="s">
        <v>2809</v>
      </c>
      <c r="D999" s="71">
        <v>11.44008608219093</v>
      </c>
      <c r="E999" s="69">
        <v>48.25708136986362</v>
      </c>
      <c r="F999" s="72" t="s">
        <v>129</v>
      </c>
      <c r="G999" s="35">
        <v>15</v>
      </c>
      <c r="H999" s="1" t="s">
        <v>747</v>
      </c>
      <c r="I999" s="35">
        <v>16</v>
      </c>
      <c r="J999" s="46">
        <v>10</v>
      </c>
      <c r="K999" s="11" t="s">
        <v>720</v>
      </c>
      <c r="L999" s="27">
        <v>107</v>
      </c>
      <c r="M999" s="41" t="s">
        <v>1442</v>
      </c>
      <c r="N999" s="41" t="s">
        <v>2810</v>
      </c>
      <c r="O999" s="6" t="s">
        <v>1386</v>
      </c>
      <c r="P999" s="70" t="s">
        <v>2811</v>
      </c>
      <c r="Q999">
        <f t="shared" si="15"/>
        <v>11.44008608219093</v>
      </c>
    </row>
    <row r="1000" spans="1:17" x14ac:dyDescent="0.35">
      <c r="D1000" s="71">
        <v>7.3540626050941693</v>
      </c>
      <c r="E1000" s="69">
        <v>37.693526710647021</v>
      </c>
      <c r="F1000" s="72" t="s">
        <v>129</v>
      </c>
      <c r="G1000" s="35">
        <v>36</v>
      </c>
      <c r="H1000" s="1" t="s">
        <v>667</v>
      </c>
      <c r="I1000" s="35">
        <v>21</v>
      </c>
      <c r="J1000" s="46">
        <v>14</v>
      </c>
      <c r="K1000" s="11" t="s">
        <v>637</v>
      </c>
      <c r="L1000" s="27">
        <v>106</v>
      </c>
      <c r="M1000" s="41" t="s">
        <v>898</v>
      </c>
      <c r="N1000" s="41" t="s">
        <v>2812</v>
      </c>
      <c r="O1000" t="s">
        <v>2281</v>
      </c>
      <c r="Q1000">
        <f t="shared" si="15"/>
        <v>7.3540626050941693</v>
      </c>
    </row>
    <row r="1001" spans="1:17" x14ac:dyDescent="0.35">
      <c r="A1001" s="2" t="s">
        <v>2813</v>
      </c>
      <c r="D1001" s="71">
        <v>-6.4327797287967448</v>
      </c>
      <c r="E1001" s="69">
        <v>46.33591409199768</v>
      </c>
      <c r="F1001" s="72" t="s">
        <v>231</v>
      </c>
      <c r="G1001" s="35">
        <v>105</v>
      </c>
      <c r="H1001" s="1" t="s">
        <v>709</v>
      </c>
      <c r="I1001" s="35">
        <v>22</v>
      </c>
      <c r="J1001" s="46">
        <v>18</v>
      </c>
      <c r="K1001" s="11" t="s">
        <v>671</v>
      </c>
      <c r="L1001" s="27">
        <v>40</v>
      </c>
      <c r="M1001" s="41" t="s">
        <v>793</v>
      </c>
      <c r="N1001" s="41" t="s">
        <v>2814</v>
      </c>
      <c r="O1001" t="s">
        <v>2281</v>
      </c>
      <c r="Q1001">
        <f t="shared" si="15"/>
        <v>6.4327797287967448</v>
      </c>
    </row>
    <row r="1002" spans="1:17" x14ac:dyDescent="0.35">
      <c r="D1002" s="71">
        <v>-3.2860860310110511</v>
      </c>
      <c r="E1002" s="69">
        <v>17.525775736436465</v>
      </c>
      <c r="F1002" s="72" t="s">
        <v>129</v>
      </c>
      <c r="G1002" s="35">
        <v>104</v>
      </c>
      <c r="H1002" s="1" t="s">
        <v>757</v>
      </c>
      <c r="I1002" s="35">
        <v>21</v>
      </c>
      <c r="J1002" s="46">
        <v>14</v>
      </c>
      <c r="K1002" s="11" t="s">
        <v>1161</v>
      </c>
      <c r="L1002" s="27">
        <v>86</v>
      </c>
      <c r="M1002" s="41" t="s">
        <v>790</v>
      </c>
      <c r="N1002" s="41" t="s">
        <v>2815</v>
      </c>
      <c r="O1002" t="s">
        <v>2281</v>
      </c>
      <c r="Q1002">
        <f t="shared" si="15"/>
        <v>3.2860860310110511</v>
      </c>
    </row>
    <row r="1003" spans="1:17" x14ac:dyDescent="0.35">
      <c r="D1003" s="71">
        <v>7.1073249824328322</v>
      </c>
      <c r="E1003" s="69">
        <v>50.280482155405124</v>
      </c>
      <c r="F1003" s="72" t="s">
        <v>129</v>
      </c>
      <c r="G1003" s="35">
        <v>23</v>
      </c>
      <c r="H1003" s="1" t="s">
        <v>731</v>
      </c>
      <c r="I1003" s="35">
        <v>32</v>
      </c>
      <c r="J1003" s="46">
        <v>14</v>
      </c>
      <c r="K1003" s="11" t="s">
        <v>726</v>
      </c>
      <c r="L1003" s="27">
        <v>102</v>
      </c>
      <c r="M1003" s="41" t="s">
        <v>719</v>
      </c>
      <c r="N1003" s="43" t="s">
        <v>2816</v>
      </c>
      <c r="O1003" s="1" t="s">
        <v>1390</v>
      </c>
      <c r="Q1003">
        <f t="shared" si="15"/>
        <v>7.1073249824328322</v>
      </c>
    </row>
    <row r="1004" spans="1:17" x14ac:dyDescent="0.35">
      <c r="D1004" s="71">
        <v>8.0988588878435817</v>
      </c>
      <c r="E1004" s="69">
        <v>38.768672222968867</v>
      </c>
      <c r="F1004" s="72" t="s">
        <v>129</v>
      </c>
      <c r="G1004" s="35">
        <v>37</v>
      </c>
      <c r="H1004" s="1" t="s">
        <v>678</v>
      </c>
      <c r="I1004" s="35">
        <v>28</v>
      </c>
      <c r="J1004" s="46">
        <v>17</v>
      </c>
      <c r="K1004" s="11" t="s">
        <v>767</v>
      </c>
      <c r="L1004" s="27">
        <v>101</v>
      </c>
      <c r="M1004" s="41" t="s">
        <v>806</v>
      </c>
      <c r="N1004" s="41" t="s">
        <v>2817</v>
      </c>
      <c r="O1004" t="s">
        <v>2281</v>
      </c>
      <c r="Q1004">
        <f t="shared" si="15"/>
        <v>8.0988588878435817</v>
      </c>
    </row>
    <row r="1005" spans="1:17" x14ac:dyDescent="0.35">
      <c r="D1005" s="71">
        <v>-7.5350442296386992</v>
      </c>
      <c r="E1005" s="69">
        <v>47.525031592599078</v>
      </c>
      <c r="F1005" s="72" t="s">
        <v>129</v>
      </c>
      <c r="G1005" s="35">
        <v>100</v>
      </c>
      <c r="H1005" s="1" t="s">
        <v>1157</v>
      </c>
      <c r="I1005" s="35">
        <v>9</v>
      </c>
      <c r="J1005" s="46">
        <v>7</v>
      </c>
      <c r="K1005" s="11" t="s">
        <v>785</v>
      </c>
      <c r="L1005" s="27">
        <v>44</v>
      </c>
      <c r="M1005" s="41" t="s">
        <v>2818</v>
      </c>
      <c r="N1005" s="41" t="s">
        <v>2819</v>
      </c>
      <c r="O1005" t="s">
        <v>2281</v>
      </c>
      <c r="P1005" s="70" t="s">
        <v>2820</v>
      </c>
      <c r="Q1005">
        <f t="shared" si="15"/>
        <v>7.5350442296386992</v>
      </c>
    </row>
    <row r="1006" spans="1:17" x14ac:dyDescent="0.35">
      <c r="D1006" s="71">
        <v>0.59706038479726686</v>
      </c>
      <c r="E1006" s="69">
        <v>13.412814010859098</v>
      </c>
      <c r="F1006" s="72" t="s">
        <v>231</v>
      </c>
      <c r="G1006" s="35">
        <v>99</v>
      </c>
      <c r="H1006" s="1" t="s">
        <v>792</v>
      </c>
      <c r="I1006" s="35">
        <v>21</v>
      </c>
      <c r="J1006" s="46">
        <v>18</v>
      </c>
      <c r="K1006" s="11" t="s">
        <v>1156</v>
      </c>
      <c r="L1006" s="27">
        <v>94</v>
      </c>
      <c r="M1006" s="41" t="s">
        <v>719</v>
      </c>
      <c r="N1006" s="41" t="s">
        <v>2821</v>
      </c>
      <c r="O1006" t="s">
        <v>2281</v>
      </c>
      <c r="Q1006">
        <f t="shared" si="15"/>
        <v>0.59706038479726686</v>
      </c>
    </row>
    <row r="1007" spans="1:17" x14ac:dyDescent="0.35">
      <c r="D1007" s="71">
        <v>-2.6600119825226831</v>
      </c>
      <c r="E1007" s="69">
        <v>20.203579987516207</v>
      </c>
      <c r="F1007" s="72" t="s">
        <v>129</v>
      </c>
      <c r="G1007" s="35">
        <v>98</v>
      </c>
      <c r="H1007" s="1" t="s">
        <v>722</v>
      </c>
      <c r="I1007" s="35">
        <v>31</v>
      </c>
      <c r="J1007" s="46">
        <v>16</v>
      </c>
      <c r="K1007" s="11" t="s">
        <v>756</v>
      </c>
      <c r="L1007" s="27">
        <v>85</v>
      </c>
      <c r="M1007" s="41" t="s">
        <v>1211</v>
      </c>
      <c r="N1007" s="43" t="s">
        <v>2822</v>
      </c>
      <c r="O1007" s="1" t="s">
        <v>1390</v>
      </c>
      <c r="Q1007">
        <f t="shared" si="15"/>
        <v>2.6600119825226831</v>
      </c>
    </row>
    <row r="1008" spans="1:17" x14ac:dyDescent="0.35">
      <c r="A1008" s="2" t="s">
        <v>2823</v>
      </c>
      <c r="D1008" s="71">
        <v>0.14029672410720292</v>
      </c>
      <c r="E1008" s="69">
        <v>41.417645197066285</v>
      </c>
      <c r="F1008" s="72" t="s">
        <v>231</v>
      </c>
      <c r="G1008" s="35">
        <v>70</v>
      </c>
      <c r="H1008" s="1" t="s">
        <v>761</v>
      </c>
      <c r="I1008" s="35">
        <v>11</v>
      </c>
      <c r="J1008" s="46">
        <v>9</v>
      </c>
      <c r="K1008" s="11" t="s">
        <v>750</v>
      </c>
      <c r="L1008" s="27">
        <v>61</v>
      </c>
      <c r="M1008" s="41" t="s">
        <v>770</v>
      </c>
      <c r="N1008" s="41" t="s">
        <v>2824</v>
      </c>
      <c r="O1008" t="s">
        <v>2281</v>
      </c>
      <c r="P1008" s="70" t="s">
        <v>2825</v>
      </c>
      <c r="Q1008">
        <f t="shared" si="15"/>
        <v>0.14029672410720292</v>
      </c>
    </row>
    <row r="1009" spans="1:17" x14ac:dyDescent="0.35">
      <c r="D1009" s="71">
        <v>0.4119876752891653</v>
      </c>
      <c r="E1009" s="69">
        <v>49.884294517650595</v>
      </c>
      <c r="F1009" s="72" t="s">
        <v>129</v>
      </c>
      <c r="G1009" s="35">
        <v>55</v>
      </c>
      <c r="H1009" s="1" t="s">
        <v>755</v>
      </c>
      <c r="I1009" s="35">
        <v>22</v>
      </c>
      <c r="J1009" s="46">
        <v>11</v>
      </c>
      <c r="K1009" s="11" t="s">
        <v>765</v>
      </c>
      <c r="L1009" s="27">
        <v>69</v>
      </c>
      <c r="M1009" s="41" t="s">
        <v>748</v>
      </c>
      <c r="N1009" s="43" t="s">
        <v>2826</v>
      </c>
      <c r="O1009" s="1" t="s">
        <v>1390</v>
      </c>
      <c r="Q1009">
        <f t="shared" si="15"/>
        <v>0.4119876752891653</v>
      </c>
    </row>
    <row r="1010" spans="1:17" x14ac:dyDescent="0.35">
      <c r="D1010" s="71">
        <v>0.72851754203339047</v>
      </c>
      <c r="E1010" s="69">
        <v>52.87248746997615</v>
      </c>
      <c r="F1010" s="72" t="s">
        <v>129</v>
      </c>
      <c r="G1010" s="35">
        <v>48</v>
      </c>
      <c r="H1010" s="1" t="s">
        <v>652</v>
      </c>
      <c r="I1010" s="35">
        <v>22</v>
      </c>
      <c r="J1010" s="46">
        <v>7</v>
      </c>
      <c r="K1010" s="11" t="s">
        <v>634</v>
      </c>
      <c r="L1010" s="27">
        <v>68</v>
      </c>
      <c r="M1010" s="41" t="s">
        <v>905</v>
      </c>
      <c r="N1010" s="43" t="s">
        <v>2827</v>
      </c>
      <c r="O1010" s="1" t="s">
        <v>1390</v>
      </c>
      <c r="Q1010">
        <f t="shared" si="15"/>
        <v>0.72851754203339047</v>
      </c>
    </row>
    <row r="1011" spans="1:17" x14ac:dyDescent="0.35">
      <c r="D1011" s="71">
        <v>8.0504472673095204</v>
      </c>
      <c r="E1011" s="69">
        <v>69.249680523350349</v>
      </c>
      <c r="F1011" s="72" t="s">
        <v>129</v>
      </c>
      <c r="G1011" s="35">
        <v>3</v>
      </c>
      <c r="H1011" s="1" t="s">
        <v>468</v>
      </c>
      <c r="I1011" s="35">
        <v>23</v>
      </c>
      <c r="J1011" s="46">
        <v>17</v>
      </c>
      <c r="K1011" s="11" t="s">
        <v>712</v>
      </c>
      <c r="L1011" s="27">
        <v>67</v>
      </c>
      <c r="M1011" s="41" t="s">
        <v>786</v>
      </c>
      <c r="N1011" s="41" t="s">
        <v>2828</v>
      </c>
      <c r="O1011" t="s">
        <v>2281</v>
      </c>
      <c r="Q1011">
        <f t="shared" si="15"/>
        <v>8.0504472673095204</v>
      </c>
    </row>
    <row r="1012" spans="1:17" x14ac:dyDescent="0.35">
      <c r="D1012" s="71">
        <v>-1.5508726275522293</v>
      </c>
      <c r="E1012" s="69">
        <v>57.313123305394441</v>
      </c>
      <c r="F1012" s="72" t="s">
        <v>231</v>
      </c>
      <c r="G1012" s="35">
        <v>66</v>
      </c>
      <c r="H1012" s="1" t="s">
        <v>772</v>
      </c>
      <c r="I1012" s="35">
        <v>25</v>
      </c>
      <c r="J1012" s="46">
        <v>13</v>
      </c>
      <c r="K1012" s="11" t="s">
        <v>666</v>
      </c>
      <c r="L1012" s="27">
        <v>43</v>
      </c>
      <c r="M1012" s="41" t="s">
        <v>823</v>
      </c>
      <c r="N1012" s="43" t="s">
        <v>2829</v>
      </c>
      <c r="O1012" s="1" t="s">
        <v>1390</v>
      </c>
      <c r="Q1012">
        <f t="shared" si="15"/>
        <v>1.5508726275522293</v>
      </c>
    </row>
    <row r="1013" spans="1:17" x14ac:dyDescent="0.35">
      <c r="D1013" s="71">
        <v>-8.2906173042558358</v>
      </c>
      <c r="E1013" s="69">
        <v>79.136155217325594</v>
      </c>
      <c r="F1013" s="72" t="s">
        <v>129</v>
      </c>
      <c r="G1013" s="35">
        <v>65</v>
      </c>
      <c r="H1013" s="1" t="s">
        <v>771</v>
      </c>
      <c r="I1013" s="35">
        <v>17</v>
      </c>
      <c r="J1013" s="46">
        <v>14</v>
      </c>
      <c r="K1013" s="11" t="s">
        <v>647</v>
      </c>
      <c r="L1013" s="27">
        <v>10</v>
      </c>
      <c r="M1013" s="41" t="s">
        <v>870</v>
      </c>
      <c r="N1013" s="41" t="s">
        <v>2830</v>
      </c>
      <c r="O1013" t="s">
        <v>2281</v>
      </c>
      <c r="P1013" s="70" t="s">
        <v>2831</v>
      </c>
      <c r="Q1013">
        <f t="shared" si="15"/>
        <v>8.2906173042558358</v>
      </c>
    </row>
    <row r="1014" spans="1:17" x14ac:dyDescent="0.35">
      <c r="D1014" s="71">
        <v>-2.3160574616011775</v>
      </c>
      <c r="E1014" s="69">
        <v>54.243612472572266</v>
      </c>
      <c r="F1014" s="72" t="s">
        <v>129</v>
      </c>
      <c r="G1014" s="35">
        <v>64</v>
      </c>
      <c r="H1014" s="1" t="s">
        <v>673</v>
      </c>
      <c r="I1014" s="35">
        <v>13</v>
      </c>
      <c r="J1014" s="46">
        <v>10</v>
      </c>
      <c r="K1014" s="11" t="s">
        <v>1160</v>
      </c>
      <c r="L1014" s="27">
        <v>54</v>
      </c>
      <c r="M1014" s="41" t="s">
        <v>839</v>
      </c>
      <c r="N1014" s="41" t="s">
        <v>2832</v>
      </c>
      <c r="O1014" t="s">
        <v>2281</v>
      </c>
      <c r="Q1014">
        <f t="shared" si="15"/>
        <v>2.3160574616011775</v>
      </c>
    </row>
    <row r="1015" spans="1:17" x14ac:dyDescent="0.35">
      <c r="A1015" s="2" t="s">
        <v>2833</v>
      </c>
      <c r="D1015" s="71">
        <v>7.6940927392304488</v>
      </c>
      <c r="E1015" s="69">
        <v>71.289933757692538</v>
      </c>
      <c r="F1015" s="72" t="s">
        <v>129</v>
      </c>
      <c r="G1015" s="35">
        <v>2</v>
      </c>
      <c r="H1015" s="1" t="s">
        <v>245</v>
      </c>
      <c r="I1015" s="35">
        <v>30</v>
      </c>
      <c r="J1015" s="46">
        <v>11</v>
      </c>
      <c r="K1015" s="11" t="s">
        <v>742</v>
      </c>
      <c r="L1015" s="27">
        <v>63</v>
      </c>
      <c r="M1015" s="41" t="s">
        <v>759</v>
      </c>
      <c r="N1015" s="43" t="s">
        <v>2834</v>
      </c>
      <c r="O1015" s="1" t="s">
        <v>1390</v>
      </c>
      <c r="Q1015">
        <f t="shared" si="15"/>
        <v>7.6940927392304488</v>
      </c>
    </row>
    <row r="1016" spans="1:17" x14ac:dyDescent="0.35">
      <c r="D1016" s="71">
        <v>-3.2705560379081855</v>
      </c>
      <c r="E1016" s="69">
        <v>60.952182884220129</v>
      </c>
      <c r="F1016" s="72" t="s">
        <v>129</v>
      </c>
      <c r="G1016" s="35">
        <v>62</v>
      </c>
      <c r="H1016" s="1" t="s">
        <v>763</v>
      </c>
      <c r="I1016" s="35">
        <v>13</v>
      </c>
      <c r="J1016" s="46">
        <v>12</v>
      </c>
      <c r="K1016" s="11" t="s">
        <v>1165</v>
      </c>
      <c r="L1016" s="27">
        <v>41</v>
      </c>
      <c r="M1016" s="41" t="s">
        <v>707</v>
      </c>
      <c r="N1016" s="41" t="s">
        <v>2835</v>
      </c>
      <c r="O1016" t="s">
        <v>2281</v>
      </c>
      <c r="Q1016">
        <f t="shared" si="15"/>
        <v>3.2705560379081855</v>
      </c>
    </row>
    <row r="1017" spans="1:17" x14ac:dyDescent="0.35">
      <c r="D1017" s="71">
        <v>-1.9004566900863555</v>
      </c>
      <c r="E1017" s="69">
        <v>63.58961192149026</v>
      </c>
      <c r="F1017" s="72" t="s">
        <v>231</v>
      </c>
      <c r="G1017" s="35">
        <v>60</v>
      </c>
      <c r="H1017" s="1" t="s">
        <v>681</v>
      </c>
      <c r="I1017" s="35">
        <v>15</v>
      </c>
      <c r="J1017" s="46">
        <v>6</v>
      </c>
      <c r="K1017" s="11" t="s">
        <v>649</v>
      </c>
      <c r="L1017" s="27">
        <v>34</v>
      </c>
      <c r="M1017" s="41" t="s">
        <v>801</v>
      </c>
      <c r="N1017" s="41" t="s">
        <v>2836</v>
      </c>
      <c r="O1017" t="s">
        <v>2281</v>
      </c>
      <c r="Q1017">
        <f t="shared" si="15"/>
        <v>1.9004566900863555</v>
      </c>
    </row>
    <row r="1018" spans="1:17" x14ac:dyDescent="0.35">
      <c r="D1018" s="71">
        <v>-4.1631035673870107</v>
      </c>
      <c r="E1018" s="69">
        <v>33.330788262419297</v>
      </c>
      <c r="F1018" s="72" t="s">
        <v>231</v>
      </c>
      <c r="G1018" s="35">
        <v>97</v>
      </c>
      <c r="H1018" s="1" t="s">
        <v>700</v>
      </c>
      <c r="I1018" s="35">
        <v>22</v>
      </c>
      <c r="J1018" s="46">
        <v>12</v>
      </c>
      <c r="K1018" s="11" t="s">
        <v>776</v>
      </c>
      <c r="L1018" s="27">
        <v>59</v>
      </c>
      <c r="M1018" s="41" t="s">
        <v>790</v>
      </c>
      <c r="N1018" s="41" t="s">
        <v>2837</v>
      </c>
      <c r="O1018" t="s">
        <v>2281</v>
      </c>
      <c r="Q1018">
        <f t="shared" si="15"/>
        <v>4.1631035673870107</v>
      </c>
    </row>
    <row r="1019" spans="1:17" x14ac:dyDescent="0.35">
      <c r="D1019" s="71">
        <v>5.1405912132153624</v>
      </c>
      <c r="E1019" s="69">
        <v>28.917434847703316</v>
      </c>
      <c r="F1019" s="72" t="s">
        <v>231</v>
      </c>
      <c r="G1019" s="35">
        <v>58</v>
      </c>
      <c r="H1019" s="1" t="s">
        <v>665</v>
      </c>
      <c r="I1019" s="35">
        <v>27</v>
      </c>
      <c r="J1019" s="46">
        <v>26</v>
      </c>
      <c r="K1019" s="11" t="s">
        <v>734</v>
      </c>
      <c r="L1019" s="27">
        <v>93</v>
      </c>
      <c r="M1019" s="41" t="s">
        <v>1024</v>
      </c>
      <c r="N1019" s="41" t="s">
        <v>2838</v>
      </c>
      <c r="O1019" t="s">
        <v>2281</v>
      </c>
      <c r="P1019" s="70" t="s">
        <v>2839</v>
      </c>
      <c r="Q1019">
        <f t="shared" si="15"/>
        <v>5.1405912132153624</v>
      </c>
    </row>
    <row r="1020" spans="1:17" x14ac:dyDescent="0.35">
      <c r="D1020" s="71">
        <v>-1.946537074840718</v>
      </c>
      <c r="E1020" s="69">
        <v>59.604669339171949</v>
      </c>
      <c r="F1020" s="72" t="s">
        <v>129</v>
      </c>
      <c r="G1020" s="35">
        <v>57</v>
      </c>
      <c r="H1020" s="1" t="s">
        <v>778</v>
      </c>
      <c r="I1020" s="35">
        <v>20</v>
      </c>
      <c r="J1020" s="46">
        <v>16</v>
      </c>
      <c r="K1020" s="11" t="s">
        <v>783</v>
      </c>
      <c r="L1020" s="27">
        <v>47</v>
      </c>
      <c r="M1020" s="41" t="s">
        <v>759</v>
      </c>
      <c r="N1020" s="41" t="s">
        <v>2840</v>
      </c>
      <c r="O1020" t="s">
        <v>2281</v>
      </c>
      <c r="Q1020">
        <f t="shared" si="15"/>
        <v>1.946537074840718</v>
      </c>
    </row>
    <row r="1021" spans="1:17" x14ac:dyDescent="0.35">
      <c r="D1021" s="71">
        <v>2.1112082861740156</v>
      </c>
      <c r="E1021" s="69">
        <v>44.972154199678194</v>
      </c>
      <c r="F1021" s="72" t="s">
        <v>129</v>
      </c>
      <c r="G1021" s="35">
        <v>56</v>
      </c>
      <c r="H1021" s="1" t="s">
        <v>693</v>
      </c>
      <c r="I1021" s="35">
        <v>17</v>
      </c>
      <c r="J1021" s="46">
        <v>16</v>
      </c>
      <c r="K1021" s="11" t="s">
        <v>1162</v>
      </c>
      <c r="L1021" s="27">
        <v>80</v>
      </c>
      <c r="M1021" s="41" t="s">
        <v>831</v>
      </c>
      <c r="N1021" s="41" t="s">
        <v>2841</v>
      </c>
      <c r="O1021" s="6" t="s">
        <v>1386</v>
      </c>
      <c r="P1021" s="81" t="s">
        <v>1811</v>
      </c>
      <c r="Q1021">
        <f t="shared" si="15"/>
        <v>2.1112082861740156</v>
      </c>
    </row>
    <row r="1022" spans="1:17" x14ac:dyDescent="0.35">
      <c r="D1022" s="71">
        <v>9.0776061349867252</v>
      </c>
      <c r="E1022" s="69">
        <v>57.087424189295199</v>
      </c>
      <c r="F1022" s="72" t="s">
        <v>129</v>
      </c>
      <c r="G1022" s="35">
        <v>6</v>
      </c>
      <c r="H1022" s="1" t="s">
        <v>643</v>
      </c>
      <c r="I1022" s="35">
        <v>26</v>
      </c>
      <c r="J1022" s="46">
        <v>22</v>
      </c>
      <c r="K1022" s="11" t="s">
        <v>1164</v>
      </c>
      <c r="L1022" s="27">
        <v>96</v>
      </c>
      <c r="M1022" s="41" t="s">
        <v>727</v>
      </c>
      <c r="N1022" s="41" t="s">
        <v>2842</v>
      </c>
      <c r="O1022" s="6" t="s">
        <v>1386</v>
      </c>
      <c r="P1022" s="70" t="s">
        <v>2843</v>
      </c>
      <c r="Q1022">
        <f t="shared" si="15"/>
        <v>9.0776061349867252</v>
      </c>
    </row>
    <row r="1023" spans="1:17" x14ac:dyDescent="0.35">
      <c r="D1023" s="71">
        <v>-5.560384213831604</v>
      </c>
      <c r="E1023" s="69">
        <v>44.50741729559401</v>
      </c>
      <c r="F1023" s="72" t="s">
        <v>129</v>
      </c>
      <c r="G1023" s="35">
        <v>95</v>
      </c>
      <c r="H1023" s="1" t="s">
        <v>631</v>
      </c>
      <c r="I1023" s="35">
        <v>17</v>
      </c>
      <c r="J1023" s="46">
        <v>7</v>
      </c>
      <c r="K1023" s="11" t="s">
        <v>632</v>
      </c>
      <c r="L1023" s="27">
        <v>53</v>
      </c>
      <c r="M1023" s="41" t="s">
        <v>852</v>
      </c>
      <c r="N1023" s="43" t="s">
        <v>2844</v>
      </c>
      <c r="O1023" s="1" t="s">
        <v>1390</v>
      </c>
      <c r="P1023" s="70" t="s">
        <v>2845</v>
      </c>
      <c r="Q1023">
        <f t="shared" si="15"/>
        <v>5.560384213831604</v>
      </c>
    </row>
    <row r="1024" spans="1:17" x14ac:dyDescent="0.35">
      <c r="D1024" s="71">
        <v>5.1413055057679609</v>
      </c>
      <c r="E1024" s="69">
        <v>46.907996067308602</v>
      </c>
      <c r="F1024" s="72" t="s">
        <v>129</v>
      </c>
      <c r="G1024" s="35">
        <v>31</v>
      </c>
      <c r="H1024" s="1" t="s">
        <v>753</v>
      </c>
      <c r="I1024" s="35">
        <v>25</v>
      </c>
      <c r="J1024" s="46">
        <v>13</v>
      </c>
      <c r="K1024" s="11" t="s">
        <v>723</v>
      </c>
      <c r="L1024" s="27">
        <v>92</v>
      </c>
      <c r="M1024" s="41" t="s">
        <v>773</v>
      </c>
      <c r="N1024" s="41" t="s">
        <v>2846</v>
      </c>
      <c r="O1024" t="s">
        <v>2281</v>
      </c>
      <c r="Q1024">
        <f t="shared" si="15"/>
        <v>5.1413055057679609</v>
      </c>
    </row>
    <row r="1025" spans="1:17" x14ac:dyDescent="0.35">
      <c r="D1025" s="71">
        <v>0.71836404201942883</v>
      </c>
      <c r="E1025" s="69">
        <v>21.361882827128976</v>
      </c>
      <c r="F1025" s="72" t="s">
        <v>231</v>
      </c>
      <c r="G1025" s="35">
        <v>91</v>
      </c>
      <c r="H1025" s="1" t="s">
        <v>764</v>
      </c>
      <c r="I1025" s="35">
        <v>22</v>
      </c>
      <c r="J1025" s="46">
        <v>11</v>
      </c>
      <c r="K1025" s="11" t="s">
        <v>779</v>
      </c>
      <c r="L1025" s="27">
        <v>84</v>
      </c>
      <c r="M1025" s="41" t="s">
        <v>823</v>
      </c>
      <c r="N1025" s="43" t="s">
        <v>2847</v>
      </c>
      <c r="O1025" s="1" t="s">
        <v>1390</v>
      </c>
      <c r="Q1025">
        <f t="shared" si="15"/>
        <v>0.71836404201942883</v>
      </c>
    </row>
    <row r="1026" spans="1:17" x14ac:dyDescent="0.35">
      <c r="A1026" s="2" t="s">
        <v>2848</v>
      </c>
      <c r="D1026" s="71">
        <v>9.4748607934300786</v>
      </c>
      <c r="E1026" s="69">
        <v>56.803670861835656</v>
      </c>
      <c r="F1026" s="72" t="s">
        <v>231</v>
      </c>
      <c r="G1026" s="35">
        <v>12</v>
      </c>
      <c r="H1026" s="1" t="s">
        <v>718</v>
      </c>
      <c r="I1026" s="35">
        <v>34</v>
      </c>
      <c r="J1026" s="46">
        <v>16</v>
      </c>
      <c r="K1026" s="11" t="s">
        <v>1155</v>
      </c>
      <c r="L1026" s="27">
        <v>90</v>
      </c>
      <c r="M1026" s="41" t="s">
        <v>744</v>
      </c>
      <c r="N1026" s="41" t="s">
        <v>2849</v>
      </c>
      <c r="O1026" t="s">
        <v>2281</v>
      </c>
      <c r="Q1026">
        <f t="shared" si="15"/>
        <v>9.4748607934300786</v>
      </c>
    </row>
    <row r="1027" spans="1:17" x14ac:dyDescent="0.35">
      <c r="D1027" s="71">
        <v>10.223718189246727</v>
      </c>
      <c r="E1027" s="69">
        <v>57.697344150538058</v>
      </c>
      <c r="F1027" s="72" t="s">
        <v>231</v>
      </c>
      <c r="G1027" s="35">
        <v>9</v>
      </c>
      <c r="H1027" s="1" t="s">
        <v>467</v>
      </c>
      <c r="I1027" s="35">
        <v>40</v>
      </c>
      <c r="J1027" s="46">
        <v>14</v>
      </c>
      <c r="K1027" s="11" t="s">
        <v>1158</v>
      </c>
      <c r="L1027" s="27">
        <v>89</v>
      </c>
      <c r="M1027" s="41" t="s">
        <v>719</v>
      </c>
      <c r="N1027" s="43" t="s">
        <v>2850</v>
      </c>
      <c r="O1027" s="1" t="s">
        <v>1390</v>
      </c>
      <c r="Q1027">
        <f t="shared" ref="Q1027:Q1090" si="16">ABS(D1027)</f>
        <v>10.223718189246727</v>
      </c>
    </row>
    <row r="1028" spans="1:17" x14ac:dyDescent="0.35">
      <c r="D1028" s="71">
        <v>5.5290886487470621</v>
      </c>
      <c r="E1028" s="69">
        <v>49.041722393752096</v>
      </c>
      <c r="F1028" s="72" t="s">
        <v>129</v>
      </c>
      <c r="G1028" s="35">
        <v>29</v>
      </c>
      <c r="H1028" s="1" t="s">
        <v>646</v>
      </c>
      <c r="I1028" s="35">
        <v>25</v>
      </c>
      <c r="J1028" s="46">
        <v>11</v>
      </c>
      <c r="K1028" s="11" t="s">
        <v>582</v>
      </c>
      <c r="L1028" s="27">
        <v>88</v>
      </c>
      <c r="M1028" s="41" t="s">
        <v>721</v>
      </c>
      <c r="N1028" s="41" t="s">
        <v>2851</v>
      </c>
      <c r="O1028" t="s">
        <v>2281</v>
      </c>
      <c r="Q1028">
        <f t="shared" si="16"/>
        <v>5.5290886487470621</v>
      </c>
    </row>
    <row r="1029" spans="1:17" x14ac:dyDescent="0.35">
      <c r="D1029" s="71">
        <v>2.8814815340432411</v>
      </c>
      <c r="E1029" s="69">
        <v>42.093584618540532</v>
      </c>
      <c r="F1029" s="72" t="s">
        <v>129</v>
      </c>
      <c r="G1029" s="35">
        <v>52</v>
      </c>
      <c r="H1029" s="1" t="s">
        <v>701</v>
      </c>
      <c r="I1029" s="35">
        <v>15</v>
      </c>
      <c r="J1029" s="46">
        <v>13</v>
      </c>
      <c r="K1029" s="11" t="s">
        <v>777</v>
      </c>
      <c r="L1029" s="27">
        <v>87</v>
      </c>
      <c r="M1029" s="41" t="s">
        <v>769</v>
      </c>
      <c r="N1029" s="41" t="s">
        <v>2852</v>
      </c>
      <c r="O1029" t="s">
        <v>2281</v>
      </c>
      <c r="Q1029">
        <f t="shared" si="16"/>
        <v>2.8814815340432411</v>
      </c>
    </row>
    <row r="1030" spans="1:17" x14ac:dyDescent="0.35">
      <c r="D1030" s="71">
        <v>-5.3078211406905487</v>
      </c>
      <c r="E1030" s="69">
        <v>59.594872243350395</v>
      </c>
      <c r="F1030" s="72" t="s">
        <v>231</v>
      </c>
      <c r="G1030" s="35">
        <v>83</v>
      </c>
      <c r="H1030" s="1" t="s">
        <v>635</v>
      </c>
      <c r="I1030" s="35">
        <v>28</v>
      </c>
      <c r="J1030" s="46">
        <v>17</v>
      </c>
      <c r="K1030" s="11" t="s">
        <v>630</v>
      </c>
      <c r="L1030" s="27">
        <v>27</v>
      </c>
      <c r="M1030" s="41" t="s">
        <v>1237</v>
      </c>
      <c r="N1030" s="43" t="s">
        <v>2853</v>
      </c>
      <c r="O1030" s="1" t="s">
        <v>1390</v>
      </c>
      <c r="Q1030">
        <f t="shared" si="16"/>
        <v>5.3078211406905487</v>
      </c>
    </row>
    <row r="1031" spans="1:17" x14ac:dyDescent="0.35">
      <c r="D1031" s="71">
        <v>6.9550467135144025</v>
      </c>
      <c r="E1031" s="69">
        <v>46.81782377606114</v>
      </c>
      <c r="F1031" s="72" t="s">
        <v>231</v>
      </c>
      <c r="G1031" s="35">
        <v>38</v>
      </c>
      <c r="H1031" s="1" t="s">
        <v>629</v>
      </c>
      <c r="I1031" s="35">
        <v>22</v>
      </c>
      <c r="J1031" s="46">
        <v>21</v>
      </c>
      <c r="K1031" s="11" t="s">
        <v>636</v>
      </c>
      <c r="L1031" s="27">
        <v>82</v>
      </c>
      <c r="M1031" s="41" t="s">
        <v>702</v>
      </c>
      <c r="N1031" s="41" t="s">
        <v>2854</v>
      </c>
      <c r="O1031" s="6" t="s">
        <v>1386</v>
      </c>
      <c r="Q1031">
        <f t="shared" si="16"/>
        <v>6.9550467135144025</v>
      </c>
    </row>
    <row r="1032" spans="1:17" x14ac:dyDescent="0.35">
      <c r="D1032" s="71">
        <v>9.0604606018159597</v>
      </c>
      <c r="E1032" s="69">
        <v>58.528242427274314</v>
      </c>
      <c r="F1032" s="72" t="s">
        <v>231</v>
      </c>
      <c r="G1032" s="35">
        <v>17</v>
      </c>
      <c r="H1032" s="1" t="s">
        <v>651</v>
      </c>
      <c r="I1032" s="35">
        <v>29</v>
      </c>
      <c r="J1032" s="46">
        <v>15</v>
      </c>
      <c r="K1032" s="11" t="s">
        <v>760</v>
      </c>
      <c r="L1032" s="27">
        <v>81</v>
      </c>
      <c r="M1032" s="41" t="s">
        <v>851</v>
      </c>
      <c r="N1032" s="41" t="s">
        <v>2855</v>
      </c>
      <c r="O1032" t="s">
        <v>2281</v>
      </c>
      <c r="Q1032">
        <f t="shared" si="16"/>
        <v>9.0604606018159597</v>
      </c>
    </row>
    <row r="1033" spans="1:17" x14ac:dyDescent="0.35">
      <c r="D1033" s="71">
        <v>-0.30342231730174651</v>
      </c>
      <c r="E1033" s="69">
        <v>34.149895622111224</v>
      </c>
      <c r="F1033" s="72" t="s">
        <v>129</v>
      </c>
      <c r="G1033" s="35">
        <v>72</v>
      </c>
      <c r="H1033" s="1" t="s">
        <v>768</v>
      </c>
      <c r="I1033" s="35">
        <v>14</v>
      </c>
      <c r="J1033" s="46">
        <v>12</v>
      </c>
      <c r="K1033" s="11" t="s">
        <v>1163</v>
      </c>
      <c r="L1033" s="27">
        <v>79</v>
      </c>
      <c r="M1033" s="41" t="s">
        <v>857</v>
      </c>
      <c r="N1033" s="41" t="s">
        <v>2856</v>
      </c>
      <c r="O1033" t="s">
        <v>2281</v>
      </c>
      <c r="P1033" s="81" t="s">
        <v>2857</v>
      </c>
      <c r="Q1033">
        <f t="shared" si="16"/>
        <v>0.30342231730174651</v>
      </c>
    </row>
    <row r="1034" spans="1:17" x14ac:dyDescent="0.35">
      <c r="A1034" s="2" t="s">
        <v>2858</v>
      </c>
      <c r="D1034" s="71">
        <v>8.4803774275108452</v>
      </c>
      <c r="E1034" s="69">
        <v>60.728301837492246</v>
      </c>
      <c r="F1034" s="72" t="s">
        <v>231</v>
      </c>
      <c r="G1034" s="35">
        <v>16</v>
      </c>
      <c r="H1034" s="1" t="s">
        <v>758</v>
      </c>
      <c r="I1034" s="35">
        <v>23</v>
      </c>
      <c r="J1034" s="46">
        <v>18</v>
      </c>
      <c r="K1034" s="11" t="s">
        <v>743</v>
      </c>
      <c r="L1034" s="27">
        <v>77</v>
      </c>
      <c r="M1034" s="41" t="s">
        <v>702</v>
      </c>
      <c r="N1034" s="41" t="s">
        <v>2859</v>
      </c>
      <c r="O1034" t="s">
        <v>2281</v>
      </c>
      <c r="Q1034">
        <f t="shared" si="16"/>
        <v>8.4803774275108452</v>
      </c>
    </row>
    <row r="1035" spans="1:17" x14ac:dyDescent="0.35">
      <c r="D1035" s="71">
        <v>10.645272520889055</v>
      </c>
      <c r="E1035" s="69">
        <v>63.824805342222099</v>
      </c>
      <c r="F1035" s="72" t="s">
        <v>231</v>
      </c>
      <c r="G1035" s="35">
        <v>5</v>
      </c>
      <c r="H1035" s="1" t="s">
        <v>466</v>
      </c>
      <c r="I1035" s="35">
        <v>34</v>
      </c>
      <c r="J1035" s="46">
        <v>3</v>
      </c>
      <c r="K1035" s="11" t="s">
        <v>676</v>
      </c>
      <c r="L1035" s="27">
        <v>75</v>
      </c>
      <c r="M1035" s="41" t="s">
        <v>739</v>
      </c>
      <c r="N1035" s="43" t="s">
        <v>2860</v>
      </c>
      <c r="O1035" s="1" t="s">
        <v>1390</v>
      </c>
      <c r="Q1035">
        <f t="shared" si="16"/>
        <v>10.645272520889055</v>
      </c>
    </row>
    <row r="1036" spans="1:17" x14ac:dyDescent="0.35">
      <c r="D1036" s="71">
        <v>5.3333141516436999</v>
      </c>
      <c r="E1036" s="69">
        <v>55.208347034540218</v>
      </c>
      <c r="F1036" s="72" t="s">
        <v>231</v>
      </c>
      <c r="G1036" s="35">
        <v>28</v>
      </c>
      <c r="H1036" s="1" t="s">
        <v>661</v>
      </c>
      <c r="I1036" s="35">
        <v>13</v>
      </c>
      <c r="J1036" s="46">
        <v>9</v>
      </c>
      <c r="K1036" s="11" t="s">
        <v>784</v>
      </c>
      <c r="L1036" s="27">
        <v>74</v>
      </c>
      <c r="M1036" s="41" t="s">
        <v>864</v>
      </c>
      <c r="N1036" s="41" t="s">
        <v>2861</v>
      </c>
      <c r="O1036" t="s">
        <v>2281</v>
      </c>
      <c r="P1036" s="70" t="s">
        <v>2862</v>
      </c>
      <c r="Q1036">
        <f t="shared" si="16"/>
        <v>5.3333141516436999</v>
      </c>
    </row>
    <row r="1037" spans="1:17" x14ac:dyDescent="0.35">
      <c r="D1037" s="71">
        <v>4.2850518429946245</v>
      </c>
      <c r="E1037" s="69">
        <v>53.546391540718133</v>
      </c>
      <c r="F1037" s="72" t="s">
        <v>129</v>
      </c>
      <c r="G1037" s="35">
        <v>35</v>
      </c>
      <c r="H1037" s="1" t="s">
        <v>677</v>
      </c>
      <c r="I1037" s="35">
        <v>29</v>
      </c>
      <c r="J1037" s="46">
        <v>20</v>
      </c>
      <c r="K1037" s="11" t="s">
        <v>751</v>
      </c>
      <c r="L1037" s="27">
        <v>73</v>
      </c>
      <c r="M1037" s="41" t="s">
        <v>818</v>
      </c>
      <c r="N1037" s="41" t="s">
        <v>2863</v>
      </c>
      <c r="O1037" t="s">
        <v>2281</v>
      </c>
      <c r="Q1037">
        <f t="shared" si="16"/>
        <v>4.2850518429946245</v>
      </c>
    </row>
    <row r="1038" spans="1:17" x14ac:dyDescent="0.35">
      <c r="D1038" s="71">
        <v>-1.4890372796422344</v>
      </c>
      <c r="E1038" s="69">
        <v>67.715383771173023</v>
      </c>
      <c r="F1038" s="72" t="s">
        <v>231</v>
      </c>
      <c r="G1038" s="35">
        <v>51</v>
      </c>
      <c r="H1038" s="1" t="s">
        <v>679</v>
      </c>
      <c r="I1038" s="35">
        <v>16</v>
      </c>
      <c r="J1038" s="46">
        <v>12</v>
      </c>
      <c r="K1038" s="11" t="s">
        <v>645</v>
      </c>
      <c r="L1038" s="27">
        <v>32</v>
      </c>
      <c r="M1038" s="41" t="s">
        <v>789</v>
      </c>
      <c r="N1038" s="41" t="s">
        <v>2864</v>
      </c>
      <c r="O1038" t="s">
        <v>2281</v>
      </c>
      <c r="P1038" s="70" t="s">
        <v>2865</v>
      </c>
      <c r="Q1038">
        <f t="shared" si="16"/>
        <v>1.4890372796422344</v>
      </c>
    </row>
    <row r="1039" spans="1:17" x14ac:dyDescent="0.35">
      <c r="A1039" s="2" t="s">
        <v>2866</v>
      </c>
      <c r="D1039" s="71">
        <v>5.7239738336698913</v>
      </c>
      <c r="E1039" s="69">
        <v>74.125732975950086</v>
      </c>
      <c r="F1039" s="72" t="s">
        <v>231</v>
      </c>
      <c r="G1039" s="35">
        <v>11</v>
      </c>
      <c r="H1039" s="1" t="s">
        <v>642</v>
      </c>
      <c r="I1039" s="35">
        <v>26</v>
      </c>
      <c r="J1039" s="46">
        <v>13</v>
      </c>
      <c r="K1039" s="11" t="s">
        <v>713</v>
      </c>
      <c r="L1039" s="27">
        <v>50</v>
      </c>
      <c r="M1039" s="41" t="s">
        <v>796</v>
      </c>
      <c r="N1039" s="41" t="s">
        <v>2867</v>
      </c>
      <c r="O1039" t="s">
        <v>2281</v>
      </c>
      <c r="Q1039">
        <f t="shared" si="16"/>
        <v>5.7239738336698913</v>
      </c>
    </row>
    <row r="1040" spans="1:17" x14ac:dyDescent="0.35">
      <c r="D1040" s="71">
        <v>9.9780977466363581</v>
      </c>
      <c r="E1040" s="69">
        <v>75.015644466688315</v>
      </c>
      <c r="F1040" s="72" t="s">
        <v>231</v>
      </c>
      <c r="G1040" s="35">
        <v>1</v>
      </c>
      <c r="H1040" s="1" t="s">
        <v>242</v>
      </c>
      <c r="I1040" s="35">
        <v>24</v>
      </c>
      <c r="J1040" s="46">
        <v>13</v>
      </c>
      <c r="K1040" s="11" t="s">
        <v>746</v>
      </c>
      <c r="L1040" s="27">
        <v>49</v>
      </c>
      <c r="M1040" s="41" t="s">
        <v>789</v>
      </c>
      <c r="N1040" s="41" t="s">
        <v>2868</v>
      </c>
      <c r="O1040" t="s">
        <v>2281</v>
      </c>
      <c r="Q1040">
        <f t="shared" si="16"/>
        <v>9.9780977466363581</v>
      </c>
    </row>
    <row r="1041" spans="1:17" x14ac:dyDescent="0.35">
      <c r="D1041" s="71">
        <v>8.2320643662284354</v>
      </c>
      <c r="E1041" s="69">
        <v>76.262811166979688</v>
      </c>
      <c r="F1041" s="72" t="s">
        <v>231</v>
      </c>
      <c r="G1041" s="35">
        <v>4</v>
      </c>
      <c r="H1041" s="1" t="s">
        <v>644</v>
      </c>
      <c r="I1041" s="35">
        <v>25</v>
      </c>
      <c r="J1041" s="46">
        <v>15</v>
      </c>
      <c r="K1041" s="11" t="s">
        <v>729</v>
      </c>
      <c r="L1041" s="27">
        <v>46</v>
      </c>
      <c r="M1041" s="41" t="s">
        <v>831</v>
      </c>
      <c r="N1041" s="41" t="s">
        <v>2869</v>
      </c>
      <c r="O1041" t="s">
        <v>2281</v>
      </c>
      <c r="Q1041">
        <f t="shared" si="16"/>
        <v>8.2320643662284354</v>
      </c>
    </row>
    <row r="1042" spans="1:17" x14ac:dyDescent="0.35">
      <c r="D1042" s="71">
        <v>1.8846101802457609</v>
      </c>
      <c r="E1042" s="69">
        <v>75.439564156967307</v>
      </c>
      <c r="F1042" s="72" t="s">
        <v>129</v>
      </c>
      <c r="G1042" s="35">
        <v>20</v>
      </c>
      <c r="H1042" s="1" t="s">
        <v>641</v>
      </c>
      <c r="I1042" s="35">
        <v>25</v>
      </c>
      <c r="J1042" s="46">
        <v>19</v>
      </c>
      <c r="K1042" s="11" t="s">
        <v>680</v>
      </c>
      <c r="L1042" s="27">
        <v>45</v>
      </c>
      <c r="M1042" s="41" t="s">
        <v>907</v>
      </c>
      <c r="N1042" s="41" t="s">
        <v>2870</v>
      </c>
      <c r="O1042" t="s">
        <v>2281</v>
      </c>
      <c r="Q1042">
        <f t="shared" si="16"/>
        <v>1.8846101802457609</v>
      </c>
    </row>
    <row r="1043" spans="1:17" x14ac:dyDescent="0.35">
      <c r="D1043" s="71">
        <v>0.16668706695279747</v>
      </c>
      <c r="E1043" s="69">
        <v>69.74700923789085</v>
      </c>
      <c r="F1043" s="72" t="s">
        <v>231</v>
      </c>
      <c r="G1043" s="35">
        <v>42</v>
      </c>
      <c r="H1043" s="1" t="s">
        <v>672</v>
      </c>
      <c r="I1043" s="35">
        <v>16</v>
      </c>
      <c r="J1043" s="46">
        <v>14</v>
      </c>
      <c r="K1043" s="11" t="s">
        <v>663</v>
      </c>
      <c r="L1043" s="27">
        <v>33</v>
      </c>
      <c r="M1043" s="41" t="s">
        <v>781</v>
      </c>
      <c r="N1043" s="41" t="s">
        <v>2871</v>
      </c>
      <c r="O1043" t="s">
        <v>2281</v>
      </c>
      <c r="Q1043">
        <f t="shared" si="16"/>
        <v>0.16668706695279747</v>
      </c>
    </row>
    <row r="1044" spans="1:17" x14ac:dyDescent="0.35">
      <c r="D1044" s="71">
        <v>-1.0504924870849732</v>
      </c>
      <c r="E1044" s="69">
        <v>74.634280347917837</v>
      </c>
      <c r="F1044" s="72" t="s">
        <v>231</v>
      </c>
      <c r="G1044" s="35">
        <v>39</v>
      </c>
      <c r="H1044" s="1" t="s">
        <v>780</v>
      </c>
      <c r="I1044" s="35">
        <v>17</v>
      </c>
      <c r="J1044" s="46">
        <v>16</v>
      </c>
      <c r="K1044" s="11" t="s">
        <v>664</v>
      </c>
      <c r="L1044" s="27">
        <v>26</v>
      </c>
      <c r="M1044" s="41" t="s">
        <v>702</v>
      </c>
      <c r="N1044" s="41" t="s">
        <v>2872</v>
      </c>
      <c r="O1044" t="s">
        <v>2281</v>
      </c>
      <c r="P1044" s="70" t="s">
        <v>2873</v>
      </c>
      <c r="Q1044">
        <f t="shared" si="16"/>
        <v>1.0504924870849732</v>
      </c>
    </row>
    <row r="1045" spans="1:17" x14ac:dyDescent="0.35">
      <c r="D1045" s="71">
        <v>-3.9794396645460215</v>
      </c>
      <c r="E1045" s="69">
        <v>85.699599760390015</v>
      </c>
      <c r="F1045" s="72" t="s">
        <v>129</v>
      </c>
      <c r="G1045" s="35">
        <v>30</v>
      </c>
      <c r="H1045" s="1" t="s">
        <v>692</v>
      </c>
      <c r="I1045" s="35">
        <v>22</v>
      </c>
      <c r="J1045" s="46">
        <v>13</v>
      </c>
      <c r="K1045" s="11" t="s">
        <v>660</v>
      </c>
      <c r="L1045" s="27">
        <v>18</v>
      </c>
      <c r="M1045" s="41" t="s">
        <v>844</v>
      </c>
      <c r="N1045" s="41" t="s">
        <v>2874</v>
      </c>
      <c r="O1045" t="s">
        <v>2281</v>
      </c>
      <c r="Q1045">
        <f t="shared" si="16"/>
        <v>3.9794396645460215</v>
      </c>
    </row>
    <row r="1046" spans="1:17" x14ac:dyDescent="0.35">
      <c r="D1046" s="71">
        <v>0.96084218603026872</v>
      </c>
      <c r="E1046" s="69">
        <v>84.321160469778818</v>
      </c>
      <c r="F1046" s="72" t="s">
        <v>231</v>
      </c>
      <c r="G1046" s="35">
        <v>24</v>
      </c>
      <c r="H1046" s="1" t="s">
        <v>465</v>
      </c>
      <c r="I1046" s="35">
        <v>25</v>
      </c>
      <c r="J1046" s="46">
        <v>18</v>
      </c>
      <c r="K1046" s="11" t="s">
        <v>650</v>
      </c>
      <c r="L1046" s="27">
        <v>25</v>
      </c>
      <c r="M1046" s="41" t="s">
        <v>724</v>
      </c>
      <c r="N1046" s="41" t="s">
        <v>2875</v>
      </c>
      <c r="O1046" t="s">
        <v>2281</v>
      </c>
      <c r="P1046" s="81" t="s">
        <v>2876</v>
      </c>
      <c r="Q1046">
        <f t="shared" si="16"/>
        <v>0.96084218603026872</v>
      </c>
    </row>
    <row r="1047" spans="1:17" x14ac:dyDescent="0.35">
      <c r="D1047" s="71">
        <v>1.011566514517712</v>
      </c>
      <c r="E1047" s="69">
        <v>88.027452489630207</v>
      </c>
      <c r="F1047" s="72" t="s">
        <v>129</v>
      </c>
      <c r="G1047" s="35">
        <v>14</v>
      </c>
      <c r="H1047" s="1" t="s">
        <v>640</v>
      </c>
      <c r="I1047" s="35">
        <v>16</v>
      </c>
      <c r="J1047" s="46">
        <v>12</v>
      </c>
      <c r="K1047" s="11" t="s">
        <v>648</v>
      </c>
      <c r="L1047" s="27">
        <v>22</v>
      </c>
      <c r="M1047" s="41" t="s">
        <v>721</v>
      </c>
      <c r="N1047" s="41" t="s">
        <v>2877</v>
      </c>
      <c r="O1047" t="s">
        <v>2281</v>
      </c>
      <c r="Q1047">
        <f t="shared" si="16"/>
        <v>1.011566514517712</v>
      </c>
    </row>
    <row r="1048" spans="1:17" x14ac:dyDescent="0.35">
      <c r="D1048" s="71">
        <v>0.17412082012135724</v>
      </c>
      <c r="E1048" s="69">
        <v>89.250627985627602</v>
      </c>
      <c r="F1048" s="72" t="s">
        <v>129</v>
      </c>
      <c r="G1048" s="35">
        <v>13</v>
      </c>
      <c r="H1048" s="1" t="s">
        <v>704</v>
      </c>
      <c r="I1048" s="35">
        <v>11</v>
      </c>
      <c r="J1048" s="46">
        <v>8</v>
      </c>
      <c r="K1048" s="11" t="s">
        <v>670</v>
      </c>
      <c r="L1048" s="27">
        <v>21</v>
      </c>
      <c r="M1048" s="41" t="s">
        <v>839</v>
      </c>
      <c r="N1048" s="41" t="s">
        <v>2878</v>
      </c>
      <c r="O1048" t="s">
        <v>2281</v>
      </c>
      <c r="P1048" s="70" t="s">
        <v>2879</v>
      </c>
      <c r="Q1048">
        <f t="shared" si="16"/>
        <v>0.17412082012135724</v>
      </c>
    </row>
    <row r="1049" spans="1:17" ht="15" thickBot="1" x14ac:dyDescent="0.4">
      <c r="C1049" s="51"/>
      <c r="D1049" s="82">
        <v>1.0146232859762663</v>
      </c>
      <c r="E1049" s="76">
        <v>94.587769081445529</v>
      </c>
      <c r="F1049" s="83" t="s">
        <v>231</v>
      </c>
      <c r="G1049" s="49">
        <v>8</v>
      </c>
      <c r="H1049" s="45" t="s">
        <v>352</v>
      </c>
      <c r="I1049" s="49">
        <v>11</v>
      </c>
      <c r="J1049" s="50">
        <v>6</v>
      </c>
      <c r="K1049" s="51" t="s">
        <v>328</v>
      </c>
      <c r="L1049" s="77">
        <v>7</v>
      </c>
      <c r="M1049" s="42" t="s">
        <v>730</v>
      </c>
      <c r="N1049" s="42" t="s">
        <v>2880</v>
      </c>
      <c r="O1049" s="40" t="s">
        <v>2281</v>
      </c>
      <c r="P1049" s="78"/>
      <c r="Q1049">
        <f t="shared" si="16"/>
        <v>1.0146232859762663</v>
      </c>
    </row>
    <row r="1050" spans="1:17" x14ac:dyDescent="0.35">
      <c r="A1050" s="2" t="s">
        <v>2881</v>
      </c>
      <c r="B1050" s="103" t="s">
        <v>1340</v>
      </c>
      <c r="C1050" s="11" t="s">
        <v>2882</v>
      </c>
      <c r="D1050" s="71">
        <v>-8.2472969326962762</v>
      </c>
      <c r="E1050" s="69">
        <v>66.31965227005756</v>
      </c>
      <c r="F1050" s="72" t="s">
        <v>231</v>
      </c>
      <c r="G1050" s="35">
        <v>100</v>
      </c>
      <c r="H1050" s="1" t="s">
        <v>1157</v>
      </c>
      <c r="I1050" s="35">
        <v>17</v>
      </c>
      <c r="J1050" s="46">
        <v>16</v>
      </c>
      <c r="K1050" s="11" t="s">
        <v>641</v>
      </c>
      <c r="L1050" s="27">
        <v>19</v>
      </c>
      <c r="M1050" s="41" t="s">
        <v>821</v>
      </c>
      <c r="N1050" s="41" t="s">
        <v>2883</v>
      </c>
      <c r="O1050" t="s">
        <v>2281</v>
      </c>
      <c r="Q1050">
        <f t="shared" si="16"/>
        <v>8.2472969326962762</v>
      </c>
    </row>
    <row r="1051" spans="1:17" x14ac:dyDescent="0.35">
      <c r="C1051" s="11" t="s">
        <v>2882</v>
      </c>
      <c r="D1051" s="71">
        <v>-0.24374971956387126</v>
      </c>
      <c r="E1051" s="69">
        <v>70.588749815713399</v>
      </c>
      <c r="F1051" s="72" t="s">
        <v>231</v>
      </c>
      <c r="G1051" s="35">
        <v>45</v>
      </c>
      <c r="H1051" s="1" t="s">
        <v>755</v>
      </c>
      <c r="I1051" s="35">
        <v>18</v>
      </c>
      <c r="J1051" s="46">
        <v>12</v>
      </c>
      <c r="K1051" s="11" t="s">
        <v>630</v>
      </c>
      <c r="L1051" s="27">
        <v>35</v>
      </c>
      <c r="M1051" s="41" t="s">
        <v>773</v>
      </c>
      <c r="N1051" s="41" t="s">
        <v>2884</v>
      </c>
      <c r="O1051" t="s">
        <v>2281</v>
      </c>
      <c r="Q1051">
        <f t="shared" si="16"/>
        <v>0.24374971956387126</v>
      </c>
    </row>
    <row r="1052" spans="1:17" x14ac:dyDescent="0.35">
      <c r="C1052" s="11" t="s">
        <v>2882</v>
      </c>
      <c r="D1052" s="71">
        <v>-0.99279358864903366</v>
      </c>
      <c r="E1052" s="69">
        <v>71.08097864396936</v>
      </c>
      <c r="F1052" s="72" t="s">
        <v>231</v>
      </c>
      <c r="G1052" s="35">
        <v>52</v>
      </c>
      <c r="H1052" s="1" t="s">
        <v>783</v>
      </c>
      <c r="I1052" s="35">
        <v>19</v>
      </c>
      <c r="J1052" s="46">
        <v>16</v>
      </c>
      <c r="K1052" s="11" t="s">
        <v>661</v>
      </c>
      <c r="L1052" s="27">
        <v>28</v>
      </c>
      <c r="M1052" s="41" t="s">
        <v>952</v>
      </c>
      <c r="N1052" s="41" t="s">
        <v>2885</v>
      </c>
      <c r="O1052" t="s">
        <v>2281</v>
      </c>
      <c r="Q1052">
        <f t="shared" si="16"/>
        <v>0.99279358864903366</v>
      </c>
    </row>
    <row r="1053" spans="1:17" x14ac:dyDescent="0.35">
      <c r="C1053" s="11" t="s">
        <v>2882</v>
      </c>
      <c r="D1053" s="71">
        <v>-1.1106586946804549</v>
      </c>
      <c r="E1053" s="69">
        <v>65.613789999361444</v>
      </c>
      <c r="F1053" s="72" t="s">
        <v>129</v>
      </c>
      <c r="G1053" s="35">
        <v>44</v>
      </c>
      <c r="H1053" s="1" t="s">
        <v>679</v>
      </c>
      <c r="I1053" s="35">
        <v>16</v>
      </c>
      <c r="J1053" s="46">
        <v>12</v>
      </c>
      <c r="K1053" s="11" t="s">
        <v>746</v>
      </c>
      <c r="L1053" s="27">
        <v>51</v>
      </c>
      <c r="M1053" s="41" t="s">
        <v>748</v>
      </c>
      <c r="N1053" s="41" t="s">
        <v>2886</v>
      </c>
      <c r="O1053" t="s">
        <v>2281</v>
      </c>
      <c r="Q1053">
        <f t="shared" si="16"/>
        <v>1.1106586946804549</v>
      </c>
    </row>
    <row r="1054" spans="1:17" x14ac:dyDescent="0.35">
      <c r="A1054" s="2" t="s">
        <v>2896</v>
      </c>
      <c r="C1054" s="11" t="s">
        <v>2897</v>
      </c>
      <c r="D1054" s="71">
        <v>0.31024586660643649</v>
      </c>
      <c r="E1054" s="69">
        <v>91.081806228610148</v>
      </c>
      <c r="F1054" s="72" t="s">
        <v>231</v>
      </c>
      <c r="G1054" s="35">
        <v>20</v>
      </c>
      <c r="H1054" s="1" t="s">
        <v>731</v>
      </c>
      <c r="I1054" s="35">
        <v>25</v>
      </c>
      <c r="J1054" s="46">
        <v>18</v>
      </c>
      <c r="K1054" s="11" t="s">
        <v>704</v>
      </c>
      <c r="L1054" s="27">
        <v>11</v>
      </c>
      <c r="M1054" s="41" t="s">
        <v>975</v>
      </c>
      <c r="N1054" s="41" t="s">
        <v>2898</v>
      </c>
      <c r="O1054" t="s">
        <v>2281</v>
      </c>
      <c r="P1054" s="81"/>
      <c r="Q1054">
        <f t="shared" si="16"/>
        <v>0.31024586660643649</v>
      </c>
    </row>
    <row r="1055" spans="1:17" x14ac:dyDescent="0.35">
      <c r="C1055" s="11" t="s">
        <v>2897</v>
      </c>
      <c r="D1055" s="71">
        <v>-0.77340310132525791</v>
      </c>
      <c r="E1055" s="69">
        <v>94.028437707994811</v>
      </c>
      <c r="F1055" s="72" t="s">
        <v>231</v>
      </c>
      <c r="G1055" s="35">
        <v>17</v>
      </c>
      <c r="H1055" s="1" t="s">
        <v>328</v>
      </c>
      <c r="I1055" s="35">
        <v>20</v>
      </c>
      <c r="J1055" s="46">
        <v>18</v>
      </c>
      <c r="K1055" s="11" t="s">
        <v>467</v>
      </c>
      <c r="L1055" s="27">
        <v>6</v>
      </c>
      <c r="M1055" s="41" t="s">
        <v>952</v>
      </c>
      <c r="N1055" s="41" t="s">
        <v>2899</v>
      </c>
      <c r="O1055" s="6" t="s">
        <v>1386</v>
      </c>
      <c r="P1055" s="81" t="s">
        <v>2900</v>
      </c>
      <c r="Q1055">
        <f t="shared" si="16"/>
        <v>0.77340310132525791</v>
      </c>
    </row>
    <row r="1056" spans="1:17" x14ac:dyDescent="0.35">
      <c r="C1056" s="11" t="s">
        <v>2897</v>
      </c>
      <c r="D1056" s="71">
        <v>16.731281489478381</v>
      </c>
      <c r="E1056" s="69">
        <v>51.958461899621057</v>
      </c>
      <c r="F1056" s="72" t="s">
        <v>231</v>
      </c>
      <c r="G1056" s="35">
        <v>13</v>
      </c>
      <c r="H1056" s="1" t="s">
        <v>747</v>
      </c>
      <c r="I1056" s="35">
        <v>27</v>
      </c>
      <c r="J1056" s="46">
        <v>13</v>
      </c>
      <c r="K1056" s="11" t="s">
        <v>767</v>
      </c>
      <c r="L1056" s="27">
        <v>103</v>
      </c>
      <c r="M1056" s="41" t="s">
        <v>717</v>
      </c>
      <c r="N1056" s="41" t="s">
        <v>2901</v>
      </c>
      <c r="O1056" t="s">
        <v>2281</v>
      </c>
      <c r="P1056" s="81" t="s">
        <v>2902</v>
      </c>
      <c r="Q1056">
        <f t="shared" si="16"/>
        <v>16.731281489478381</v>
      </c>
    </row>
    <row r="1057" spans="1:17" x14ac:dyDescent="0.35">
      <c r="C1057" s="11" t="s">
        <v>2897</v>
      </c>
      <c r="D1057" s="71">
        <v>7.0532712208712027</v>
      </c>
      <c r="E1057" s="69">
        <v>81.965754215154234</v>
      </c>
      <c r="F1057" s="72" t="s">
        <v>129</v>
      </c>
      <c r="G1057" s="35">
        <v>5</v>
      </c>
      <c r="H1057" s="1" t="s">
        <v>644</v>
      </c>
      <c r="I1057" s="35">
        <v>33</v>
      </c>
      <c r="J1057" s="46">
        <v>24</v>
      </c>
      <c r="K1057" s="11" t="s">
        <v>663</v>
      </c>
      <c r="L1057" s="27">
        <v>37</v>
      </c>
      <c r="M1057" s="41" t="s">
        <v>991</v>
      </c>
      <c r="N1057" s="41" t="s">
        <v>2903</v>
      </c>
      <c r="O1057" t="s">
        <v>2281</v>
      </c>
      <c r="Q1057">
        <f t="shared" si="16"/>
        <v>7.0532712208712027</v>
      </c>
    </row>
    <row r="1058" spans="1:17" x14ac:dyDescent="0.35">
      <c r="C1058" s="11" t="s">
        <v>2897</v>
      </c>
      <c r="D1058" s="71">
        <v>1.9549660851979618</v>
      </c>
      <c r="E1058" s="94">
        <v>101.89948608808703</v>
      </c>
      <c r="F1058" s="72" t="s">
        <v>231</v>
      </c>
      <c r="G1058" s="35">
        <v>1</v>
      </c>
      <c r="H1058" s="1" t="s">
        <v>245</v>
      </c>
      <c r="I1058" s="35">
        <v>33</v>
      </c>
      <c r="J1058" s="46">
        <v>32</v>
      </c>
      <c r="K1058" s="11" t="s">
        <v>242</v>
      </c>
      <c r="L1058" s="27">
        <v>2</v>
      </c>
      <c r="M1058" s="41" t="s">
        <v>2904</v>
      </c>
      <c r="N1058" s="41" t="s">
        <v>2905</v>
      </c>
      <c r="O1058" s="6" t="s">
        <v>1386</v>
      </c>
      <c r="P1058" s="81" t="s">
        <v>2906</v>
      </c>
      <c r="Q1058">
        <f t="shared" si="16"/>
        <v>1.9549660851979618</v>
      </c>
    </row>
    <row r="1059" spans="1:17" x14ac:dyDescent="0.35">
      <c r="C1059" s="11" t="s">
        <v>2897</v>
      </c>
      <c r="D1059" s="71">
        <v>2.7422694831306065</v>
      </c>
      <c r="E1059" s="69">
        <v>92.893362475130331</v>
      </c>
      <c r="F1059" s="72" t="s">
        <v>129</v>
      </c>
      <c r="G1059" s="35">
        <v>3</v>
      </c>
      <c r="H1059" s="1" t="s">
        <v>468</v>
      </c>
      <c r="I1059" s="35">
        <v>16</v>
      </c>
      <c r="J1059" s="46">
        <v>13</v>
      </c>
      <c r="K1059" s="11" t="s">
        <v>647</v>
      </c>
      <c r="L1059" s="27">
        <v>16</v>
      </c>
      <c r="M1059" s="41" t="s">
        <v>770</v>
      </c>
      <c r="N1059" s="41" t="s">
        <v>2907</v>
      </c>
      <c r="O1059" t="s">
        <v>2281</v>
      </c>
      <c r="P1059" s="95" t="s">
        <v>2908</v>
      </c>
      <c r="Q1059">
        <f t="shared" si="16"/>
        <v>2.7422694831306065</v>
      </c>
    </row>
    <row r="1060" spans="1:17" x14ac:dyDescent="0.35">
      <c r="C1060" s="11" t="s">
        <v>2897</v>
      </c>
      <c r="D1060" s="71">
        <v>4.8169205043257755</v>
      </c>
      <c r="E1060" s="69">
        <v>79.867693961504855</v>
      </c>
      <c r="F1060" s="72" t="s">
        <v>129</v>
      </c>
      <c r="G1060" s="35">
        <v>10</v>
      </c>
      <c r="H1060" s="1" t="s">
        <v>718</v>
      </c>
      <c r="I1060" s="35">
        <v>24</v>
      </c>
      <c r="J1060" s="46">
        <v>15</v>
      </c>
      <c r="K1060" s="11" t="s">
        <v>671</v>
      </c>
      <c r="L1060" s="27">
        <v>43</v>
      </c>
      <c r="M1060" s="41" t="s">
        <v>781</v>
      </c>
      <c r="N1060" s="41" t="s">
        <v>2909</v>
      </c>
      <c r="O1060" t="s">
        <v>2281</v>
      </c>
      <c r="P1060" s="95" t="s">
        <v>2910</v>
      </c>
      <c r="Q1060">
        <f t="shared" si="16"/>
        <v>4.8169205043257755</v>
      </c>
    </row>
    <row r="1061" spans="1:17" x14ac:dyDescent="0.35">
      <c r="C1061" s="11" t="s">
        <v>2897</v>
      </c>
      <c r="D1061" s="71">
        <v>5.4966749048693408</v>
      </c>
      <c r="E1061" s="69">
        <v>79.466423275441144</v>
      </c>
      <c r="F1061" s="72" t="s">
        <v>129</v>
      </c>
      <c r="G1061" s="35">
        <v>8</v>
      </c>
      <c r="H1061" s="1" t="s">
        <v>643</v>
      </c>
      <c r="I1061" s="35">
        <v>21</v>
      </c>
      <c r="J1061" s="46">
        <v>16</v>
      </c>
      <c r="K1061" s="11" t="s">
        <v>785</v>
      </c>
      <c r="L1061" s="27">
        <v>48</v>
      </c>
      <c r="M1061" s="41" t="s">
        <v>727</v>
      </c>
      <c r="N1061" s="41" t="s">
        <v>2911</v>
      </c>
      <c r="O1061" t="s">
        <v>2281</v>
      </c>
      <c r="P1061" s="81" t="s">
        <v>2912</v>
      </c>
      <c r="Q1061">
        <f t="shared" si="16"/>
        <v>5.4966749048693408</v>
      </c>
    </row>
    <row r="1062" spans="1:17" x14ac:dyDescent="0.35">
      <c r="B1062" s="103" t="s">
        <v>1341</v>
      </c>
      <c r="C1062" s="11" t="s">
        <v>2887</v>
      </c>
      <c r="D1062" s="71">
        <v>11.569562557696278</v>
      </c>
      <c r="E1062" s="69">
        <v>53.29714460494246</v>
      </c>
      <c r="F1062" s="72" t="s">
        <v>231</v>
      </c>
      <c r="G1062" s="35">
        <v>19</v>
      </c>
      <c r="H1062" s="1" t="s">
        <v>641</v>
      </c>
      <c r="I1062" s="35">
        <v>25</v>
      </c>
      <c r="J1062" s="46">
        <v>15</v>
      </c>
      <c r="K1062" s="11" t="s">
        <v>1157</v>
      </c>
      <c r="L1062" s="27">
        <v>100</v>
      </c>
      <c r="M1062" s="41" t="s">
        <v>727</v>
      </c>
      <c r="N1062" s="41" t="s">
        <v>2888</v>
      </c>
      <c r="O1062" t="s">
        <v>2281</v>
      </c>
      <c r="P1062" s="70" t="s">
        <v>2889</v>
      </c>
      <c r="Q1062">
        <f>ABS(D1062)</f>
        <v>11.569562557696278</v>
      </c>
    </row>
    <row r="1063" spans="1:17" x14ac:dyDescent="0.35">
      <c r="C1063" s="11" t="s">
        <v>2887</v>
      </c>
      <c r="D1063" s="71">
        <v>3.1257809695638712</v>
      </c>
      <c r="E1063" s="69">
        <v>68.374486791429462</v>
      </c>
      <c r="F1063" s="72" t="s">
        <v>231</v>
      </c>
      <c r="G1063" s="35">
        <v>35</v>
      </c>
      <c r="H1063" s="1" t="s">
        <v>630</v>
      </c>
      <c r="I1063" s="35">
        <v>18</v>
      </c>
      <c r="J1063" s="46">
        <v>17</v>
      </c>
      <c r="K1063" s="11" t="s">
        <v>755</v>
      </c>
      <c r="L1063" s="27">
        <v>45</v>
      </c>
      <c r="M1063" s="41" t="s">
        <v>910</v>
      </c>
      <c r="N1063" s="41" t="s">
        <v>2890</v>
      </c>
      <c r="O1063" s="6" t="s">
        <v>1386</v>
      </c>
      <c r="P1063" s="70" t="s">
        <v>2891</v>
      </c>
      <c r="Q1063">
        <f>ABS(D1063)</f>
        <v>3.1257809695638712</v>
      </c>
    </row>
    <row r="1064" spans="1:17" x14ac:dyDescent="0.35">
      <c r="C1064" s="11" t="s">
        <v>2887</v>
      </c>
      <c r="D1064" s="71">
        <v>4.4068560886490333</v>
      </c>
      <c r="E1064" s="69">
        <v>67.532637427459207</v>
      </c>
      <c r="F1064" s="72" t="s">
        <v>231</v>
      </c>
      <c r="G1064" s="35">
        <v>28</v>
      </c>
      <c r="H1064" s="1" t="s">
        <v>661</v>
      </c>
      <c r="I1064" s="35">
        <v>17</v>
      </c>
      <c r="J1064" s="46">
        <v>15</v>
      </c>
      <c r="K1064" s="11" t="s">
        <v>783</v>
      </c>
      <c r="L1064" s="27">
        <v>52</v>
      </c>
      <c r="M1064" s="41" t="s">
        <v>878</v>
      </c>
      <c r="N1064" s="41" t="s">
        <v>2892</v>
      </c>
      <c r="O1064" t="s">
        <v>2281</v>
      </c>
      <c r="P1064" s="70" t="s">
        <v>2893</v>
      </c>
      <c r="Q1064">
        <f>ABS(D1064)</f>
        <v>4.4068560886490333</v>
      </c>
    </row>
    <row r="1065" spans="1:17" ht="15" thickBot="1" x14ac:dyDescent="0.4">
      <c r="C1065" s="51" t="s">
        <v>2887</v>
      </c>
      <c r="D1065" s="82">
        <v>-2.0632502213770425</v>
      </c>
      <c r="E1065" s="76">
        <v>66.239778716904922</v>
      </c>
      <c r="F1065" s="83" t="s">
        <v>129</v>
      </c>
      <c r="G1065" s="49">
        <v>51</v>
      </c>
      <c r="H1065" s="45" t="s">
        <v>746</v>
      </c>
      <c r="I1065" s="49">
        <v>19</v>
      </c>
      <c r="J1065" s="50">
        <v>13</v>
      </c>
      <c r="K1065" s="51" t="s">
        <v>679</v>
      </c>
      <c r="L1065" s="77">
        <v>44</v>
      </c>
      <c r="M1065" s="42" t="s">
        <v>724</v>
      </c>
      <c r="N1065" s="42" t="s">
        <v>2894</v>
      </c>
      <c r="O1065" s="40" t="s">
        <v>2281</v>
      </c>
      <c r="P1065" s="78" t="s">
        <v>2895</v>
      </c>
      <c r="Q1065">
        <f>ABS(D1065)</f>
        <v>2.0632502213770425</v>
      </c>
    </row>
    <row r="1066" spans="1:17" x14ac:dyDescent="0.35">
      <c r="A1066" s="2" t="s">
        <v>2913</v>
      </c>
      <c r="C1066" s="11" t="s">
        <v>2914</v>
      </c>
      <c r="D1066" s="71">
        <v>3.5084690973426342</v>
      </c>
      <c r="E1066" s="69">
        <v>89.025805580279737</v>
      </c>
      <c r="F1066" s="72" t="s">
        <v>231</v>
      </c>
      <c r="G1066" s="35">
        <v>11</v>
      </c>
      <c r="H1066" s="1" t="s">
        <v>704</v>
      </c>
      <c r="I1066" s="35">
        <v>15</v>
      </c>
      <c r="J1066" s="46">
        <v>11</v>
      </c>
      <c r="K1066" s="11" t="s">
        <v>731</v>
      </c>
      <c r="L1066" s="27">
        <v>20</v>
      </c>
      <c r="M1066" s="41" t="s">
        <v>814</v>
      </c>
      <c r="N1066" s="41" t="s">
        <v>2915</v>
      </c>
      <c r="O1066" t="s">
        <v>2281</v>
      </c>
      <c r="P1066" s="70" t="s">
        <v>2916</v>
      </c>
      <c r="Q1066">
        <f t="shared" si="16"/>
        <v>3.5084690973426342</v>
      </c>
    </row>
    <row r="1067" spans="1:17" x14ac:dyDescent="0.35">
      <c r="C1067" s="11" t="s">
        <v>2914</v>
      </c>
      <c r="D1067" s="71">
        <v>3.9638544902141462</v>
      </c>
      <c r="E1067" s="69">
        <v>90.983057827719477</v>
      </c>
      <c r="F1067" s="72" t="s">
        <v>231</v>
      </c>
      <c r="G1067" s="35">
        <v>6</v>
      </c>
      <c r="H1067" s="1" t="s">
        <v>467</v>
      </c>
      <c r="I1067" s="35">
        <v>22</v>
      </c>
      <c r="J1067" s="46">
        <v>5</v>
      </c>
      <c r="K1067" s="11" t="s">
        <v>328</v>
      </c>
      <c r="L1067" s="27">
        <v>17</v>
      </c>
      <c r="M1067" s="41" t="s">
        <v>739</v>
      </c>
      <c r="N1067" s="43" t="s">
        <v>2917</v>
      </c>
      <c r="O1067" s="1" t="s">
        <v>1390</v>
      </c>
      <c r="P1067" s="70" t="s">
        <v>2918</v>
      </c>
      <c r="Q1067">
        <f t="shared" si="16"/>
        <v>3.9638544902141462</v>
      </c>
    </row>
    <row r="1068" spans="1:17" x14ac:dyDescent="0.35">
      <c r="C1068" s="11" t="s">
        <v>2914</v>
      </c>
      <c r="D1068" s="71">
        <v>13.337184267256159</v>
      </c>
      <c r="E1068" s="69">
        <v>54.140381542478181</v>
      </c>
      <c r="F1068" s="72" t="s">
        <v>129</v>
      </c>
      <c r="G1068" s="35">
        <v>13</v>
      </c>
      <c r="H1068" s="1" t="s">
        <v>747</v>
      </c>
      <c r="I1068" s="35">
        <v>27</v>
      </c>
      <c r="J1068" s="46">
        <v>26</v>
      </c>
      <c r="K1068" s="11" t="s">
        <v>767</v>
      </c>
      <c r="L1068" s="27">
        <v>103</v>
      </c>
      <c r="M1068" s="41" t="s">
        <v>2919</v>
      </c>
      <c r="N1068" s="41" t="s">
        <v>2920</v>
      </c>
      <c r="O1068" s="6" t="s">
        <v>1386</v>
      </c>
      <c r="P1068" s="70" t="s">
        <v>2921</v>
      </c>
      <c r="Q1068">
        <f t="shared" si="16"/>
        <v>13.337184267256159</v>
      </c>
    </row>
    <row r="1069" spans="1:17" x14ac:dyDescent="0.35">
      <c r="C1069" s="11" t="s">
        <v>2914</v>
      </c>
      <c r="D1069" s="71">
        <v>10.209781637537869</v>
      </c>
      <c r="E1069" s="69">
        <v>79.936568947297076</v>
      </c>
      <c r="F1069" s="72" t="s">
        <v>231</v>
      </c>
      <c r="G1069" s="35">
        <v>5</v>
      </c>
      <c r="H1069" s="1" t="s">
        <v>644</v>
      </c>
      <c r="I1069" s="35">
        <v>29</v>
      </c>
      <c r="J1069" s="46">
        <v>10</v>
      </c>
      <c r="K1069" s="11" t="s">
        <v>663</v>
      </c>
      <c r="L1069" s="27">
        <v>37</v>
      </c>
      <c r="M1069" s="41" t="s">
        <v>748</v>
      </c>
      <c r="N1069" s="43" t="s">
        <v>2922</v>
      </c>
      <c r="O1069" s="1" t="s">
        <v>1390</v>
      </c>
      <c r="P1069" s="70" t="s">
        <v>2923</v>
      </c>
      <c r="Q1069">
        <f t="shared" si="16"/>
        <v>10.209781637537869</v>
      </c>
    </row>
    <row r="1070" spans="1:17" x14ac:dyDescent="0.35">
      <c r="C1070" s="11" t="s">
        <v>2914</v>
      </c>
      <c r="D1070" s="71">
        <v>-1.3712491925798156</v>
      </c>
      <c r="E1070" s="94">
        <v>100.03776733808702</v>
      </c>
      <c r="F1070" s="72" t="s">
        <v>129</v>
      </c>
      <c r="G1070" s="35">
        <v>1</v>
      </c>
      <c r="H1070" s="1" t="s">
        <v>245</v>
      </c>
      <c r="I1070" s="35">
        <v>23</v>
      </c>
      <c r="J1070" s="46">
        <v>16</v>
      </c>
      <c r="K1070" s="11" t="s">
        <v>242</v>
      </c>
      <c r="L1070" s="27">
        <v>2</v>
      </c>
      <c r="M1070" s="41" t="s">
        <v>790</v>
      </c>
      <c r="N1070" s="41" t="s">
        <v>2924</v>
      </c>
      <c r="O1070" t="s">
        <v>2281</v>
      </c>
      <c r="P1070" s="70" t="s">
        <v>2925</v>
      </c>
      <c r="Q1070">
        <f t="shared" si="16"/>
        <v>1.3712491925798156</v>
      </c>
    </row>
    <row r="1071" spans="1:17" x14ac:dyDescent="0.35">
      <c r="C1071" s="11" t="s">
        <v>2914</v>
      </c>
      <c r="D1071" s="71">
        <v>5.6397955247972735</v>
      </c>
      <c r="E1071" s="69">
        <v>91.030667162630323</v>
      </c>
      <c r="F1071" s="72" t="s">
        <v>231</v>
      </c>
      <c r="G1071" s="35">
        <v>3</v>
      </c>
      <c r="H1071" s="1" t="s">
        <v>468</v>
      </c>
      <c r="I1071" s="35">
        <v>32</v>
      </c>
      <c r="J1071" s="46">
        <v>9</v>
      </c>
      <c r="K1071" s="11" t="s">
        <v>647</v>
      </c>
      <c r="L1071" s="27">
        <v>16</v>
      </c>
      <c r="M1071" s="41" t="s">
        <v>836</v>
      </c>
      <c r="N1071" s="43" t="s">
        <v>2926</v>
      </c>
      <c r="O1071" s="1" t="s">
        <v>1390</v>
      </c>
      <c r="P1071" s="70" t="s">
        <v>2927</v>
      </c>
      <c r="Q1071">
        <f t="shared" si="16"/>
        <v>5.6397955247972735</v>
      </c>
    </row>
    <row r="1072" spans="1:17" x14ac:dyDescent="0.35">
      <c r="C1072" s="11" t="s">
        <v>2914</v>
      </c>
      <c r="D1072" s="71">
        <v>7.7919205043257751</v>
      </c>
      <c r="E1072" s="69">
        <v>77.955193961504861</v>
      </c>
      <c r="F1072" s="72" t="s">
        <v>231</v>
      </c>
      <c r="G1072" s="35">
        <v>10</v>
      </c>
      <c r="H1072" s="1" t="s">
        <v>718</v>
      </c>
      <c r="I1072" s="35">
        <v>26</v>
      </c>
      <c r="J1072" s="46">
        <v>17</v>
      </c>
      <c r="K1072" s="11" t="s">
        <v>671</v>
      </c>
      <c r="L1072" s="27">
        <v>43</v>
      </c>
      <c r="M1072" s="41" t="s">
        <v>928</v>
      </c>
      <c r="N1072" s="41" t="s">
        <v>2928</v>
      </c>
      <c r="O1072" t="s">
        <v>2281</v>
      </c>
      <c r="P1072" s="70" t="s">
        <v>2929</v>
      </c>
      <c r="Q1072">
        <f t="shared" si="16"/>
        <v>7.7919205043257751</v>
      </c>
    </row>
    <row r="1073" spans="1:17" ht="15" thickBot="1" x14ac:dyDescent="0.4">
      <c r="C1073" s="51" t="s">
        <v>2914</v>
      </c>
      <c r="D1073" s="82">
        <v>8.3477165715360062</v>
      </c>
      <c r="E1073" s="76">
        <v>76.633610775441142</v>
      </c>
      <c r="F1073" s="83" t="s">
        <v>231</v>
      </c>
      <c r="G1073" s="49">
        <v>8</v>
      </c>
      <c r="H1073" s="45" t="s">
        <v>643</v>
      </c>
      <c r="I1073" s="49">
        <v>26</v>
      </c>
      <c r="J1073" s="50">
        <v>16</v>
      </c>
      <c r="K1073" s="51" t="s">
        <v>785</v>
      </c>
      <c r="L1073" s="77">
        <v>48</v>
      </c>
      <c r="M1073" s="42" t="s">
        <v>786</v>
      </c>
      <c r="N1073" s="42" t="s">
        <v>2930</v>
      </c>
      <c r="O1073" s="40" t="s">
        <v>2281</v>
      </c>
      <c r="P1073" s="78" t="s">
        <v>2931</v>
      </c>
      <c r="Q1073">
        <f t="shared" si="16"/>
        <v>8.3477165715360062</v>
      </c>
    </row>
    <row r="1074" spans="1:17" x14ac:dyDescent="0.35">
      <c r="A1074" s="2" t="s">
        <v>2932</v>
      </c>
      <c r="B1074" s="103" t="s">
        <v>1342</v>
      </c>
      <c r="C1074" s="11" t="s">
        <v>2933</v>
      </c>
      <c r="D1074" s="71">
        <v>2.8258137254831244</v>
      </c>
      <c r="E1074" s="69">
        <v>94.405536694682525</v>
      </c>
      <c r="F1074" s="72" t="s">
        <v>129</v>
      </c>
      <c r="G1074" s="35">
        <v>2</v>
      </c>
      <c r="H1074" s="1" t="s">
        <v>242</v>
      </c>
      <c r="I1074" s="35">
        <v>22</v>
      </c>
      <c r="J1074" s="46">
        <v>9</v>
      </c>
      <c r="K1074" s="11" t="s">
        <v>704</v>
      </c>
      <c r="L1074" s="27">
        <v>11</v>
      </c>
      <c r="M1074" s="41" t="s">
        <v>796</v>
      </c>
      <c r="N1074" s="43" t="s">
        <v>2934</v>
      </c>
      <c r="O1074" s="1" t="s">
        <v>1390</v>
      </c>
      <c r="Q1074">
        <f t="shared" si="16"/>
        <v>2.8258137254831244</v>
      </c>
    </row>
    <row r="1075" spans="1:17" x14ac:dyDescent="0.35">
      <c r="C1075" s="11" t="s">
        <v>2935</v>
      </c>
      <c r="D1075" s="71">
        <v>-3.9633862944883731</v>
      </c>
      <c r="E1075" s="69">
        <v>93.117010993520935</v>
      </c>
      <c r="F1075" s="72" t="s">
        <v>129</v>
      </c>
      <c r="G1075" s="35">
        <v>20</v>
      </c>
      <c r="H1075" s="1" t="s">
        <v>731</v>
      </c>
      <c r="I1075" s="35">
        <v>22</v>
      </c>
      <c r="J1075" s="46">
        <v>14</v>
      </c>
      <c r="K1075" s="11" t="s">
        <v>747</v>
      </c>
      <c r="L1075" s="27">
        <v>13</v>
      </c>
      <c r="M1075" s="41" t="s">
        <v>836</v>
      </c>
      <c r="N1075" s="41" t="s">
        <v>2936</v>
      </c>
      <c r="O1075" t="s">
        <v>2281</v>
      </c>
      <c r="Q1075">
        <f t="shared" si="16"/>
        <v>3.9633862944883731</v>
      </c>
    </row>
    <row r="1076" spans="1:17" x14ac:dyDescent="0.35">
      <c r="C1076" s="11" t="s">
        <v>2937</v>
      </c>
      <c r="D1076" s="71">
        <v>2.4758193536512447</v>
      </c>
      <c r="E1076" s="69">
        <v>88.598032996172037</v>
      </c>
      <c r="F1076" s="72" t="s">
        <v>129</v>
      </c>
      <c r="G1076" s="35">
        <v>9</v>
      </c>
      <c r="H1076" s="1" t="s">
        <v>642</v>
      </c>
      <c r="I1076" s="35">
        <v>24</v>
      </c>
      <c r="J1076" s="46">
        <v>3</v>
      </c>
      <c r="K1076" s="11" t="s">
        <v>648</v>
      </c>
      <c r="L1076" s="27">
        <v>25</v>
      </c>
      <c r="M1076" s="41" t="s">
        <v>875</v>
      </c>
      <c r="N1076" s="43" t="s">
        <v>2938</v>
      </c>
      <c r="O1076" s="1" t="s">
        <v>1390</v>
      </c>
      <c r="Q1076">
        <f t="shared" si="16"/>
        <v>2.4758193536512447</v>
      </c>
    </row>
    <row r="1077" spans="1:17" x14ac:dyDescent="0.35">
      <c r="C1077" s="11" t="s">
        <v>2939</v>
      </c>
      <c r="D1077" s="71">
        <v>-1.6695682811515602</v>
      </c>
      <c r="E1077" s="69">
        <v>95.92214487047103</v>
      </c>
      <c r="F1077" s="72" t="s">
        <v>129</v>
      </c>
      <c r="G1077" s="35">
        <v>8</v>
      </c>
      <c r="H1077" s="1" t="s">
        <v>643</v>
      </c>
      <c r="I1077" s="35">
        <v>28</v>
      </c>
      <c r="J1077" s="46">
        <v>19</v>
      </c>
      <c r="K1077" s="11" t="s">
        <v>718</v>
      </c>
      <c r="L1077" s="27">
        <v>10</v>
      </c>
      <c r="M1077" s="41" t="s">
        <v>727</v>
      </c>
      <c r="N1077" s="41" t="s">
        <v>2940</v>
      </c>
      <c r="O1077" t="s">
        <v>2281</v>
      </c>
      <c r="Q1077">
        <f t="shared" si="16"/>
        <v>1.6695682811515602</v>
      </c>
    </row>
    <row r="1078" spans="1:17" x14ac:dyDescent="0.35">
      <c r="C1078" s="11" t="s">
        <v>2941</v>
      </c>
      <c r="D1078" s="71">
        <v>-0.54304284337405739</v>
      </c>
      <c r="E1078" s="69">
        <v>98.631856725645804</v>
      </c>
      <c r="F1078" s="72" t="s">
        <v>129</v>
      </c>
      <c r="G1078" s="35">
        <v>1</v>
      </c>
      <c r="H1078" s="1" t="s">
        <v>245</v>
      </c>
      <c r="I1078" s="35">
        <v>21</v>
      </c>
      <c r="J1078" s="46">
        <v>15</v>
      </c>
      <c r="K1078" s="11" t="s">
        <v>644</v>
      </c>
      <c r="L1078" s="27">
        <v>5</v>
      </c>
      <c r="M1078" s="41" t="s">
        <v>793</v>
      </c>
      <c r="N1078" s="41" t="s">
        <v>2942</v>
      </c>
      <c r="O1078" t="s">
        <v>2281</v>
      </c>
      <c r="P1078" s="70" t="s">
        <v>2943</v>
      </c>
      <c r="Q1078">
        <f t="shared" si="16"/>
        <v>0.54304284337405739</v>
      </c>
    </row>
    <row r="1079" spans="1:17" x14ac:dyDescent="0.35">
      <c r="C1079" s="11" t="s">
        <v>2944</v>
      </c>
      <c r="D1079" s="71">
        <v>8.7510034268521508</v>
      </c>
      <c r="E1079" s="69">
        <v>79.463626319497166</v>
      </c>
      <c r="F1079" s="72" t="s">
        <v>129</v>
      </c>
      <c r="G1079" s="35">
        <v>3</v>
      </c>
      <c r="H1079" s="1" t="s">
        <v>468</v>
      </c>
      <c r="I1079" s="35">
        <v>36</v>
      </c>
      <c r="J1079" s="46">
        <v>27</v>
      </c>
      <c r="K1079" s="11" t="s">
        <v>1165</v>
      </c>
      <c r="L1079" s="27">
        <v>42</v>
      </c>
      <c r="M1079" s="41" t="s">
        <v>966</v>
      </c>
      <c r="N1079" s="41" t="s">
        <v>2945</v>
      </c>
      <c r="O1079" t="s">
        <v>2281</v>
      </c>
      <c r="P1079" s="70" t="s">
        <v>2946</v>
      </c>
      <c r="Q1079">
        <f t="shared" si="16"/>
        <v>8.7510034268521508</v>
      </c>
    </row>
    <row r="1080" spans="1:17" x14ac:dyDescent="0.35">
      <c r="C1080" s="11" t="s">
        <v>2947</v>
      </c>
      <c r="D1080" s="71">
        <v>2.0414241245720679</v>
      </c>
      <c r="E1080" s="69">
        <v>88.595992718138362</v>
      </c>
      <c r="F1080" s="72" t="s">
        <v>231</v>
      </c>
      <c r="G1080" s="35">
        <v>18</v>
      </c>
      <c r="H1080" s="1" t="s">
        <v>334</v>
      </c>
      <c r="I1080" s="35">
        <v>17</v>
      </c>
      <c r="J1080" s="46">
        <v>13</v>
      </c>
      <c r="K1080" s="11" t="s">
        <v>328</v>
      </c>
      <c r="L1080" s="27">
        <v>17</v>
      </c>
      <c r="M1080" s="41" t="s">
        <v>796</v>
      </c>
      <c r="N1080" s="41" t="s">
        <v>2948</v>
      </c>
      <c r="O1080" t="s">
        <v>2281</v>
      </c>
      <c r="Q1080">
        <f t="shared" si="16"/>
        <v>2.0414241245720679</v>
      </c>
    </row>
    <row r="1081" spans="1:17" x14ac:dyDescent="0.35">
      <c r="B1081" s="103" t="s">
        <v>1343</v>
      </c>
      <c r="C1081" s="11" t="s">
        <v>2949</v>
      </c>
      <c r="D1081" s="71">
        <v>-6.707063725483124</v>
      </c>
      <c r="E1081" s="94">
        <v>100.66999901960321</v>
      </c>
      <c r="F1081" s="72" t="s">
        <v>129</v>
      </c>
      <c r="G1081" s="35">
        <v>11</v>
      </c>
      <c r="H1081" s="1" t="s">
        <v>704</v>
      </c>
      <c r="I1081" s="35">
        <v>24</v>
      </c>
      <c r="J1081" s="46">
        <v>15</v>
      </c>
      <c r="K1081" s="11" t="s">
        <v>242</v>
      </c>
      <c r="L1081" s="27">
        <v>2</v>
      </c>
      <c r="M1081" s="41" t="s">
        <v>935</v>
      </c>
      <c r="N1081" s="41" t="s">
        <v>2950</v>
      </c>
      <c r="O1081" t="s">
        <v>2281</v>
      </c>
      <c r="P1081" s="70" t="s">
        <v>2951</v>
      </c>
      <c r="Q1081">
        <f t="shared" si="16"/>
        <v>6.707063725483124</v>
      </c>
    </row>
    <row r="1082" spans="1:17" x14ac:dyDescent="0.35">
      <c r="C1082" s="11" t="s">
        <v>2952</v>
      </c>
      <c r="D1082" s="71">
        <v>0.45067620551162751</v>
      </c>
      <c r="E1082" s="69">
        <v>90.216341350663782</v>
      </c>
      <c r="F1082" s="72" t="s">
        <v>231</v>
      </c>
      <c r="G1082" s="35">
        <v>20</v>
      </c>
      <c r="H1082" s="1" t="s">
        <v>731</v>
      </c>
      <c r="I1082" s="35">
        <v>16</v>
      </c>
      <c r="J1082" s="46">
        <v>8</v>
      </c>
      <c r="K1082" s="11" t="s">
        <v>747</v>
      </c>
      <c r="L1082" s="27">
        <v>13</v>
      </c>
      <c r="M1082" s="41" t="s">
        <v>775</v>
      </c>
      <c r="N1082" s="43" t="s">
        <v>2953</v>
      </c>
      <c r="O1082" s="1" t="s">
        <v>1390</v>
      </c>
      <c r="P1082" s="70" t="s">
        <v>2954</v>
      </c>
      <c r="Q1082">
        <f t="shared" si="16"/>
        <v>0.45067620551162751</v>
      </c>
    </row>
    <row r="1083" spans="1:17" x14ac:dyDescent="0.35">
      <c r="C1083" s="11" t="s">
        <v>2955</v>
      </c>
      <c r="D1083" s="71">
        <v>6.7883193536512447</v>
      </c>
      <c r="E1083" s="69">
        <v>85.764104424743465</v>
      </c>
      <c r="F1083" s="72" t="s">
        <v>231</v>
      </c>
      <c r="G1083" s="35">
        <v>9</v>
      </c>
      <c r="H1083" s="1" t="s">
        <v>642</v>
      </c>
      <c r="I1083" s="35">
        <v>31</v>
      </c>
      <c r="J1083" s="46">
        <v>16</v>
      </c>
      <c r="K1083" s="11" t="s">
        <v>648</v>
      </c>
      <c r="L1083" s="27">
        <v>25</v>
      </c>
      <c r="M1083" s="41" t="s">
        <v>790</v>
      </c>
      <c r="N1083" s="43" t="s">
        <v>2956</v>
      </c>
      <c r="O1083" s="1" t="s">
        <v>1390</v>
      </c>
      <c r="P1083" s="70" t="s">
        <v>2957</v>
      </c>
      <c r="Q1083">
        <f t="shared" si="16"/>
        <v>6.7883193536512447</v>
      </c>
    </row>
    <row r="1084" spans="1:17" x14ac:dyDescent="0.35">
      <c r="C1084" s="11" t="s">
        <v>2958</v>
      </c>
      <c r="D1084" s="71">
        <v>2.6663692188484394</v>
      </c>
      <c r="E1084" s="69">
        <v>93.072814513328169</v>
      </c>
      <c r="F1084" s="72" t="s">
        <v>231</v>
      </c>
      <c r="G1084" s="35">
        <v>8</v>
      </c>
      <c r="H1084" s="1" t="s">
        <v>643</v>
      </c>
      <c r="I1084" s="35">
        <v>28</v>
      </c>
      <c r="J1084" s="46">
        <v>19</v>
      </c>
      <c r="K1084" s="11" t="s">
        <v>718</v>
      </c>
      <c r="L1084" s="27">
        <v>10</v>
      </c>
      <c r="M1084" s="41" t="s">
        <v>699</v>
      </c>
      <c r="N1084" s="43" t="s">
        <v>2959</v>
      </c>
      <c r="O1084" s="1" t="s">
        <v>1390</v>
      </c>
      <c r="P1084" s="70" t="s">
        <v>2960</v>
      </c>
      <c r="Q1084">
        <f t="shared" si="16"/>
        <v>2.6663692188484394</v>
      </c>
    </row>
    <row r="1085" spans="1:17" x14ac:dyDescent="0.35">
      <c r="C1085" s="11" t="s">
        <v>2961</v>
      </c>
      <c r="D1085" s="71">
        <v>-3.6757071566259425</v>
      </c>
      <c r="E1085" s="94">
        <v>100.69046470292562</v>
      </c>
      <c r="F1085" s="72" t="s">
        <v>129</v>
      </c>
      <c r="G1085" s="35">
        <v>5</v>
      </c>
      <c r="H1085" s="1" t="s">
        <v>644</v>
      </c>
      <c r="I1085" s="35">
        <v>22</v>
      </c>
      <c r="J1085" s="46">
        <v>20</v>
      </c>
      <c r="K1085" s="11" t="s">
        <v>245</v>
      </c>
      <c r="L1085" s="27">
        <v>1</v>
      </c>
      <c r="M1085" s="41" t="s">
        <v>724</v>
      </c>
      <c r="N1085" s="41" t="s">
        <v>2962</v>
      </c>
      <c r="O1085" t="s">
        <v>2281</v>
      </c>
      <c r="P1085" s="70" t="s">
        <v>2963</v>
      </c>
      <c r="Q1085">
        <f t="shared" si="16"/>
        <v>3.6757071566259425</v>
      </c>
    </row>
    <row r="1086" spans="1:17" x14ac:dyDescent="0.35">
      <c r="C1086" s="11" t="s">
        <v>2964</v>
      </c>
      <c r="D1086" s="71">
        <v>13.027565926852152</v>
      </c>
      <c r="E1086" s="69">
        <v>76.653313819497157</v>
      </c>
      <c r="F1086" s="72" t="s">
        <v>231</v>
      </c>
      <c r="G1086" s="35">
        <v>3</v>
      </c>
      <c r="H1086" s="1" t="s">
        <v>468</v>
      </c>
      <c r="I1086" s="35">
        <v>35</v>
      </c>
      <c r="J1086" s="46">
        <v>15</v>
      </c>
      <c r="K1086" s="11" t="s">
        <v>1165</v>
      </c>
      <c r="L1086" s="27">
        <v>42</v>
      </c>
      <c r="M1086" s="41" t="s">
        <v>719</v>
      </c>
      <c r="N1086" s="43" t="s">
        <v>2965</v>
      </c>
      <c r="O1086" s="1" t="s">
        <v>1390</v>
      </c>
      <c r="P1086" s="70" t="s">
        <v>2966</v>
      </c>
      <c r="Q1086">
        <f t="shared" si="16"/>
        <v>13.027565926852152</v>
      </c>
    </row>
    <row r="1087" spans="1:17" ht="15" thickBot="1" x14ac:dyDescent="0.4">
      <c r="C1087" s="51" t="s">
        <v>2967</v>
      </c>
      <c r="D1087" s="82">
        <v>2.5475314459356153</v>
      </c>
      <c r="E1087" s="76">
        <v>88.263407906956587</v>
      </c>
      <c r="F1087" s="83" t="s">
        <v>231</v>
      </c>
      <c r="G1087" s="49">
        <v>17</v>
      </c>
      <c r="H1087" s="45" t="s">
        <v>328</v>
      </c>
      <c r="I1087" s="49">
        <v>19</v>
      </c>
      <c r="J1087" s="50">
        <v>8</v>
      </c>
      <c r="K1087" s="51" t="s">
        <v>334</v>
      </c>
      <c r="L1087" s="77">
        <v>18</v>
      </c>
      <c r="M1087" s="42" t="s">
        <v>870</v>
      </c>
      <c r="N1087" s="88" t="s">
        <v>2968</v>
      </c>
      <c r="O1087" s="45" t="s">
        <v>1390</v>
      </c>
      <c r="P1087" s="78" t="s">
        <v>2032</v>
      </c>
      <c r="Q1087">
        <f t="shared" si="16"/>
        <v>2.5475314459356153</v>
      </c>
    </row>
    <row r="1088" spans="1:17" x14ac:dyDescent="0.35">
      <c r="A1088" s="2" t="s">
        <v>2969</v>
      </c>
      <c r="B1088" s="103" t="s">
        <v>1344</v>
      </c>
      <c r="C1088" s="11" t="s">
        <v>2970</v>
      </c>
      <c r="D1088" s="71">
        <v>9.1669208435059613</v>
      </c>
      <c r="E1088" s="69">
        <v>36.800413683210031</v>
      </c>
      <c r="F1088" s="72" t="s">
        <v>231</v>
      </c>
      <c r="G1088" s="35">
        <v>29</v>
      </c>
      <c r="H1088" s="1" t="s">
        <v>648</v>
      </c>
      <c r="I1088" s="35">
        <v>26</v>
      </c>
      <c r="J1088" s="46">
        <v>16</v>
      </c>
      <c r="K1088" s="11" t="s">
        <v>737</v>
      </c>
      <c r="L1088" s="27">
        <v>112</v>
      </c>
      <c r="M1088" s="41" t="s">
        <v>2220</v>
      </c>
      <c r="N1088" s="41" t="s">
        <v>2971</v>
      </c>
      <c r="O1088" t="s">
        <v>2281</v>
      </c>
      <c r="Q1088">
        <f t="shared" si="16"/>
        <v>9.1669208435059613</v>
      </c>
    </row>
    <row r="1089" spans="3:17" x14ac:dyDescent="0.35">
      <c r="D1089" s="71">
        <v>7.0281460867886851</v>
      </c>
      <c r="E1089" s="69">
        <v>18.64060993800809</v>
      </c>
      <c r="F1089" s="72" t="s">
        <v>129</v>
      </c>
      <c r="G1089" s="35">
        <v>60</v>
      </c>
      <c r="H1089" s="1" t="s">
        <v>771</v>
      </c>
      <c r="I1089" s="35">
        <v>29</v>
      </c>
      <c r="J1089" s="46">
        <v>18</v>
      </c>
      <c r="K1089" s="11" t="s">
        <v>720</v>
      </c>
      <c r="L1089" s="27">
        <v>111</v>
      </c>
      <c r="M1089" s="41" t="s">
        <v>754</v>
      </c>
      <c r="N1089" s="41" t="s">
        <v>2972</v>
      </c>
      <c r="O1089" t="s">
        <v>2281</v>
      </c>
      <c r="Q1089">
        <f t="shared" si="16"/>
        <v>7.0281460867886851</v>
      </c>
    </row>
    <row r="1090" spans="3:17" x14ac:dyDescent="0.35">
      <c r="D1090" s="71">
        <v>8.4231978855920779</v>
      </c>
      <c r="E1090" s="69">
        <v>34.117358653148521</v>
      </c>
      <c r="F1090" s="72" t="s">
        <v>129</v>
      </c>
      <c r="G1090" s="35">
        <v>39</v>
      </c>
      <c r="H1090" s="1" t="s">
        <v>652</v>
      </c>
      <c r="I1090" s="35">
        <v>27</v>
      </c>
      <c r="J1090" s="46">
        <v>13</v>
      </c>
      <c r="K1090" s="11" t="s">
        <v>638</v>
      </c>
      <c r="L1090" s="27">
        <v>110</v>
      </c>
      <c r="M1090" s="41" t="s">
        <v>699</v>
      </c>
      <c r="N1090" s="41" t="s">
        <v>2973</v>
      </c>
      <c r="O1090" t="s">
        <v>2281</v>
      </c>
      <c r="Q1090">
        <f t="shared" si="16"/>
        <v>8.4231978855920779</v>
      </c>
    </row>
    <row r="1091" spans="3:17" x14ac:dyDescent="0.35">
      <c r="D1091" s="71">
        <v>-6.3047075380814404</v>
      </c>
      <c r="E1091" s="69">
        <v>21.914076812915319</v>
      </c>
      <c r="F1091" s="72" t="s">
        <v>129</v>
      </c>
      <c r="G1091" s="35">
        <v>109</v>
      </c>
      <c r="H1091" s="1" t="s">
        <v>637</v>
      </c>
      <c r="I1091" s="35">
        <v>26</v>
      </c>
      <c r="J1091" s="46">
        <v>15</v>
      </c>
      <c r="K1091" s="11" t="s">
        <v>633</v>
      </c>
      <c r="L1091" s="27">
        <v>76</v>
      </c>
      <c r="M1091" s="41" t="s">
        <v>919</v>
      </c>
      <c r="N1091" s="41" t="s">
        <v>2974</v>
      </c>
      <c r="O1091" t="s">
        <v>2281</v>
      </c>
      <c r="Q1091">
        <f t="shared" ref="Q1091:Q1154" si="17">ABS(D1091)</f>
        <v>6.3047075380814404</v>
      </c>
    </row>
    <row r="1092" spans="3:17" x14ac:dyDescent="0.35">
      <c r="D1092" s="71">
        <v>-5.8126948601321011</v>
      </c>
      <c r="E1092" s="69">
        <v>23.34835347152293</v>
      </c>
      <c r="F1092" s="72" t="s">
        <v>129</v>
      </c>
      <c r="G1092" s="35">
        <v>108</v>
      </c>
      <c r="H1092" s="1" t="s">
        <v>706</v>
      </c>
      <c r="I1092" s="35">
        <v>20</v>
      </c>
      <c r="J1092" s="46">
        <v>15</v>
      </c>
      <c r="K1092" s="11" t="s">
        <v>765</v>
      </c>
      <c r="L1092" s="27">
        <v>73</v>
      </c>
      <c r="M1092" s="41" t="s">
        <v>699</v>
      </c>
      <c r="N1092" s="41" t="s">
        <v>2975</v>
      </c>
      <c r="Q1092">
        <f t="shared" si="17"/>
        <v>5.8126948601321011</v>
      </c>
    </row>
    <row r="1093" spans="3:17" x14ac:dyDescent="0.35">
      <c r="D1093" s="71">
        <v>7.1986143808881238</v>
      </c>
      <c r="E1093" s="69">
        <v>38.6081325850799</v>
      </c>
      <c r="F1093" s="72" t="s">
        <v>129</v>
      </c>
      <c r="G1093" s="35">
        <v>33</v>
      </c>
      <c r="H1093" s="1" t="s">
        <v>667</v>
      </c>
      <c r="I1093" s="35">
        <v>29</v>
      </c>
      <c r="J1093" s="46">
        <v>15</v>
      </c>
      <c r="K1093" s="11" t="s">
        <v>639</v>
      </c>
      <c r="L1093" s="27">
        <v>107</v>
      </c>
      <c r="M1093" s="41" t="s">
        <v>699</v>
      </c>
      <c r="N1093" s="41" t="s">
        <v>2976</v>
      </c>
      <c r="O1093" t="s">
        <v>2281</v>
      </c>
      <c r="Q1093">
        <f t="shared" si="17"/>
        <v>7.1986143808881238</v>
      </c>
    </row>
    <row r="1094" spans="3:17" x14ac:dyDescent="0.35">
      <c r="D1094" s="71">
        <v>-0.5877222234042726</v>
      </c>
      <c r="E1094" s="69">
        <v>11.580515873860197</v>
      </c>
      <c r="F1094" s="72" t="s">
        <v>231</v>
      </c>
      <c r="G1094" s="35">
        <v>106</v>
      </c>
      <c r="H1094" s="1" t="s">
        <v>716</v>
      </c>
      <c r="I1094" s="35">
        <v>17</v>
      </c>
      <c r="J1094" s="46">
        <v>13</v>
      </c>
      <c r="K1094" s="11" t="s">
        <v>734</v>
      </c>
      <c r="L1094" s="27">
        <v>93</v>
      </c>
      <c r="M1094" s="41" t="s">
        <v>724</v>
      </c>
      <c r="N1094" s="41" t="s">
        <v>2977</v>
      </c>
      <c r="O1094" t="s">
        <v>2281</v>
      </c>
      <c r="Q1094">
        <f t="shared" si="17"/>
        <v>0.5877222234042726</v>
      </c>
    </row>
    <row r="1095" spans="3:17" x14ac:dyDescent="0.35">
      <c r="D1095" s="71">
        <v>4.0671965188645247</v>
      </c>
      <c r="E1095" s="69">
        <v>21.648431057953911</v>
      </c>
      <c r="F1095" s="72" t="s">
        <v>129</v>
      </c>
      <c r="G1095" s="35">
        <v>64</v>
      </c>
      <c r="H1095" s="1" t="s">
        <v>776</v>
      </c>
      <c r="I1095" s="35">
        <v>20</v>
      </c>
      <c r="J1095" s="46">
        <v>11</v>
      </c>
      <c r="K1095" s="11" t="s">
        <v>726</v>
      </c>
      <c r="L1095" s="27">
        <v>105</v>
      </c>
      <c r="M1095" s="41" t="s">
        <v>796</v>
      </c>
      <c r="N1095" s="41" t="s">
        <v>2978</v>
      </c>
      <c r="O1095" t="s">
        <v>2281</v>
      </c>
      <c r="Q1095">
        <f t="shared" si="17"/>
        <v>4.0671965188645247</v>
      </c>
    </row>
    <row r="1096" spans="3:17" x14ac:dyDescent="0.35">
      <c r="D1096" s="71">
        <v>-5.7902495588179423</v>
      </c>
      <c r="E1096" s="69">
        <v>45.475178256298534</v>
      </c>
      <c r="F1096" s="72" t="s">
        <v>231</v>
      </c>
      <c r="G1096" s="35">
        <v>104</v>
      </c>
      <c r="H1096" s="1" t="s">
        <v>732</v>
      </c>
      <c r="I1096" s="35">
        <v>24</v>
      </c>
      <c r="J1096" s="46">
        <v>23</v>
      </c>
      <c r="K1096" s="11" t="s">
        <v>755</v>
      </c>
      <c r="L1096" s="27">
        <v>42</v>
      </c>
      <c r="M1096" s="41" t="s">
        <v>907</v>
      </c>
      <c r="N1096" s="41" t="s">
        <v>2979</v>
      </c>
      <c r="O1096" t="s">
        <v>2281</v>
      </c>
      <c r="P1096" s="70" t="s">
        <v>2980</v>
      </c>
      <c r="Q1096">
        <f t="shared" si="17"/>
        <v>5.7902495588179423</v>
      </c>
    </row>
    <row r="1097" spans="3:17" x14ac:dyDescent="0.35">
      <c r="D1097" s="71">
        <v>1.0944048489836298</v>
      </c>
      <c r="E1097" s="69">
        <v>15.736139393583127</v>
      </c>
      <c r="F1097" s="72" t="s">
        <v>129</v>
      </c>
      <c r="G1097" s="35">
        <v>84</v>
      </c>
      <c r="H1097" s="1" t="s">
        <v>676</v>
      </c>
      <c r="I1097" s="35">
        <v>21</v>
      </c>
      <c r="J1097" s="46">
        <v>10</v>
      </c>
      <c r="K1097" s="11" t="s">
        <v>767</v>
      </c>
      <c r="L1097" s="27">
        <v>103</v>
      </c>
      <c r="M1097" s="41" t="s">
        <v>724</v>
      </c>
      <c r="N1097" s="43" t="s">
        <v>2981</v>
      </c>
      <c r="O1097" s="1" t="s">
        <v>1390</v>
      </c>
      <c r="Q1097">
        <f t="shared" si="17"/>
        <v>1.0944048489836298</v>
      </c>
    </row>
    <row r="1098" spans="3:17" x14ac:dyDescent="0.35">
      <c r="D1098" s="71">
        <v>2.6462277005016794</v>
      </c>
      <c r="E1098" s="69">
        <v>23.556265928213083</v>
      </c>
      <c r="F1098" s="72" t="s">
        <v>129</v>
      </c>
      <c r="G1098" s="35">
        <v>65</v>
      </c>
      <c r="H1098" s="1" t="s">
        <v>750</v>
      </c>
      <c r="I1098" s="35">
        <v>22</v>
      </c>
      <c r="J1098" s="46">
        <v>7</v>
      </c>
      <c r="K1098" s="11" t="s">
        <v>709</v>
      </c>
      <c r="L1098" s="27">
        <v>102</v>
      </c>
      <c r="M1098" s="41" t="s">
        <v>775</v>
      </c>
      <c r="N1098" s="43" t="s">
        <v>2982</v>
      </c>
      <c r="O1098" s="1" t="s">
        <v>1390</v>
      </c>
      <c r="Q1098">
        <f t="shared" si="17"/>
        <v>2.6462277005016794</v>
      </c>
    </row>
    <row r="1099" spans="3:17" x14ac:dyDescent="0.35">
      <c r="D1099" s="71">
        <v>0.73187921650682819</v>
      </c>
      <c r="E1099" s="69">
        <v>11.530800559637978</v>
      </c>
      <c r="F1099" s="72" t="s">
        <v>231</v>
      </c>
      <c r="G1099" s="35">
        <v>101</v>
      </c>
      <c r="H1099" s="1" t="s">
        <v>1164</v>
      </c>
      <c r="I1099" s="35">
        <v>26</v>
      </c>
      <c r="J1099" s="46">
        <v>11</v>
      </c>
      <c r="K1099" s="11" t="s">
        <v>1158</v>
      </c>
      <c r="L1099" s="27">
        <v>96</v>
      </c>
      <c r="M1099" s="41" t="s">
        <v>796</v>
      </c>
      <c r="N1099" s="43" t="s">
        <v>2983</v>
      </c>
      <c r="O1099" s="1" t="s">
        <v>1390</v>
      </c>
      <c r="Q1099">
        <f t="shared" si="17"/>
        <v>0.73187921650682819</v>
      </c>
    </row>
    <row r="1100" spans="3:17" x14ac:dyDescent="0.35">
      <c r="D1100" s="71">
        <v>-3.1866603181908633</v>
      </c>
      <c r="E1100" s="69">
        <v>30.401185941564901</v>
      </c>
      <c r="F1100" s="72" t="s">
        <v>231</v>
      </c>
      <c r="G1100" s="35">
        <v>100</v>
      </c>
      <c r="H1100" s="1" t="s">
        <v>792</v>
      </c>
      <c r="I1100" s="35">
        <v>16</v>
      </c>
      <c r="J1100" s="46">
        <v>13</v>
      </c>
      <c r="K1100" s="11" t="s">
        <v>673</v>
      </c>
      <c r="L1100" s="27">
        <v>61</v>
      </c>
      <c r="M1100" s="41" t="s">
        <v>699</v>
      </c>
      <c r="N1100" s="41" t="s">
        <v>2984</v>
      </c>
      <c r="O1100" t="s">
        <v>2281</v>
      </c>
      <c r="Q1100">
        <f t="shared" si="17"/>
        <v>3.1866603181908633</v>
      </c>
    </row>
    <row r="1101" spans="3:17" x14ac:dyDescent="0.35">
      <c r="C1101" s="37"/>
      <c r="D1101" s="71">
        <v>-5.8759342957756342</v>
      </c>
      <c r="E1101" s="69">
        <v>44.331024496982593</v>
      </c>
      <c r="F1101" s="72" t="s">
        <v>129</v>
      </c>
      <c r="G1101" s="35">
        <v>99</v>
      </c>
      <c r="H1101" s="1" t="s">
        <v>757</v>
      </c>
      <c r="I1101" s="35">
        <v>26</v>
      </c>
      <c r="J1101" s="46">
        <v>17</v>
      </c>
      <c r="K1101" s="11" t="s">
        <v>785</v>
      </c>
      <c r="L1101" s="27">
        <v>50</v>
      </c>
      <c r="M1101" s="41" t="s">
        <v>844</v>
      </c>
      <c r="N1101" s="41" t="s">
        <v>2985</v>
      </c>
      <c r="O1101" t="s">
        <v>2281</v>
      </c>
      <c r="Q1101">
        <f t="shared" si="17"/>
        <v>5.8759342957756342</v>
      </c>
    </row>
    <row r="1102" spans="3:17" x14ac:dyDescent="0.35">
      <c r="D1102" s="71">
        <v>2.6218884691778768</v>
      </c>
      <c r="E1102" s="69">
        <v>56.341508236301522</v>
      </c>
      <c r="F1102" s="72" t="s">
        <v>129</v>
      </c>
      <c r="G1102" s="35">
        <v>34</v>
      </c>
      <c r="H1102" s="1" t="s">
        <v>629</v>
      </c>
      <c r="I1102" s="35">
        <v>22</v>
      </c>
      <c r="J1102" s="46">
        <v>10</v>
      </c>
      <c r="K1102" s="11" t="s">
        <v>635</v>
      </c>
      <c r="L1102" s="27">
        <v>70</v>
      </c>
      <c r="M1102" s="41" t="s">
        <v>796</v>
      </c>
      <c r="N1102" s="41" t="s">
        <v>2986</v>
      </c>
      <c r="O1102" t="s">
        <v>2281</v>
      </c>
      <c r="P1102" s="70" t="s">
        <v>2825</v>
      </c>
      <c r="Q1102">
        <f t="shared" si="17"/>
        <v>2.6218884691778768</v>
      </c>
    </row>
    <row r="1103" spans="3:17" x14ac:dyDescent="0.35">
      <c r="D1103" s="71">
        <v>-1.1965380383887532</v>
      </c>
      <c r="E1103" s="69">
        <v>55.051098598849116</v>
      </c>
      <c r="F1103" s="72" t="s">
        <v>231</v>
      </c>
      <c r="G1103" s="35">
        <v>69</v>
      </c>
      <c r="H1103" s="1" t="s">
        <v>761</v>
      </c>
      <c r="I1103" s="35">
        <v>21</v>
      </c>
      <c r="J1103" s="46">
        <v>16</v>
      </c>
      <c r="K1103" s="11" t="s">
        <v>671</v>
      </c>
      <c r="L1103" s="27">
        <v>45</v>
      </c>
      <c r="M1103" s="41" t="s">
        <v>702</v>
      </c>
      <c r="N1103" s="41" t="s">
        <v>2987</v>
      </c>
      <c r="O1103" t="s">
        <v>2281</v>
      </c>
      <c r="Q1103">
        <f t="shared" si="17"/>
        <v>1.1965380383887532</v>
      </c>
    </row>
    <row r="1104" spans="3:17" x14ac:dyDescent="0.35">
      <c r="D1104" s="71">
        <v>3.2613442172297482</v>
      </c>
      <c r="E1104" s="69">
        <v>28.920468416264466</v>
      </c>
      <c r="F1104" s="72" t="s">
        <v>231</v>
      </c>
      <c r="G1104" s="35">
        <v>68</v>
      </c>
      <c r="H1104" s="1" t="s">
        <v>742</v>
      </c>
      <c r="I1104" s="35">
        <v>18</v>
      </c>
      <c r="J1104" s="46">
        <v>11</v>
      </c>
      <c r="K1104" s="11" t="s">
        <v>722</v>
      </c>
      <c r="L1104" s="27">
        <v>86</v>
      </c>
      <c r="M1104" s="41" t="s">
        <v>789</v>
      </c>
      <c r="N1104" s="41" t="s">
        <v>2988</v>
      </c>
      <c r="O1104" t="s">
        <v>2281</v>
      </c>
      <c r="Q1104">
        <f t="shared" si="17"/>
        <v>3.2613442172297482</v>
      </c>
    </row>
    <row r="1105" spans="1:17" x14ac:dyDescent="0.35">
      <c r="D1105" s="71">
        <v>-4.2845032916377068</v>
      </c>
      <c r="E1105" s="69">
        <v>62.078216636884079</v>
      </c>
      <c r="F1105" s="72" t="s">
        <v>129</v>
      </c>
      <c r="G1105" s="35">
        <v>67</v>
      </c>
      <c r="H1105" s="1" t="s">
        <v>768</v>
      </c>
      <c r="I1105" s="35">
        <v>29</v>
      </c>
      <c r="J1105" s="46">
        <v>14</v>
      </c>
      <c r="K1105" s="11" t="s">
        <v>780</v>
      </c>
      <c r="L1105" s="27">
        <v>35</v>
      </c>
      <c r="M1105" s="41" t="s">
        <v>1174</v>
      </c>
      <c r="N1105" s="43" t="s">
        <v>2989</v>
      </c>
      <c r="O1105" s="1" t="s">
        <v>1390</v>
      </c>
      <c r="Q1105">
        <f t="shared" si="17"/>
        <v>4.2845032916377068</v>
      </c>
    </row>
    <row r="1106" spans="1:17" x14ac:dyDescent="0.35">
      <c r="D1106" s="71">
        <v>0.36431994989585947</v>
      </c>
      <c r="E1106" s="69">
        <v>43.936200035788673</v>
      </c>
      <c r="F1106" s="72" t="s">
        <v>231</v>
      </c>
      <c r="G1106" s="35">
        <v>66</v>
      </c>
      <c r="H1106" s="1" t="s">
        <v>712</v>
      </c>
      <c r="I1106" s="35">
        <v>10</v>
      </c>
      <c r="J1106" s="46">
        <v>4</v>
      </c>
      <c r="K1106" s="11" t="s">
        <v>763</v>
      </c>
      <c r="L1106" s="27">
        <v>59</v>
      </c>
      <c r="M1106" s="41" t="s">
        <v>924</v>
      </c>
      <c r="N1106" s="43" t="s">
        <v>2990</v>
      </c>
      <c r="O1106" s="1" t="s">
        <v>1390</v>
      </c>
      <c r="Q1106">
        <f t="shared" si="17"/>
        <v>0.36431994989585947</v>
      </c>
    </row>
    <row r="1107" spans="1:17" x14ac:dyDescent="0.35">
      <c r="A1107" s="2" t="s">
        <v>2991</v>
      </c>
      <c r="D1107" s="71">
        <v>8.4588941874339074</v>
      </c>
      <c r="E1107" s="69">
        <v>68.243647008975785</v>
      </c>
      <c r="F1107" s="72" t="s">
        <v>231</v>
      </c>
      <c r="G1107" s="35">
        <v>9</v>
      </c>
      <c r="H1107" s="1" t="s">
        <v>352</v>
      </c>
      <c r="I1107" s="35">
        <v>28</v>
      </c>
      <c r="J1107" s="46">
        <v>7</v>
      </c>
      <c r="K1107" s="11" t="s">
        <v>632</v>
      </c>
      <c r="L1107" s="27">
        <v>63</v>
      </c>
      <c r="M1107" s="41" t="s">
        <v>724</v>
      </c>
      <c r="N1107" s="43" t="s">
        <v>2992</v>
      </c>
      <c r="O1107" s="1" t="s">
        <v>1390</v>
      </c>
      <c r="Q1107">
        <f t="shared" si="17"/>
        <v>8.4588941874339074</v>
      </c>
    </row>
    <row r="1108" spans="1:17" x14ac:dyDescent="0.35">
      <c r="D1108" s="71">
        <v>0.85611765497329173</v>
      </c>
      <c r="E1108" s="69">
        <v>58.00455881787623</v>
      </c>
      <c r="F1108" s="72" t="s">
        <v>129</v>
      </c>
      <c r="G1108" s="35">
        <v>41</v>
      </c>
      <c r="H1108" s="1" t="s">
        <v>649</v>
      </c>
      <c r="I1108" s="35">
        <v>22</v>
      </c>
      <c r="J1108" s="46">
        <v>17</v>
      </c>
      <c r="K1108" s="11" t="s">
        <v>772</v>
      </c>
      <c r="L1108" s="27">
        <v>62</v>
      </c>
      <c r="M1108" s="41" t="s">
        <v>907</v>
      </c>
      <c r="N1108" s="41" t="s">
        <v>2993</v>
      </c>
      <c r="O1108" t="s">
        <v>2281</v>
      </c>
      <c r="Q1108">
        <f t="shared" si="17"/>
        <v>0.85611765497329173</v>
      </c>
    </row>
    <row r="1109" spans="1:17" x14ac:dyDescent="0.35">
      <c r="A1109" s="2" t="s">
        <v>2994</v>
      </c>
      <c r="D1109" s="71">
        <v>3.7180611463167814</v>
      </c>
      <c r="E1109" s="69">
        <v>37.183527752630873</v>
      </c>
      <c r="F1109" s="72" t="s">
        <v>231</v>
      </c>
      <c r="G1109" s="35">
        <v>58</v>
      </c>
      <c r="H1109" s="1" t="s">
        <v>665</v>
      </c>
      <c r="I1109" s="35">
        <v>18</v>
      </c>
      <c r="J1109" s="46">
        <v>14</v>
      </c>
      <c r="K1109" s="11" t="s">
        <v>774</v>
      </c>
      <c r="L1109" s="27">
        <v>79</v>
      </c>
      <c r="M1109" s="41" t="s">
        <v>773</v>
      </c>
      <c r="N1109" s="41" t="s">
        <v>2995</v>
      </c>
      <c r="O1109" s="6" t="s">
        <v>1386</v>
      </c>
      <c r="P1109" s="81" t="s">
        <v>2996</v>
      </c>
      <c r="Q1109">
        <f t="shared" si="17"/>
        <v>3.7180611463167814</v>
      </c>
    </row>
    <row r="1110" spans="1:17" x14ac:dyDescent="0.35">
      <c r="D1110" s="71">
        <v>5.2066033693661904</v>
      </c>
      <c r="E1110" s="69">
        <v>27.08456902188129</v>
      </c>
      <c r="F1110" s="72" t="s">
        <v>231</v>
      </c>
      <c r="G1110" s="35">
        <v>57</v>
      </c>
      <c r="H1110" s="1" t="s">
        <v>1160</v>
      </c>
      <c r="I1110" s="35">
        <v>27</v>
      </c>
      <c r="J1110" s="46">
        <v>18</v>
      </c>
      <c r="K1110" s="11" t="s">
        <v>1156</v>
      </c>
      <c r="L1110" s="27">
        <v>98</v>
      </c>
      <c r="M1110" s="41" t="s">
        <v>866</v>
      </c>
      <c r="N1110" s="41" t="s">
        <v>2997</v>
      </c>
      <c r="O1110" t="s">
        <v>2281</v>
      </c>
      <c r="Q1110">
        <f t="shared" si="17"/>
        <v>5.2066033693661904</v>
      </c>
    </row>
    <row r="1111" spans="1:17" x14ac:dyDescent="0.35">
      <c r="A1111" s="2" t="s">
        <v>2998</v>
      </c>
      <c r="D1111" s="71">
        <v>5.9954764514628085</v>
      </c>
      <c r="E1111" s="69">
        <v>68.217516820383707</v>
      </c>
      <c r="F1111" s="72" t="s">
        <v>231</v>
      </c>
      <c r="G1111" s="35">
        <v>21</v>
      </c>
      <c r="H1111" s="1" t="s">
        <v>660</v>
      </c>
      <c r="I1111" s="35">
        <v>24</v>
      </c>
      <c r="J1111" s="46">
        <v>16</v>
      </c>
      <c r="K1111" s="11" t="s">
        <v>713</v>
      </c>
      <c r="L1111" s="27">
        <v>56</v>
      </c>
      <c r="M1111" s="41" t="s">
        <v>781</v>
      </c>
      <c r="N1111" s="41" t="s">
        <v>2999</v>
      </c>
      <c r="O1111" t="s">
        <v>2281</v>
      </c>
      <c r="Q1111">
        <f t="shared" si="17"/>
        <v>5.9954764514628085</v>
      </c>
    </row>
    <row r="1112" spans="1:17" x14ac:dyDescent="0.35">
      <c r="D1112" s="71">
        <v>0.81557414106481918</v>
      </c>
      <c r="E1112" s="69">
        <v>56.426375613525124</v>
      </c>
      <c r="F1112" s="72" t="s">
        <v>231</v>
      </c>
      <c r="G1112" s="35">
        <v>55</v>
      </c>
      <c r="H1112" s="1" t="s">
        <v>681</v>
      </c>
      <c r="I1112" s="35">
        <v>23</v>
      </c>
      <c r="J1112" s="46">
        <v>15</v>
      </c>
      <c r="K1112" s="11" t="s">
        <v>666</v>
      </c>
      <c r="L1112" s="27">
        <v>52</v>
      </c>
      <c r="M1112" s="41" t="s">
        <v>724</v>
      </c>
      <c r="N1112" s="41" t="s">
        <v>3000</v>
      </c>
      <c r="O1112" t="s">
        <v>2281</v>
      </c>
      <c r="Q1112">
        <f t="shared" si="17"/>
        <v>0.81557414106481918</v>
      </c>
    </row>
    <row r="1113" spans="1:17" x14ac:dyDescent="0.35">
      <c r="D1113" s="71">
        <v>1.7565269121009892</v>
      </c>
      <c r="E1113" s="69">
        <v>44.504266491356439</v>
      </c>
      <c r="F1113" s="72" t="s">
        <v>129</v>
      </c>
      <c r="G1113" s="35">
        <v>54</v>
      </c>
      <c r="H1113" s="1" t="s">
        <v>778</v>
      </c>
      <c r="I1113" s="35">
        <v>21</v>
      </c>
      <c r="J1113" s="46">
        <v>18</v>
      </c>
      <c r="K1113" s="11" t="s">
        <v>764</v>
      </c>
      <c r="L1113" s="27">
        <v>81</v>
      </c>
      <c r="M1113" s="41" t="s">
        <v>952</v>
      </c>
      <c r="N1113" s="41" t="s">
        <v>3001</v>
      </c>
      <c r="O1113" t="s">
        <v>2281</v>
      </c>
      <c r="Q1113">
        <f t="shared" si="17"/>
        <v>1.7565269121009892</v>
      </c>
    </row>
    <row r="1114" spans="1:17" x14ac:dyDescent="0.35">
      <c r="D1114" s="71">
        <v>-5.3428008235936248</v>
      </c>
      <c r="E1114" s="69">
        <v>81.31628630256688</v>
      </c>
      <c r="F1114" s="72" t="s">
        <v>129</v>
      </c>
      <c r="G1114" s="35">
        <v>53</v>
      </c>
      <c r="H1114" s="1" t="s">
        <v>693</v>
      </c>
      <c r="I1114" s="35">
        <v>19</v>
      </c>
      <c r="J1114" s="46">
        <v>14</v>
      </c>
      <c r="K1114" s="11" t="s">
        <v>718</v>
      </c>
      <c r="L1114" s="27">
        <v>10</v>
      </c>
      <c r="M1114" s="41" t="s">
        <v>793</v>
      </c>
      <c r="N1114" s="41" t="s">
        <v>3002</v>
      </c>
      <c r="O1114" t="s">
        <v>2281</v>
      </c>
      <c r="Q1114">
        <f t="shared" si="17"/>
        <v>5.3428008235936248</v>
      </c>
    </row>
    <row r="1115" spans="1:17" x14ac:dyDescent="0.35">
      <c r="D1115" s="71">
        <v>4.6007688046350301</v>
      </c>
      <c r="E1115" s="69">
        <v>40.06195085383213</v>
      </c>
      <c r="F1115" s="72" t="s">
        <v>231</v>
      </c>
      <c r="G1115" s="35">
        <v>51</v>
      </c>
      <c r="H1115" s="1" t="s">
        <v>783</v>
      </c>
      <c r="I1115" s="35">
        <v>13</v>
      </c>
      <c r="J1115" s="46">
        <v>8</v>
      </c>
      <c r="K1115" s="11" t="s">
        <v>779</v>
      </c>
      <c r="L1115" s="27">
        <v>90</v>
      </c>
      <c r="M1115" s="41" t="s">
        <v>814</v>
      </c>
      <c r="N1115" s="41" t="s">
        <v>3003</v>
      </c>
      <c r="O1115" t="s">
        <v>2281</v>
      </c>
      <c r="Q1115">
        <f t="shared" si="17"/>
        <v>4.6007688046350301</v>
      </c>
    </row>
    <row r="1116" spans="1:17" x14ac:dyDescent="0.35">
      <c r="D1116" s="71">
        <v>-1.6772754143894355</v>
      </c>
      <c r="E1116" s="69">
        <v>17.269482438849604</v>
      </c>
      <c r="F1116" s="72" t="s">
        <v>129</v>
      </c>
      <c r="G1116" s="35">
        <v>97</v>
      </c>
      <c r="H1116" s="1" t="s">
        <v>1157</v>
      </c>
      <c r="I1116" s="35">
        <v>15</v>
      </c>
      <c r="J1116" s="46">
        <v>8</v>
      </c>
      <c r="K1116" s="11" t="s">
        <v>1161</v>
      </c>
      <c r="L1116" s="27">
        <v>91</v>
      </c>
      <c r="M1116" s="41" t="s">
        <v>748</v>
      </c>
      <c r="N1116" s="41" t="s">
        <v>3004</v>
      </c>
      <c r="O1116" t="s">
        <v>2281</v>
      </c>
      <c r="P1116" s="70" t="s">
        <v>2843</v>
      </c>
      <c r="Q1116">
        <f t="shared" si="17"/>
        <v>1.6772754143894355</v>
      </c>
    </row>
    <row r="1117" spans="1:17" x14ac:dyDescent="0.35">
      <c r="D1117" s="71">
        <v>7.475442487728138</v>
      </c>
      <c r="E1117" s="69">
        <v>52.160398223051317</v>
      </c>
      <c r="F1117" s="72" t="s">
        <v>129</v>
      </c>
      <c r="G1117" s="35">
        <v>24</v>
      </c>
      <c r="H1117" s="1" t="s">
        <v>646</v>
      </c>
      <c r="I1117" s="35">
        <v>20</v>
      </c>
      <c r="J1117" s="46">
        <v>15</v>
      </c>
      <c r="K1117" s="11" t="s">
        <v>723</v>
      </c>
      <c r="L1117" s="27">
        <v>95</v>
      </c>
      <c r="M1117" s="41" t="s">
        <v>717</v>
      </c>
      <c r="N1117" s="41" t="s">
        <v>3005</v>
      </c>
      <c r="O1117" t="s">
        <v>2281</v>
      </c>
      <c r="Q1117">
        <f t="shared" si="17"/>
        <v>7.475442487728138</v>
      </c>
    </row>
    <row r="1118" spans="1:17" x14ac:dyDescent="0.35">
      <c r="D1118" s="71">
        <v>-2.1985027104509274</v>
      </c>
      <c r="E1118" s="69">
        <v>22.998930507464944</v>
      </c>
      <c r="F1118" s="72" t="s">
        <v>129</v>
      </c>
      <c r="G1118" s="35">
        <v>94</v>
      </c>
      <c r="H1118" s="1" t="s">
        <v>1155</v>
      </c>
      <c r="I1118" s="35">
        <v>18</v>
      </c>
      <c r="J1118" s="46">
        <v>12</v>
      </c>
      <c r="K1118" s="11" t="s">
        <v>1162</v>
      </c>
      <c r="L1118" s="27">
        <v>82</v>
      </c>
      <c r="M1118" s="41" t="s">
        <v>793</v>
      </c>
      <c r="N1118" s="41" t="s">
        <v>3006</v>
      </c>
      <c r="O1118" t="s">
        <v>2281</v>
      </c>
      <c r="Q1118">
        <f t="shared" si="17"/>
        <v>2.1985027104509274</v>
      </c>
    </row>
    <row r="1119" spans="1:17" x14ac:dyDescent="0.35">
      <c r="D1119" s="71">
        <v>9.47852335203598</v>
      </c>
      <c r="E1119" s="69">
        <v>60.015340462831446</v>
      </c>
      <c r="F1119" s="72" t="s">
        <v>129</v>
      </c>
      <c r="G1119" s="35">
        <v>1</v>
      </c>
      <c r="H1119" s="1" t="s">
        <v>245</v>
      </c>
      <c r="I1119" s="35">
        <v>15</v>
      </c>
      <c r="J1119" s="46">
        <v>14</v>
      </c>
      <c r="K1119" s="11" t="s">
        <v>756</v>
      </c>
      <c r="L1119" s="27">
        <v>92</v>
      </c>
      <c r="M1119" s="41" t="s">
        <v>1196</v>
      </c>
      <c r="N1119" s="41" t="s">
        <v>3007</v>
      </c>
      <c r="O1119" s="6" t="s">
        <v>1386</v>
      </c>
      <c r="P1119" s="70" t="s">
        <v>3008</v>
      </c>
      <c r="Q1119">
        <f t="shared" si="17"/>
        <v>9.47852335203598</v>
      </c>
    </row>
    <row r="1120" spans="1:17" x14ac:dyDescent="0.35">
      <c r="A1120" s="2" t="s">
        <v>3009</v>
      </c>
      <c r="D1120" s="71">
        <v>5.4926619967896553</v>
      </c>
      <c r="E1120" s="69">
        <v>55.362384288007391</v>
      </c>
      <c r="F1120" s="72" t="s">
        <v>129</v>
      </c>
      <c r="G1120" s="35">
        <v>25</v>
      </c>
      <c r="H1120" s="1" t="s">
        <v>753</v>
      </c>
      <c r="I1120" s="35">
        <v>18</v>
      </c>
      <c r="J1120" s="46">
        <v>14</v>
      </c>
      <c r="K1120" s="11" t="s">
        <v>582</v>
      </c>
      <c r="L1120" s="27">
        <v>89</v>
      </c>
      <c r="M1120" s="41" t="s">
        <v>889</v>
      </c>
      <c r="N1120" s="41" t="s">
        <v>3010</v>
      </c>
      <c r="O1120" t="s">
        <v>2281</v>
      </c>
      <c r="Q1120">
        <f t="shared" si="17"/>
        <v>5.4926619967896553</v>
      </c>
    </row>
    <row r="1121" spans="4:17" x14ac:dyDescent="0.35">
      <c r="D1121" s="71">
        <v>-5.688762867993769</v>
      </c>
      <c r="E1121" s="69">
        <v>65.849116334281248</v>
      </c>
      <c r="F1121" s="72" t="s">
        <v>231</v>
      </c>
      <c r="G1121" s="35">
        <v>88</v>
      </c>
      <c r="H1121" s="1" t="s">
        <v>700</v>
      </c>
      <c r="I1121" s="35">
        <v>24</v>
      </c>
      <c r="J1121" s="46">
        <v>18</v>
      </c>
      <c r="K1121" s="11" t="s">
        <v>731</v>
      </c>
      <c r="L1121" s="27">
        <v>19</v>
      </c>
      <c r="M1121" s="41" t="s">
        <v>920</v>
      </c>
      <c r="N1121" s="41" t="s">
        <v>3011</v>
      </c>
      <c r="O1121" t="s">
        <v>2281</v>
      </c>
      <c r="Q1121">
        <f t="shared" si="17"/>
        <v>5.688762867993769</v>
      </c>
    </row>
    <row r="1122" spans="4:17" x14ac:dyDescent="0.35">
      <c r="D1122" s="71">
        <v>4.3098885123579329</v>
      </c>
      <c r="E1122" s="69">
        <v>44.287579634030052</v>
      </c>
      <c r="F1122" s="72" t="s">
        <v>231</v>
      </c>
      <c r="G1122" s="35">
        <v>44</v>
      </c>
      <c r="H1122" s="1" t="s">
        <v>679</v>
      </c>
      <c r="I1122" s="35">
        <v>14</v>
      </c>
      <c r="J1122" s="46">
        <v>10</v>
      </c>
      <c r="K1122" s="11" t="s">
        <v>760</v>
      </c>
      <c r="L1122" s="27">
        <v>87</v>
      </c>
      <c r="M1122" s="41" t="s">
        <v>814</v>
      </c>
      <c r="N1122" s="41" t="s">
        <v>3012</v>
      </c>
      <c r="O1122" t="s">
        <v>2281</v>
      </c>
      <c r="Q1122">
        <f t="shared" si="17"/>
        <v>4.3098885123579329</v>
      </c>
    </row>
    <row r="1123" spans="4:17" x14ac:dyDescent="0.35">
      <c r="D1123" s="71">
        <v>-2.1223742216990638</v>
      </c>
      <c r="E1123" s="69">
        <v>47.676695872642185</v>
      </c>
      <c r="F1123" s="72" t="s">
        <v>231</v>
      </c>
      <c r="G1123" s="35">
        <v>85</v>
      </c>
      <c r="H1123" s="1" t="s">
        <v>777</v>
      </c>
      <c r="I1123" s="35">
        <v>19</v>
      </c>
      <c r="J1123" s="46">
        <v>15</v>
      </c>
      <c r="K1123" s="11" t="s">
        <v>746</v>
      </c>
      <c r="L1123" s="27">
        <v>49</v>
      </c>
      <c r="M1123" s="41" t="s">
        <v>699</v>
      </c>
      <c r="N1123" s="41" t="s">
        <v>3013</v>
      </c>
      <c r="O1123" t="s">
        <v>2281</v>
      </c>
      <c r="Q1123">
        <f t="shared" si="17"/>
        <v>2.1223742216990638</v>
      </c>
    </row>
    <row r="1124" spans="4:17" x14ac:dyDescent="0.35">
      <c r="D1124" s="71">
        <v>5.6937219755202042</v>
      </c>
      <c r="E1124" s="69">
        <v>47.718770017485568</v>
      </c>
      <c r="F1124" s="72" t="s">
        <v>231</v>
      </c>
      <c r="G1124" s="35">
        <v>37</v>
      </c>
      <c r="H1124" s="1" t="s">
        <v>630</v>
      </c>
      <c r="I1124" s="35">
        <v>16</v>
      </c>
      <c r="J1124" s="46">
        <v>11</v>
      </c>
      <c r="K1124" s="11" t="s">
        <v>636</v>
      </c>
      <c r="L1124" s="27">
        <v>83</v>
      </c>
      <c r="M1124" s="41" t="s">
        <v>1442</v>
      </c>
      <c r="N1124" s="41" t="s">
        <v>3014</v>
      </c>
      <c r="O1124" t="s">
        <v>2281</v>
      </c>
      <c r="Q1124">
        <f t="shared" si="17"/>
        <v>5.6937219755202042</v>
      </c>
    </row>
    <row r="1125" spans="4:17" x14ac:dyDescent="0.35">
      <c r="D1125" s="71">
        <v>-5.4628445654884814</v>
      </c>
      <c r="E1125" s="69">
        <v>59.705603261063203</v>
      </c>
      <c r="F1125" s="72" t="s">
        <v>231</v>
      </c>
      <c r="G1125" s="35">
        <v>80</v>
      </c>
      <c r="H1125" s="1" t="s">
        <v>1163</v>
      </c>
      <c r="I1125" s="35">
        <v>25</v>
      </c>
      <c r="J1125" s="46">
        <v>21</v>
      </c>
      <c r="K1125" s="11" t="s">
        <v>664</v>
      </c>
      <c r="L1125" s="27">
        <v>30</v>
      </c>
      <c r="M1125" s="41" t="s">
        <v>851</v>
      </c>
      <c r="N1125" s="41" t="s">
        <v>3015</v>
      </c>
      <c r="O1125" t="s">
        <v>2281</v>
      </c>
      <c r="P1125" s="70" t="s">
        <v>3016</v>
      </c>
      <c r="Q1125">
        <f t="shared" si="17"/>
        <v>5.4628445654884814</v>
      </c>
    </row>
    <row r="1126" spans="4:17" x14ac:dyDescent="0.35">
      <c r="D1126" s="71">
        <v>6.6677900076280165</v>
      </c>
      <c r="E1126" s="69">
        <v>61.665864280265701</v>
      </c>
      <c r="F1126" s="72" t="s">
        <v>231</v>
      </c>
      <c r="G1126" s="35">
        <v>16</v>
      </c>
      <c r="H1126" s="1" t="s">
        <v>328</v>
      </c>
      <c r="I1126" s="35">
        <v>21</v>
      </c>
      <c r="J1126" s="46">
        <v>13</v>
      </c>
      <c r="K1126" s="11" t="s">
        <v>631</v>
      </c>
      <c r="L1126" s="27">
        <v>78</v>
      </c>
      <c r="M1126" s="41" t="s">
        <v>710</v>
      </c>
      <c r="N1126" s="41" t="s">
        <v>3017</v>
      </c>
      <c r="O1126" t="s">
        <v>2281</v>
      </c>
      <c r="Q1126">
        <f t="shared" si="17"/>
        <v>6.6677900076280165</v>
      </c>
    </row>
    <row r="1127" spans="4:17" x14ac:dyDescent="0.35">
      <c r="D1127" s="71">
        <v>7.0727361023868633</v>
      </c>
      <c r="E1127" s="69">
        <v>63.519474212580818</v>
      </c>
      <c r="F1127" s="72" t="s">
        <v>129</v>
      </c>
      <c r="G1127" s="35">
        <v>11</v>
      </c>
      <c r="H1127" s="1" t="s">
        <v>640</v>
      </c>
      <c r="I1127" s="35">
        <v>28</v>
      </c>
      <c r="J1127" s="46">
        <v>24</v>
      </c>
      <c r="K1127" s="11" t="s">
        <v>738</v>
      </c>
      <c r="L1127" s="27">
        <v>77</v>
      </c>
      <c r="M1127" s="41" t="s">
        <v>1024</v>
      </c>
      <c r="N1127" s="41" t="s">
        <v>3018</v>
      </c>
      <c r="O1127" t="s">
        <v>2281</v>
      </c>
      <c r="Q1127">
        <f t="shared" si="17"/>
        <v>7.0727361023868633</v>
      </c>
    </row>
    <row r="1128" spans="4:17" x14ac:dyDescent="0.35">
      <c r="D1128" s="71">
        <v>2.740222568253186</v>
      </c>
      <c r="E1128" s="69">
        <v>51.837341022676299</v>
      </c>
      <c r="F1128" s="72" t="s">
        <v>129</v>
      </c>
      <c r="G1128" s="35">
        <v>40</v>
      </c>
      <c r="H1128" s="1" t="s">
        <v>663</v>
      </c>
      <c r="I1128" s="35">
        <v>21</v>
      </c>
      <c r="J1128" s="46">
        <v>13</v>
      </c>
      <c r="K1128" s="11" t="s">
        <v>751</v>
      </c>
      <c r="L1128" s="27">
        <v>75</v>
      </c>
      <c r="M1128" s="41" t="s">
        <v>724</v>
      </c>
      <c r="N1128" s="41" t="s">
        <v>3019</v>
      </c>
      <c r="O1128" t="s">
        <v>2281</v>
      </c>
      <c r="Q1128">
        <f t="shared" si="17"/>
        <v>2.740222568253186</v>
      </c>
    </row>
    <row r="1129" spans="4:17" x14ac:dyDescent="0.35">
      <c r="D1129" s="71">
        <v>6.4426388028571608</v>
      </c>
      <c r="E1129" s="69">
        <v>61.826686569387746</v>
      </c>
      <c r="F1129" s="72" t="s">
        <v>231</v>
      </c>
      <c r="G1129" s="35">
        <v>20</v>
      </c>
      <c r="H1129" s="1" t="s">
        <v>334</v>
      </c>
      <c r="I1129" s="35">
        <v>19</v>
      </c>
      <c r="J1129" s="46">
        <v>15</v>
      </c>
      <c r="K1129" s="11" t="s">
        <v>634</v>
      </c>
      <c r="L1129" s="27">
        <v>74</v>
      </c>
      <c r="M1129" s="41" t="s">
        <v>727</v>
      </c>
      <c r="N1129" s="41" t="s">
        <v>3020</v>
      </c>
      <c r="O1129" t="s">
        <v>2281</v>
      </c>
      <c r="Q1129">
        <f t="shared" si="17"/>
        <v>6.4426388028571608</v>
      </c>
    </row>
    <row r="1130" spans="4:17" x14ac:dyDescent="0.35">
      <c r="D1130" s="71">
        <v>6.8994348760846496</v>
      </c>
      <c r="E1130" s="69">
        <v>61.143260802796682</v>
      </c>
      <c r="F1130" s="72" t="s">
        <v>231</v>
      </c>
      <c r="G1130" s="35">
        <v>23</v>
      </c>
      <c r="H1130" s="1" t="s">
        <v>670</v>
      </c>
      <c r="I1130" s="35">
        <v>23</v>
      </c>
      <c r="J1130" s="46">
        <v>12</v>
      </c>
      <c r="K1130" s="11" t="s">
        <v>743</v>
      </c>
      <c r="L1130" s="27">
        <v>72</v>
      </c>
      <c r="M1130" s="41" t="s">
        <v>789</v>
      </c>
      <c r="N1130" s="41" t="s">
        <v>3021</v>
      </c>
      <c r="O1130" t="s">
        <v>2281</v>
      </c>
      <c r="P1130" s="70" t="s">
        <v>2862</v>
      </c>
      <c r="Q1130">
        <f t="shared" si="17"/>
        <v>6.8994348760846496</v>
      </c>
    </row>
    <row r="1131" spans="4:17" x14ac:dyDescent="0.35">
      <c r="D1131" s="71">
        <v>8.9440342185191035</v>
      </c>
      <c r="E1131" s="69">
        <v>66.82568984391493</v>
      </c>
      <c r="F1131" s="72" t="s">
        <v>231</v>
      </c>
      <c r="G1131" s="35">
        <v>4</v>
      </c>
      <c r="H1131" s="1" t="s">
        <v>644</v>
      </c>
      <c r="I1131" s="35">
        <v>22</v>
      </c>
      <c r="J1131" s="46">
        <v>17</v>
      </c>
      <c r="K1131" s="11" t="s">
        <v>784</v>
      </c>
      <c r="L1131" s="27">
        <v>71</v>
      </c>
      <c r="M1131" s="41" t="s">
        <v>857</v>
      </c>
      <c r="N1131" s="41" t="s">
        <v>3022</v>
      </c>
      <c r="O1131" t="s">
        <v>2281</v>
      </c>
      <c r="Q1131">
        <f t="shared" si="17"/>
        <v>8.9440342185191035</v>
      </c>
    </row>
    <row r="1132" spans="4:17" x14ac:dyDescent="0.35">
      <c r="D1132" s="71">
        <v>3.2018378220557651</v>
      </c>
      <c r="E1132" s="69">
        <v>67.579044412817311</v>
      </c>
      <c r="F1132" s="72" t="s">
        <v>231</v>
      </c>
      <c r="G1132" s="35">
        <v>27</v>
      </c>
      <c r="H1132" s="1" t="s">
        <v>661</v>
      </c>
      <c r="I1132" s="35">
        <v>19</v>
      </c>
      <c r="J1132" s="46">
        <v>12</v>
      </c>
      <c r="K1132" s="11" t="s">
        <v>729</v>
      </c>
      <c r="L1132" s="27">
        <v>48</v>
      </c>
      <c r="M1132" s="41" t="s">
        <v>773</v>
      </c>
      <c r="N1132" s="41" t="s">
        <v>3023</v>
      </c>
      <c r="O1132" t="s">
        <v>2281</v>
      </c>
      <c r="P1132" s="70" t="s">
        <v>3024</v>
      </c>
      <c r="Q1132">
        <f t="shared" si="17"/>
        <v>3.2018378220557651</v>
      </c>
    </row>
    <row r="1133" spans="4:17" x14ac:dyDescent="0.35">
      <c r="D1133" s="71">
        <v>1.3358833764253755</v>
      </c>
      <c r="E1133" s="69">
        <v>68.911869016839006</v>
      </c>
      <c r="F1133" s="72" t="s">
        <v>129</v>
      </c>
      <c r="G1133" s="35">
        <v>28</v>
      </c>
      <c r="H1133" s="1" t="s">
        <v>650</v>
      </c>
      <c r="I1133" s="35">
        <v>26</v>
      </c>
      <c r="J1133" s="46">
        <v>14</v>
      </c>
      <c r="K1133" s="11" t="s">
        <v>680</v>
      </c>
      <c r="L1133" s="27">
        <v>47</v>
      </c>
      <c r="M1133" s="41" t="s">
        <v>773</v>
      </c>
      <c r="N1133" s="43" t="s">
        <v>3025</v>
      </c>
      <c r="O1133" s="1" t="s">
        <v>1390</v>
      </c>
      <c r="Q1133">
        <f t="shared" si="17"/>
        <v>1.3358833764253755</v>
      </c>
    </row>
    <row r="1134" spans="4:17" x14ac:dyDescent="0.35">
      <c r="D1134" s="71">
        <v>7.1276325757620453</v>
      </c>
      <c r="E1134" s="69">
        <v>77.408833874455681</v>
      </c>
      <c r="F1134" s="72" t="s">
        <v>231</v>
      </c>
      <c r="G1134" s="35">
        <v>3</v>
      </c>
      <c r="H1134" s="1" t="s">
        <v>242</v>
      </c>
      <c r="I1134" s="35">
        <v>29</v>
      </c>
      <c r="J1134" s="46">
        <v>10</v>
      </c>
      <c r="K1134" s="11" t="s">
        <v>701</v>
      </c>
      <c r="L1134" s="27">
        <v>46</v>
      </c>
      <c r="M1134" s="41" t="s">
        <v>740</v>
      </c>
      <c r="N1134" s="43" t="s">
        <v>3026</v>
      </c>
      <c r="O1134" s="1" t="s">
        <v>1390</v>
      </c>
      <c r="Q1134">
        <f t="shared" si="17"/>
        <v>7.1276325757620453</v>
      </c>
    </row>
    <row r="1135" spans="4:17" x14ac:dyDescent="0.35">
      <c r="D1135" s="71">
        <v>6.8185018704459806</v>
      </c>
      <c r="E1135" s="69">
        <v>79.058212949681433</v>
      </c>
      <c r="F1135" s="72" t="s">
        <v>129</v>
      </c>
      <c r="G1135" s="35">
        <v>2</v>
      </c>
      <c r="H1135" s="1" t="s">
        <v>468</v>
      </c>
      <c r="I1135" s="35">
        <v>23</v>
      </c>
      <c r="J1135" s="46">
        <v>11</v>
      </c>
      <c r="K1135" s="11" t="s">
        <v>1165</v>
      </c>
      <c r="L1135" s="27">
        <v>43</v>
      </c>
      <c r="M1135" s="41" t="s">
        <v>793</v>
      </c>
      <c r="N1135" s="41" t="s">
        <v>3027</v>
      </c>
      <c r="O1135" t="s">
        <v>2281</v>
      </c>
      <c r="Q1135">
        <f t="shared" si="17"/>
        <v>6.8185018704459806</v>
      </c>
    </row>
    <row r="1136" spans="4:17" x14ac:dyDescent="0.35">
      <c r="D1136" s="71">
        <v>-0.46313616566784893</v>
      </c>
      <c r="E1136" s="69">
        <v>72.60759726119133</v>
      </c>
      <c r="F1136" s="72" t="s">
        <v>231</v>
      </c>
      <c r="G1136" s="35">
        <v>38</v>
      </c>
      <c r="H1136" s="1" t="s">
        <v>672</v>
      </c>
      <c r="I1136" s="35">
        <v>11</v>
      </c>
      <c r="J1136" s="46">
        <v>8</v>
      </c>
      <c r="K1136" s="11" t="s">
        <v>677</v>
      </c>
      <c r="L1136" s="27">
        <v>31</v>
      </c>
      <c r="M1136" s="41" t="s">
        <v>741</v>
      </c>
      <c r="N1136" s="41" t="s">
        <v>3028</v>
      </c>
      <c r="O1136" t="s">
        <v>2281</v>
      </c>
      <c r="Q1136">
        <f t="shared" si="17"/>
        <v>0.46313616566784893</v>
      </c>
    </row>
    <row r="1137" spans="1:17" x14ac:dyDescent="0.35">
      <c r="A1137" s="2" t="s">
        <v>3029</v>
      </c>
      <c r="D1137" s="71">
        <v>-3.9434521169617081</v>
      </c>
      <c r="E1137" s="69">
        <v>84.602465797829794</v>
      </c>
      <c r="F1137" s="72" t="s">
        <v>129</v>
      </c>
      <c r="G1137" s="35">
        <v>36</v>
      </c>
      <c r="H1137" s="1" t="s">
        <v>645</v>
      </c>
      <c r="I1137" s="35">
        <v>26</v>
      </c>
      <c r="J1137" s="46">
        <v>15</v>
      </c>
      <c r="K1137" s="11" t="s">
        <v>651</v>
      </c>
      <c r="L1137" s="27">
        <v>15</v>
      </c>
      <c r="M1137" s="41" t="s">
        <v>820</v>
      </c>
      <c r="N1137" s="41" t="s">
        <v>3030</v>
      </c>
      <c r="O1137" t="s">
        <v>2281</v>
      </c>
      <c r="Q1137">
        <f t="shared" si="17"/>
        <v>3.9434521169617081</v>
      </c>
    </row>
    <row r="1138" spans="1:17" x14ac:dyDescent="0.35">
      <c r="D1138" s="71">
        <v>6.6745054686415264</v>
      </c>
      <c r="E1138" s="69">
        <v>82.01821037954177</v>
      </c>
      <c r="F1138" s="72" t="s">
        <v>231</v>
      </c>
      <c r="G1138" s="35">
        <v>5</v>
      </c>
      <c r="H1138" s="1" t="s">
        <v>466</v>
      </c>
      <c r="I1138" s="35">
        <v>22</v>
      </c>
      <c r="J1138" s="46">
        <v>17</v>
      </c>
      <c r="K1138" s="11" t="s">
        <v>678</v>
      </c>
      <c r="L1138" s="27">
        <v>32</v>
      </c>
      <c r="M1138" s="41" t="s">
        <v>702</v>
      </c>
      <c r="N1138" s="41" t="s">
        <v>3031</v>
      </c>
      <c r="O1138" t="s">
        <v>2281</v>
      </c>
      <c r="Q1138">
        <f t="shared" si="17"/>
        <v>6.6745054686415264</v>
      </c>
    </row>
    <row r="1139" spans="1:17" x14ac:dyDescent="0.35">
      <c r="D1139" s="71">
        <v>3.8578640837043996</v>
      </c>
      <c r="E1139" s="69">
        <v>85.101525654496854</v>
      </c>
      <c r="F1139" s="72" t="s">
        <v>231</v>
      </c>
      <c r="G1139" s="35">
        <v>8</v>
      </c>
      <c r="H1139" s="1" t="s">
        <v>642</v>
      </c>
      <c r="I1139" s="35">
        <v>20</v>
      </c>
      <c r="J1139" s="46">
        <v>12</v>
      </c>
      <c r="K1139" s="11" t="s">
        <v>692</v>
      </c>
      <c r="L1139" s="27">
        <v>26</v>
      </c>
      <c r="M1139" s="41" t="s">
        <v>699</v>
      </c>
      <c r="N1139" s="41" t="s">
        <v>3032</v>
      </c>
      <c r="O1139" t="s">
        <v>2281</v>
      </c>
      <c r="Q1139">
        <f t="shared" si="17"/>
        <v>3.8578640837043996</v>
      </c>
    </row>
    <row r="1140" spans="1:17" x14ac:dyDescent="0.35">
      <c r="D1140" s="71">
        <v>1.0205734174857255</v>
      </c>
      <c r="E1140" s="69">
        <v>86.771018987510189</v>
      </c>
      <c r="F1140" s="72" t="s">
        <v>231</v>
      </c>
      <c r="G1140" s="35">
        <v>22</v>
      </c>
      <c r="H1140" s="1" t="s">
        <v>465</v>
      </c>
      <c r="I1140" s="35">
        <v>19</v>
      </c>
      <c r="J1140" s="46">
        <v>14</v>
      </c>
      <c r="K1140" s="11" t="s">
        <v>641</v>
      </c>
      <c r="L1140" s="27">
        <v>18</v>
      </c>
      <c r="M1140" s="41" t="s">
        <v>705</v>
      </c>
      <c r="N1140" s="41" t="s">
        <v>3033</v>
      </c>
      <c r="O1140" t="s">
        <v>2281</v>
      </c>
      <c r="Q1140">
        <f t="shared" si="17"/>
        <v>1.0205734174857255</v>
      </c>
    </row>
    <row r="1141" spans="1:17" x14ac:dyDescent="0.35">
      <c r="D1141" s="71">
        <v>0.77940602687426186</v>
      </c>
      <c r="E1141" s="69">
        <v>90.06828140937553</v>
      </c>
      <c r="F1141" s="72" t="s">
        <v>231</v>
      </c>
      <c r="G1141" s="35">
        <v>17</v>
      </c>
      <c r="H1141" s="1" t="s">
        <v>647</v>
      </c>
      <c r="I1141" s="35">
        <v>17</v>
      </c>
      <c r="J1141" s="46">
        <v>8</v>
      </c>
      <c r="K1141" s="11" t="s">
        <v>747</v>
      </c>
      <c r="L1141" s="27">
        <v>13</v>
      </c>
      <c r="M1141" s="41" t="s">
        <v>741</v>
      </c>
      <c r="N1141" s="41" t="s">
        <v>3034</v>
      </c>
      <c r="O1141" t="s">
        <v>2281</v>
      </c>
      <c r="Q1141">
        <f t="shared" si="17"/>
        <v>0.77940602687426186</v>
      </c>
    </row>
    <row r="1142" spans="1:17" x14ac:dyDescent="0.35">
      <c r="D1142" s="71">
        <v>-0.85615217885804662</v>
      </c>
      <c r="E1142" s="69">
        <v>92.486537270612885</v>
      </c>
      <c r="F1142" s="72" t="s">
        <v>129</v>
      </c>
      <c r="G1142" s="35">
        <v>12</v>
      </c>
      <c r="H1142" s="1" t="s">
        <v>704</v>
      </c>
      <c r="I1142" s="35">
        <v>17</v>
      </c>
      <c r="J1142" s="46">
        <v>12</v>
      </c>
      <c r="K1142" s="11" t="s">
        <v>758</v>
      </c>
      <c r="L1142" s="27">
        <v>14</v>
      </c>
      <c r="M1142" s="41" t="s">
        <v>724</v>
      </c>
      <c r="N1142" s="41" t="s">
        <v>3035</v>
      </c>
      <c r="O1142" t="s">
        <v>2281</v>
      </c>
      <c r="Q1142">
        <f t="shared" si="17"/>
        <v>0.85615217885804662</v>
      </c>
    </row>
    <row r="1143" spans="1:17" ht="15" thickBot="1" x14ac:dyDescent="0.4">
      <c r="C1143" s="51"/>
      <c r="D1143" s="82">
        <v>-1.4039879101812436</v>
      </c>
      <c r="E1143" s="76">
        <v>96.940348507272319</v>
      </c>
      <c r="F1143" s="83" t="s">
        <v>129</v>
      </c>
      <c r="G1143" s="49">
        <v>7</v>
      </c>
      <c r="H1143" s="45" t="s">
        <v>643</v>
      </c>
      <c r="I1143" s="49">
        <v>15</v>
      </c>
      <c r="J1143" s="50">
        <v>11</v>
      </c>
      <c r="K1143" s="51" t="s">
        <v>467</v>
      </c>
      <c r="L1143" s="77">
        <v>6</v>
      </c>
      <c r="M1143" s="42" t="s">
        <v>773</v>
      </c>
      <c r="N1143" s="42" t="s">
        <v>3036</v>
      </c>
      <c r="O1143" s="40" t="s">
        <v>2281</v>
      </c>
      <c r="P1143" s="78"/>
      <c r="Q1143">
        <f t="shared" si="17"/>
        <v>1.4039879101812436</v>
      </c>
    </row>
    <row r="1144" spans="1:17" x14ac:dyDescent="0.35">
      <c r="B1144" s="103" t="s">
        <v>1345</v>
      </c>
      <c r="C1144" s="11" t="s">
        <v>3037</v>
      </c>
      <c r="D1144" s="71">
        <v>15.840897972735311</v>
      </c>
      <c r="E1144" s="69">
        <v>55.10227987467016</v>
      </c>
      <c r="F1144" s="72" t="s">
        <v>129</v>
      </c>
      <c r="G1144" s="35">
        <v>1</v>
      </c>
      <c r="H1144" s="1" t="s">
        <v>468</v>
      </c>
      <c r="I1144" s="35">
        <v>24</v>
      </c>
      <c r="J1144" s="46">
        <v>13</v>
      </c>
      <c r="K1144" s="11" t="s">
        <v>767</v>
      </c>
      <c r="L1144" s="27">
        <v>107</v>
      </c>
      <c r="M1144" s="41" t="s">
        <v>974</v>
      </c>
      <c r="N1144" s="41" t="s">
        <v>3038</v>
      </c>
      <c r="O1144" t="s">
        <v>2281</v>
      </c>
      <c r="P1144" s="70" t="s">
        <v>3039</v>
      </c>
      <c r="Q1144">
        <f t="shared" si="17"/>
        <v>15.840897972735311</v>
      </c>
    </row>
    <row r="1145" spans="1:17" x14ac:dyDescent="0.35">
      <c r="C1145" s="11" t="s">
        <v>3037</v>
      </c>
      <c r="D1145" s="71">
        <v>5.1737068596335503</v>
      </c>
      <c r="E1145" s="69">
        <v>93.299045590235579</v>
      </c>
      <c r="F1145" s="72" t="s">
        <v>231</v>
      </c>
      <c r="G1145" s="35">
        <v>2</v>
      </c>
      <c r="H1145" s="1" t="s">
        <v>242</v>
      </c>
      <c r="I1145" s="35">
        <v>24</v>
      </c>
      <c r="J1145" s="46">
        <v>8</v>
      </c>
      <c r="K1145" s="11" t="s">
        <v>467</v>
      </c>
      <c r="L1145" s="27">
        <v>10</v>
      </c>
      <c r="M1145" s="41" t="s">
        <v>740</v>
      </c>
      <c r="N1145" s="43" t="s">
        <v>3040</v>
      </c>
      <c r="O1145" s="1" t="s">
        <v>1390</v>
      </c>
      <c r="Q1145">
        <f t="shared" si="17"/>
        <v>5.1737068596335503</v>
      </c>
    </row>
    <row r="1146" spans="1:17" x14ac:dyDescent="0.35">
      <c r="C1146" s="11" t="s">
        <v>3037</v>
      </c>
      <c r="D1146" s="71">
        <v>5.2162904990417953</v>
      </c>
      <c r="E1146" s="69">
        <v>89.33417039347313</v>
      </c>
      <c r="F1146" s="72" t="s">
        <v>231</v>
      </c>
      <c r="G1146" s="35">
        <v>8</v>
      </c>
      <c r="H1146" s="1" t="s">
        <v>352</v>
      </c>
      <c r="I1146" s="35">
        <v>19</v>
      </c>
      <c r="J1146" s="46">
        <v>17</v>
      </c>
      <c r="K1146" s="11" t="s">
        <v>758</v>
      </c>
      <c r="L1146" s="27">
        <v>18</v>
      </c>
      <c r="M1146" s="41" t="s">
        <v>727</v>
      </c>
      <c r="N1146" s="41" t="s">
        <v>3041</v>
      </c>
      <c r="O1146" t="s">
        <v>2281</v>
      </c>
      <c r="Q1146">
        <f t="shared" si="17"/>
        <v>5.2162904990417953</v>
      </c>
    </row>
    <row r="1147" spans="1:17" x14ac:dyDescent="0.35">
      <c r="C1147" s="11" t="s">
        <v>3037</v>
      </c>
      <c r="D1147" s="71">
        <v>8.0699143947098033</v>
      </c>
      <c r="E1147" s="69">
        <v>88.624697889115126</v>
      </c>
      <c r="F1147" s="72" t="s">
        <v>231</v>
      </c>
      <c r="G1147" s="35">
        <v>3</v>
      </c>
      <c r="H1147" s="1" t="s">
        <v>245</v>
      </c>
      <c r="I1147" s="35">
        <v>33</v>
      </c>
      <c r="J1147" s="46">
        <v>10</v>
      </c>
      <c r="K1147" s="11" t="s">
        <v>660</v>
      </c>
      <c r="L1147" s="27">
        <v>19</v>
      </c>
      <c r="M1147" s="41" t="s">
        <v>790</v>
      </c>
      <c r="N1147" s="43" t="s">
        <v>3042</v>
      </c>
      <c r="O1147" s="1" t="s">
        <v>1390</v>
      </c>
      <c r="Q1147">
        <f t="shared" si="17"/>
        <v>8.0699143947098033</v>
      </c>
    </row>
    <row r="1148" spans="1:17" x14ac:dyDescent="0.35">
      <c r="C1148" s="11" t="s">
        <v>3037</v>
      </c>
      <c r="D1148" s="71">
        <v>1.8895786753188391</v>
      </c>
      <c r="E1148" s="69">
        <v>90.910270851580748</v>
      </c>
      <c r="F1148" s="72" t="s">
        <v>129</v>
      </c>
      <c r="G1148" s="35">
        <v>6</v>
      </c>
      <c r="H1148" s="1" t="s">
        <v>643</v>
      </c>
      <c r="I1148" s="35">
        <v>17</v>
      </c>
      <c r="J1148" s="46">
        <v>11</v>
      </c>
      <c r="K1148" s="11" t="s">
        <v>670</v>
      </c>
      <c r="L1148" s="27">
        <v>22</v>
      </c>
      <c r="M1148" s="41" t="s">
        <v>748</v>
      </c>
      <c r="N1148" s="41" t="s">
        <v>3043</v>
      </c>
      <c r="O1148" t="s">
        <v>2281</v>
      </c>
      <c r="Q1148">
        <f t="shared" si="17"/>
        <v>1.8895786753188391</v>
      </c>
    </row>
    <row r="1149" spans="1:17" x14ac:dyDescent="0.35">
      <c r="C1149" s="11" t="s">
        <v>3037</v>
      </c>
      <c r="D1149" s="71">
        <v>9.5620667321488035</v>
      </c>
      <c r="E1149" s="69">
        <v>79.388671386475764</v>
      </c>
      <c r="F1149" s="72" t="s">
        <v>231</v>
      </c>
      <c r="G1149" s="35">
        <v>4</v>
      </c>
      <c r="H1149" s="1" t="s">
        <v>644</v>
      </c>
      <c r="I1149" s="35">
        <v>20</v>
      </c>
      <c r="J1149" s="46">
        <v>15</v>
      </c>
      <c r="K1149" s="11" t="s">
        <v>679</v>
      </c>
      <c r="L1149" s="27">
        <v>41</v>
      </c>
      <c r="M1149" s="41" t="s">
        <v>928</v>
      </c>
      <c r="N1149" s="41" t="s">
        <v>3044</v>
      </c>
      <c r="O1149" t="s">
        <v>2281</v>
      </c>
      <c r="Q1149">
        <f t="shared" si="17"/>
        <v>9.5620667321488035</v>
      </c>
    </row>
    <row r="1150" spans="1:17" x14ac:dyDescent="0.35">
      <c r="C1150" s="11" t="s">
        <v>3037</v>
      </c>
      <c r="D1150" s="71">
        <v>-3.8155032302270935</v>
      </c>
      <c r="E1150" s="69">
        <v>96.546573505146</v>
      </c>
      <c r="F1150" s="72" t="s">
        <v>129</v>
      </c>
      <c r="G1150" s="35">
        <v>14</v>
      </c>
      <c r="H1150" s="1" t="s">
        <v>718</v>
      </c>
      <c r="I1150" s="35">
        <v>14</v>
      </c>
      <c r="J1150" s="46">
        <v>13</v>
      </c>
      <c r="K1150" s="11" t="s">
        <v>642</v>
      </c>
      <c r="L1150" s="27">
        <v>7</v>
      </c>
      <c r="M1150" s="41" t="s">
        <v>741</v>
      </c>
      <c r="N1150" s="41" t="s">
        <v>3045</v>
      </c>
      <c r="O1150" s="6" t="s">
        <v>1386</v>
      </c>
      <c r="Q1150">
        <f t="shared" si="17"/>
        <v>3.8155032302270935</v>
      </c>
    </row>
    <row r="1151" spans="1:17" x14ac:dyDescent="0.35">
      <c r="C1151" s="11" t="s">
        <v>3037</v>
      </c>
      <c r="D1151" s="71">
        <v>2.7114223512749403E-3</v>
      </c>
      <c r="E1151" s="69">
        <v>68.900042657059899</v>
      </c>
      <c r="F1151" s="72" t="s">
        <v>231</v>
      </c>
      <c r="G1151" s="35">
        <v>55</v>
      </c>
      <c r="H1151" s="1" t="s">
        <v>746</v>
      </c>
      <c r="I1151" s="35">
        <v>24</v>
      </c>
      <c r="J1151" s="46">
        <v>11</v>
      </c>
      <c r="K1151" s="11" t="s">
        <v>629</v>
      </c>
      <c r="L1151" s="27">
        <v>31</v>
      </c>
      <c r="M1151" s="41" t="s">
        <v>724</v>
      </c>
      <c r="N1151" s="43" t="s">
        <v>3046</v>
      </c>
      <c r="O1151" s="1" t="s">
        <v>1390</v>
      </c>
      <c r="Q1151">
        <f t="shared" si="17"/>
        <v>2.7114223512749403E-3</v>
      </c>
    </row>
    <row r="1152" spans="1:17" x14ac:dyDescent="0.35">
      <c r="A1152" s="2" t="s">
        <v>3047</v>
      </c>
      <c r="B1152" s="103" t="s">
        <v>1346</v>
      </c>
      <c r="C1152" s="11" t="s">
        <v>3048</v>
      </c>
      <c r="D1152" s="71">
        <v>18.955481306068641</v>
      </c>
      <c r="E1152" s="69">
        <v>53.100047731813028</v>
      </c>
      <c r="F1152" s="72" t="s">
        <v>231</v>
      </c>
      <c r="G1152" s="35">
        <v>1</v>
      </c>
      <c r="H1152" s="1" t="s">
        <v>468</v>
      </c>
      <c r="I1152" s="35">
        <v>32</v>
      </c>
      <c r="J1152" s="46">
        <v>20</v>
      </c>
      <c r="K1152" s="11" t="s">
        <v>767</v>
      </c>
      <c r="L1152" s="27">
        <v>107</v>
      </c>
      <c r="M1152" s="41" t="s">
        <v>928</v>
      </c>
      <c r="N1152" s="41" t="s">
        <v>3049</v>
      </c>
      <c r="O1152" t="s">
        <v>2281</v>
      </c>
      <c r="P1152" s="70" t="s">
        <v>3050</v>
      </c>
      <c r="Q1152">
        <f t="shared" si="17"/>
        <v>18.955481306068641</v>
      </c>
    </row>
    <row r="1153" spans="1:17" x14ac:dyDescent="0.35">
      <c r="C1153" s="11" t="s">
        <v>3048</v>
      </c>
      <c r="D1153" s="71">
        <v>2.0740974846335507</v>
      </c>
      <c r="E1153" s="69">
        <v>95.291651617021287</v>
      </c>
      <c r="F1153" s="72" t="s">
        <v>129</v>
      </c>
      <c r="G1153" s="35">
        <v>2</v>
      </c>
      <c r="H1153" s="1" t="s">
        <v>242</v>
      </c>
      <c r="I1153" s="35">
        <v>23</v>
      </c>
      <c r="J1153" s="46">
        <v>21</v>
      </c>
      <c r="K1153" s="11" t="s">
        <v>467</v>
      </c>
      <c r="L1153" s="27">
        <v>10</v>
      </c>
      <c r="M1153" s="41" t="s">
        <v>952</v>
      </c>
      <c r="N1153" s="41" t="s">
        <v>3051</v>
      </c>
      <c r="O1153" s="6" t="s">
        <v>1386</v>
      </c>
      <c r="P1153" s="70" t="s">
        <v>3052</v>
      </c>
      <c r="Q1153">
        <f t="shared" si="17"/>
        <v>2.0740974846335507</v>
      </c>
    </row>
    <row r="1154" spans="1:17" x14ac:dyDescent="0.35">
      <c r="C1154" s="11" t="s">
        <v>3048</v>
      </c>
      <c r="D1154" s="71">
        <v>1.6142071657084636</v>
      </c>
      <c r="E1154" s="69">
        <v>91.649795393473127</v>
      </c>
      <c r="F1154" s="72" t="s">
        <v>129</v>
      </c>
      <c r="G1154" s="35">
        <v>8</v>
      </c>
      <c r="H1154" s="1" t="s">
        <v>352</v>
      </c>
      <c r="I1154" s="35">
        <v>16</v>
      </c>
      <c r="J1154" s="46">
        <v>7</v>
      </c>
      <c r="K1154" s="11" t="s">
        <v>758</v>
      </c>
      <c r="L1154" s="27">
        <v>18</v>
      </c>
      <c r="M1154" s="41" t="s">
        <v>870</v>
      </c>
      <c r="N1154" s="41" t="s">
        <v>3053</v>
      </c>
      <c r="O1154" t="s">
        <v>2281</v>
      </c>
      <c r="P1154" s="70" t="s">
        <v>3054</v>
      </c>
      <c r="Q1154">
        <f t="shared" si="17"/>
        <v>1.6142071657084636</v>
      </c>
    </row>
    <row r="1155" spans="1:17" x14ac:dyDescent="0.35">
      <c r="C1155" s="11" t="s">
        <v>3048</v>
      </c>
      <c r="D1155" s="71">
        <v>-5.4449143947098042</v>
      </c>
      <c r="E1155" s="69">
        <v>97.312802110884874</v>
      </c>
      <c r="F1155" s="72" t="s">
        <v>231</v>
      </c>
      <c r="G1155" s="35">
        <v>19</v>
      </c>
      <c r="H1155" s="1" t="s">
        <v>660</v>
      </c>
      <c r="I1155" s="35">
        <v>25</v>
      </c>
      <c r="J1155" s="46">
        <v>24</v>
      </c>
      <c r="K1155" s="11" t="s">
        <v>245</v>
      </c>
      <c r="L1155" s="27">
        <v>3</v>
      </c>
      <c r="M1155" s="41" t="s">
        <v>907</v>
      </c>
      <c r="N1155" s="41" t="s">
        <v>3055</v>
      </c>
      <c r="O1155" t="s">
        <v>2281</v>
      </c>
      <c r="P1155" s="70" t="s">
        <v>3056</v>
      </c>
      <c r="Q1155">
        <f t="shared" ref="Q1155:Q1218" si="18">ABS(D1155)</f>
        <v>5.4449143947098042</v>
      </c>
    </row>
    <row r="1156" spans="1:17" x14ac:dyDescent="0.35">
      <c r="C1156" s="11" t="s">
        <v>3048</v>
      </c>
      <c r="D1156" s="71">
        <v>-5.2118443003188384</v>
      </c>
      <c r="E1156" s="69">
        <v>95.475471335919252</v>
      </c>
      <c r="F1156" s="72" t="s">
        <v>129</v>
      </c>
      <c r="G1156" s="35">
        <v>22</v>
      </c>
      <c r="H1156" s="1" t="s">
        <v>670</v>
      </c>
      <c r="I1156" s="35">
        <v>28</v>
      </c>
      <c r="J1156" s="46">
        <v>15</v>
      </c>
      <c r="K1156" s="11" t="s">
        <v>643</v>
      </c>
      <c r="L1156" s="27">
        <v>6</v>
      </c>
      <c r="M1156" s="41" t="s">
        <v>1237</v>
      </c>
      <c r="N1156" s="43" t="s">
        <v>3057</v>
      </c>
      <c r="O1156" s="1" t="s">
        <v>1390</v>
      </c>
      <c r="P1156" s="70" t="s">
        <v>3058</v>
      </c>
      <c r="Q1156">
        <f t="shared" si="18"/>
        <v>5.2118443003188384</v>
      </c>
    </row>
    <row r="1157" spans="1:17" x14ac:dyDescent="0.35">
      <c r="C1157" s="11" t="s">
        <v>3048</v>
      </c>
      <c r="D1157" s="71">
        <v>6.8667542321488035</v>
      </c>
      <c r="E1157" s="69">
        <v>81.121372279332917</v>
      </c>
      <c r="F1157" s="72" t="s">
        <v>129</v>
      </c>
      <c r="G1157" s="35">
        <v>4</v>
      </c>
      <c r="H1157" s="1" t="s">
        <v>644</v>
      </c>
      <c r="I1157" s="35">
        <v>29</v>
      </c>
      <c r="J1157" s="46">
        <v>8</v>
      </c>
      <c r="K1157" s="11" t="s">
        <v>679</v>
      </c>
      <c r="L1157" s="27">
        <v>41</v>
      </c>
      <c r="M1157" s="41" t="s">
        <v>790</v>
      </c>
      <c r="N1157" s="43" t="s">
        <v>3059</v>
      </c>
      <c r="O1157" s="1" t="s">
        <v>1390</v>
      </c>
      <c r="P1157" s="70" t="s">
        <v>3060</v>
      </c>
      <c r="Q1157">
        <f t="shared" si="18"/>
        <v>6.8667542321488035</v>
      </c>
    </row>
    <row r="1158" spans="1:17" x14ac:dyDescent="0.35">
      <c r="C1158" s="11" t="s">
        <v>3048</v>
      </c>
      <c r="D1158" s="71">
        <v>0.40661539252153578</v>
      </c>
      <c r="E1158" s="69">
        <v>93.832354390521871</v>
      </c>
      <c r="F1158" s="72" t="s">
        <v>231</v>
      </c>
      <c r="G1158" s="35">
        <v>14</v>
      </c>
      <c r="H1158" s="1" t="s">
        <v>718</v>
      </c>
      <c r="I1158" s="35">
        <v>20</v>
      </c>
      <c r="J1158" s="46">
        <v>15</v>
      </c>
      <c r="K1158" s="11" t="s">
        <v>642</v>
      </c>
      <c r="L1158" s="27">
        <v>7</v>
      </c>
      <c r="M1158" s="41" t="s">
        <v>773</v>
      </c>
      <c r="N1158" s="41" t="s">
        <v>3061</v>
      </c>
      <c r="O1158" t="s">
        <v>2281</v>
      </c>
      <c r="P1158" s="70" t="s">
        <v>3062</v>
      </c>
      <c r="Q1158">
        <f t="shared" si="18"/>
        <v>0.40661539252153578</v>
      </c>
    </row>
    <row r="1159" spans="1:17" ht="15" thickBot="1" x14ac:dyDescent="0.4">
      <c r="C1159" s="51" t="s">
        <v>3048</v>
      </c>
      <c r="D1159" s="82">
        <v>-3.8090507676680465</v>
      </c>
      <c r="E1159" s="76">
        <v>71.350461207786608</v>
      </c>
      <c r="F1159" s="83" t="s">
        <v>129</v>
      </c>
      <c r="G1159" s="49">
        <v>55</v>
      </c>
      <c r="H1159" s="45" t="s">
        <v>746</v>
      </c>
      <c r="I1159" s="49">
        <v>18</v>
      </c>
      <c r="J1159" s="50">
        <v>10</v>
      </c>
      <c r="K1159" s="51" t="s">
        <v>629</v>
      </c>
      <c r="L1159" s="77">
        <v>31</v>
      </c>
      <c r="M1159" s="42" t="s">
        <v>775</v>
      </c>
      <c r="N1159" s="42" t="s">
        <v>3063</v>
      </c>
      <c r="O1159" s="40" t="s">
        <v>2281</v>
      </c>
      <c r="P1159" s="78" t="s">
        <v>3064</v>
      </c>
      <c r="Q1159">
        <f t="shared" si="18"/>
        <v>3.8090507676680465</v>
      </c>
    </row>
    <row r="1160" spans="1:17" x14ac:dyDescent="0.35">
      <c r="A1160" s="2" t="s">
        <v>3065</v>
      </c>
      <c r="B1160" s="103" t="s">
        <v>1347</v>
      </c>
      <c r="C1160" s="11" t="s">
        <v>3066</v>
      </c>
      <c r="D1160" s="71">
        <v>-0.27892464842749864</v>
      </c>
      <c r="E1160" s="69">
        <v>68.024364768966649</v>
      </c>
      <c r="F1160" s="72" t="s">
        <v>231</v>
      </c>
      <c r="G1160" s="35">
        <v>49</v>
      </c>
      <c r="H1160" s="1" t="s">
        <v>755</v>
      </c>
      <c r="I1160" s="35">
        <v>13</v>
      </c>
      <c r="J1160" s="46">
        <v>10</v>
      </c>
      <c r="K1160" s="11" t="s">
        <v>649</v>
      </c>
      <c r="L1160" s="27">
        <v>38</v>
      </c>
      <c r="M1160" s="41" t="s">
        <v>769</v>
      </c>
      <c r="N1160" s="41" t="s">
        <v>3067</v>
      </c>
      <c r="O1160" t="s">
        <v>2281</v>
      </c>
      <c r="Q1160">
        <f t="shared" si="18"/>
        <v>0.27892464842749864</v>
      </c>
    </row>
    <row r="1161" spans="1:17" x14ac:dyDescent="0.35">
      <c r="C1161" s="11" t="s">
        <v>3066</v>
      </c>
      <c r="D1161" s="71">
        <v>-1.4141875880471093</v>
      </c>
      <c r="E1161" s="69">
        <v>87.704323272145245</v>
      </c>
      <c r="F1161" s="72" t="s">
        <v>129</v>
      </c>
      <c r="G1161" s="35">
        <v>24</v>
      </c>
      <c r="H1161" s="1" t="s">
        <v>650</v>
      </c>
      <c r="I1161" s="35">
        <v>24</v>
      </c>
      <c r="J1161" s="46">
        <v>8</v>
      </c>
      <c r="K1161" s="11" t="s">
        <v>670</v>
      </c>
      <c r="L1161" s="27">
        <v>22</v>
      </c>
      <c r="M1161" s="41" t="s">
        <v>836</v>
      </c>
      <c r="N1161" s="43" t="s">
        <v>3068</v>
      </c>
      <c r="O1161" s="1" t="s">
        <v>1390</v>
      </c>
      <c r="Q1161">
        <f t="shared" si="18"/>
        <v>1.4141875880471093</v>
      </c>
    </row>
    <row r="1162" spans="1:17" x14ac:dyDescent="0.35">
      <c r="C1162" s="11" t="s">
        <v>3066</v>
      </c>
      <c r="D1162" s="71">
        <v>-2.7059722192431348</v>
      </c>
      <c r="E1162" s="69">
        <v>80.421067458359772</v>
      </c>
      <c r="F1162" s="72" t="s">
        <v>231</v>
      </c>
      <c r="G1162" s="35">
        <v>45</v>
      </c>
      <c r="H1162" s="1" t="s">
        <v>681</v>
      </c>
      <c r="I1162" s="35">
        <v>28</v>
      </c>
      <c r="J1162" s="46">
        <v>26</v>
      </c>
      <c r="K1162" s="11" t="s">
        <v>651</v>
      </c>
      <c r="L1162" s="27">
        <v>20</v>
      </c>
      <c r="M1162" s="41" t="s">
        <v>754</v>
      </c>
      <c r="N1162" s="41" t="s">
        <v>3069</v>
      </c>
      <c r="O1162" t="s">
        <v>2281</v>
      </c>
      <c r="P1162" s="70" t="s">
        <v>3070</v>
      </c>
      <c r="Q1162">
        <f t="shared" si="18"/>
        <v>2.7059722192431348</v>
      </c>
    </row>
    <row r="1163" spans="1:17" x14ac:dyDescent="0.35">
      <c r="C1163" s="11" t="s">
        <v>3066</v>
      </c>
      <c r="D1163" s="71">
        <v>4.669909692350247</v>
      </c>
      <c r="E1163" s="69">
        <v>89.456202202169848</v>
      </c>
      <c r="F1163" s="72" t="s">
        <v>129</v>
      </c>
      <c r="G1163" s="35">
        <v>5</v>
      </c>
      <c r="H1163" s="1" t="s">
        <v>466</v>
      </c>
      <c r="I1163" s="35">
        <v>29</v>
      </c>
      <c r="J1163" s="46">
        <v>13</v>
      </c>
      <c r="K1163" s="11" t="s">
        <v>641</v>
      </c>
      <c r="L1163" s="27">
        <v>21</v>
      </c>
      <c r="M1163" s="41" t="s">
        <v>920</v>
      </c>
      <c r="N1163" s="43" t="s">
        <v>3071</v>
      </c>
      <c r="O1163" s="1" t="s">
        <v>1390</v>
      </c>
      <c r="Q1163">
        <f t="shared" si="18"/>
        <v>4.669909692350247</v>
      </c>
    </row>
    <row r="1164" spans="1:17" x14ac:dyDescent="0.35">
      <c r="C1164" s="11" t="s">
        <v>3066</v>
      </c>
      <c r="D1164" s="71">
        <v>0.81740073650841616</v>
      </c>
      <c r="E1164" s="69">
        <v>60.65035094458019</v>
      </c>
      <c r="F1164" s="72" t="s">
        <v>231</v>
      </c>
      <c r="G1164" s="35">
        <v>55</v>
      </c>
      <c r="H1164" s="1" t="s">
        <v>746</v>
      </c>
      <c r="I1164" s="35">
        <v>17</v>
      </c>
      <c r="J1164" s="46">
        <v>11</v>
      </c>
      <c r="K1164" s="11" t="s">
        <v>1165</v>
      </c>
      <c r="L1164" s="27">
        <v>50</v>
      </c>
      <c r="M1164" s="41" t="s">
        <v>898</v>
      </c>
      <c r="N1164" s="41" t="s">
        <v>3072</v>
      </c>
      <c r="O1164" t="s">
        <v>2281</v>
      </c>
      <c r="Q1164">
        <f t="shared" si="18"/>
        <v>0.81740073650841616</v>
      </c>
    </row>
    <row r="1165" spans="1:17" x14ac:dyDescent="0.35">
      <c r="C1165" s="11" t="s">
        <v>3066</v>
      </c>
      <c r="D1165" s="71">
        <v>7.5634193658938216</v>
      </c>
      <c r="E1165" s="69">
        <v>70.058324416698355</v>
      </c>
      <c r="F1165" s="72" t="s">
        <v>129</v>
      </c>
      <c r="G1165" s="35">
        <v>7</v>
      </c>
      <c r="H1165" s="1" t="s">
        <v>642</v>
      </c>
      <c r="I1165" s="35">
        <v>18</v>
      </c>
      <c r="J1165" s="46">
        <v>15</v>
      </c>
      <c r="K1165" s="11" t="s">
        <v>632</v>
      </c>
      <c r="L1165" s="27">
        <v>69</v>
      </c>
      <c r="M1165" s="41" t="s">
        <v>1196</v>
      </c>
      <c r="N1165" s="41" t="s">
        <v>3073</v>
      </c>
      <c r="O1165" t="s">
        <v>2281</v>
      </c>
      <c r="Q1165">
        <f t="shared" si="18"/>
        <v>7.5634193658938216</v>
      </c>
    </row>
    <row r="1166" spans="1:17" x14ac:dyDescent="0.35">
      <c r="C1166" s="11" t="s">
        <v>3066</v>
      </c>
      <c r="D1166" s="71">
        <v>-6.0078983164283892</v>
      </c>
      <c r="E1166" s="69">
        <v>83.576618893652949</v>
      </c>
      <c r="F1166" s="72" t="s">
        <v>231</v>
      </c>
      <c r="G1166" s="35">
        <v>51</v>
      </c>
      <c r="H1166" s="1" t="s">
        <v>665</v>
      </c>
      <c r="I1166" s="35">
        <v>26</v>
      </c>
      <c r="J1166" s="46">
        <v>20</v>
      </c>
      <c r="K1166" s="11" t="s">
        <v>640</v>
      </c>
      <c r="L1166" s="27">
        <v>11</v>
      </c>
      <c r="M1166" s="41" t="s">
        <v>910</v>
      </c>
      <c r="N1166" s="41" t="s">
        <v>3074</v>
      </c>
      <c r="O1166" t="s">
        <v>2281</v>
      </c>
      <c r="Q1166">
        <f t="shared" si="18"/>
        <v>6.0078983164283892</v>
      </c>
    </row>
    <row r="1167" spans="1:17" x14ac:dyDescent="0.35">
      <c r="C1167" s="11" t="s">
        <v>3066</v>
      </c>
      <c r="D1167" s="71">
        <v>-3.1060182702630996</v>
      </c>
      <c r="E1167" s="69">
        <v>82.983954863315759</v>
      </c>
      <c r="F1167" s="72" t="s">
        <v>231</v>
      </c>
      <c r="G1167" s="35">
        <v>43</v>
      </c>
      <c r="H1167" s="1" t="s">
        <v>783</v>
      </c>
      <c r="I1167" s="35">
        <v>19</v>
      </c>
      <c r="J1167" s="46">
        <v>15</v>
      </c>
      <c r="K1167" s="11" t="s">
        <v>334</v>
      </c>
      <c r="L1167" s="27">
        <v>15</v>
      </c>
      <c r="M1167" s="41" t="s">
        <v>740</v>
      </c>
      <c r="N1167" s="41" t="s">
        <v>3075</v>
      </c>
      <c r="O1167" t="s">
        <v>2281</v>
      </c>
      <c r="Q1167">
        <f t="shared" si="18"/>
        <v>3.1060182702630996</v>
      </c>
    </row>
    <row r="1168" spans="1:17" x14ac:dyDescent="0.35">
      <c r="B1168" s="103" t="s">
        <v>1348</v>
      </c>
      <c r="C1168" s="11" t="s">
        <v>3076</v>
      </c>
      <c r="D1168" s="71">
        <v>4.1481954817608306</v>
      </c>
      <c r="E1168" s="69">
        <v>65.11511439770004</v>
      </c>
      <c r="F1168" s="72" t="s">
        <v>231</v>
      </c>
      <c r="G1168" s="35">
        <v>38</v>
      </c>
      <c r="H1168" s="1" t="s">
        <v>649</v>
      </c>
      <c r="I1168" s="35">
        <v>21</v>
      </c>
      <c r="J1168" s="46">
        <v>9</v>
      </c>
      <c r="K1168" s="11" t="s">
        <v>755</v>
      </c>
      <c r="L1168" s="27">
        <v>49</v>
      </c>
      <c r="M1168" s="41" t="s">
        <v>740</v>
      </c>
      <c r="N1168" s="41" t="s">
        <v>3077</v>
      </c>
      <c r="O1168" t="s">
        <v>2281</v>
      </c>
      <c r="P1168" s="70" t="s">
        <v>3078</v>
      </c>
      <c r="Q1168">
        <f t="shared" si="18"/>
        <v>4.1481954817608306</v>
      </c>
    </row>
    <row r="1169" spans="2:17" x14ac:dyDescent="0.35">
      <c r="C1169" s="11" t="s">
        <v>3076</v>
      </c>
      <c r="D1169" s="71">
        <v>1.8347062414287945</v>
      </c>
      <c r="E1169" s="69">
        <v>85.569335898489655</v>
      </c>
      <c r="F1169" s="72" t="s">
        <v>231</v>
      </c>
      <c r="G1169" s="35">
        <v>24</v>
      </c>
      <c r="H1169" s="1" t="s">
        <v>650</v>
      </c>
      <c r="I1169" s="35">
        <v>20</v>
      </c>
      <c r="J1169" s="46">
        <v>15</v>
      </c>
      <c r="K1169" s="11" t="s">
        <v>670</v>
      </c>
      <c r="L1169" s="27">
        <v>22</v>
      </c>
      <c r="M1169" s="41" t="s">
        <v>727</v>
      </c>
      <c r="N1169" s="41" t="s">
        <v>3079</v>
      </c>
      <c r="O1169" t="s">
        <v>2281</v>
      </c>
      <c r="P1169" s="70" t="s">
        <v>3080</v>
      </c>
      <c r="Q1169">
        <f t="shared" si="18"/>
        <v>1.8347062414287945</v>
      </c>
    </row>
    <row r="1170" spans="2:17" x14ac:dyDescent="0.35">
      <c r="C1170" s="11" t="s">
        <v>3076</v>
      </c>
      <c r="D1170" s="71">
        <v>5.9617013859097998</v>
      </c>
      <c r="E1170" s="69">
        <v>74.725167660687845</v>
      </c>
      <c r="F1170" s="72" t="s">
        <v>231</v>
      </c>
      <c r="G1170" s="35">
        <v>20</v>
      </c>
      <c r="H1170" s="1" t="s">
        <v>651</v>
      </c>
      <c r="I1170" s="35">
        <v>30</v>
      </c>
      <c r="J1170" s="46">
        <v>17</v>
      </c>
      <c r="K1170" s="11" t="s">
        <v>681</v>
      </c>
      <c r="L1170" s="27">
        <v>45</v>
      </c>
      <c r="M1170" s="41" t="s">
        <v>744</v>
      </c>
      <c r="N1170" s="41" t="s">
        <v>3081</v>
      </c>
      <c r="O1170" t="s">
        <v>2281</v>
      </c>
      <c r="P1170" s="70" t="s">
        <v>3082</v>
      </c>
      <c r="Q1170">
        <f t="shared" si="18"/>
        <v>5.9617013859097998</v>
      </c>
    </row>
    <row r="1171" spans="2:17" x14ac:dyDescent="0.35">
      <c r="C1171" s="11" t="s">
        <v>3076</v>
      </c>
      <c r="D1171" s="71">
        <v>8.8805867756835788</v>
      </c>
      <c r="E1171" s="69">
        <v>86.689185833122224</v>
      </c>
      <c r="F1171" s="72" t="s">
        <v>231</v>
      </c>
      <c r="G1171" s="35">
        <v>5</v>
      </c>
      <c r="H1171" s="1" t="s">
        <v>466</v>
      </c>
      <c r="I1171" s="35">
        <v>22</v>
      </c>
      <c r="J1171" s="46">
        <v>16</v>
      </c>
      <c r="K1171" s="11" t="s">
        <v>641</v>
      </c>
      <c r="L1171" s="27">
        <v>21</v>
      </c>
      <c r="M1171" s="41" t="s">
        <v>2220</v>
      </c>
      <c r="N1171" s="41" t="s">
        <v>3083</v>
      </c>
      <c r="O1171" t="s">
        <v>2281</v>
      </c>
      <c r="P1171" s="70" t="s">
        <v>3084</v>
      </c>
      <c r="Q1171">
        <f t="shared" si="18"/>
        <v>8.8805867756835788</v>
      </c>
    </row>
    <row r="1172" spans="2:17" x14ac:dyDescent="0.35">
      <c r="C1172" s="11" t="s">
        <v>3076</v>
      </c>
      <c r="D1172" s="71">
        <v>2.8298626192770722</v>
      </c>
      <c r="E1172" s="69">
        <v>59.327875993046497</v>
      </c>
      <c r="F1172" s="72" t="s">
        <v>231</v>
      </c>
      <c r="G1172" s="35">
        <v>50</v>
      </c>
      <c r="H1172" s="1" t="s">
        <v>1165</v>
      </c>
      <c r="I1172" s="35">
        <v>18</v>
      </c>
      <c r="J1172" s="46">
        <v>16</v>
      </c>
      <c r="K1172" s="11" t="s">
        <v>746</v>
      </c>
      <c r="L1172" s="27">
        <v>55</v>
      </c>
      <c r="M1172" s="41" t="s">
        <v>902</v>
      </c>
      <c r="N1172" s="41" t="s">
        <v>3085</v>
      </c>
      <c r="O1172" t="s">
        <v>2281</v>
      </c>
      <c r="P1172" s="70" t="s">
        <v>3086</v>
      </c>
      <c r="Q1172">
        <f t="shared" si="18"/>
        <v>2.8298626192770722</v>
      </c>
    </row>
    <row r="1173" spans="2:17" x14ac:dyDescent="0.35">
      <c r="C1173" s="11" t="s">
        <v>3076</v>
      </c>
      <c r="D1173" s="71">
        <v>10.161075615893825</v>
      </c>
      <c r="E1173" s="69">
        <v>68.351293166698341</v>
      </c>
      <c r="F1173" s="72" t="s">
        <v>231</v>
      </c>
      <c r="G1173" s="35">
        <v>7</v>
      </c>
      <c r="H1173" s="1" t="s">
        <v>642</v>
      </c>
      <c r="I1173" s="35">
        <v>27</v>
      </c>
      <c r="J1173" s="46">
        <v>12</v>
      </c>
      <c r="K1173" s="11" t="s">
        <v>632</v>
      </c>
      <c r="L1173" s="27">
        <v>69</v>
      </c>
      <c r="M1173" s="41" t="s">
        <v>721</v>
      </c>
      <c r="N1173" s="41" t="s">
        <v>3087</v>
      </c>
      <c r="O1173" t="s">
        <v>2281</v>
      </c>
      <c r="P1173" s="70" t="s">
        <v>3088</v>
      </c>
      <c r="Q1173">
        <f t="shared" si="18"/>
        <v>10.161075615893825</v>
      </c>
    </row>
    <row r="1174" spans="2:17" x14ac:dyDescent="0.35">
      <c r="C1174" s="11" t="s">
        <v>3076</v>
      </c>
      <c r="D1174" s="71">
        <v>9.3848514414283883</v>
      </c>
      <c r="E1174" s="69">
        <v>73.461383338489924</v>
      </c>
      <c r="F1174" s="72" t="s">
        <v>231</v>
      </c>
      <c r="G1174" s="35">
        <v>11</v>
      </c>
      <c r="H1174" s="1" t="s">
        <v>640</v>
      </c>
      <c r="I1174" s="35">
        <v>20</v>
      </c>
      <c r="J1174" s="46">
        <v>8</v>
      </c>
      <c r="K1174" s="11" t="s">
        <v>665</v>
      </c>
      <c r="L1174" s="27">
        <v>51</v>
      </c>
      <c r="M1174" s="41" t="s">
        <v>814</v>
      </c>
      <c r="N1174" s="43" t="s">
        <v>3089</v>
      </c>
      <c r="O1174" s="1" t="s">
        <v>1390</v>
      </c>
      <c r="P1174" s="70" t="s">
        <v>3090</v>
      </c>
      <c r="Q1174">
        <f t="shared" si="18"/>
        <v>9.3848514414283883</v>
      </c>
    </row>
    <row r="1175" spans="2:17" ht="15" thickBot="1" x14ac:dyDescent="0.4">
      <c r="C1175" s="51" t="s">
        <v>3076</v>
      </c>
      <c r="D1175" s="82">
        <v>6.3304106313742103</v>
      </c>
      <c r="E1175" s="76">
        <v>76.782873013668379</v>
      </c>
      <c r="F1175" s="83" t="s">
        <v>231</v>
      </c>
      <c r="G1175" s="49">
        <v>15</v>
      </c>
      <c r="H1175" s="45" t="s">
        <v>334</v>
      </c>
      <c r="I1175" s="49">
        <v>18</v>
      </c>
      <c r="J1175" s="50">
        <v>16</v>
      </c>
      <c r="K1175" s="51" t="s">
        <v>783</v>
      </c>
      <c r="L1175" s="77">
        <v>43</v>
      </c>
      <c r="M1175" s="42" t="s">
        <v>974</v>
      </c>
      <c r="N1175" s="42" t="s">
        <v>3091</v>
      </c>
      <c r="O1175" s="40" t="s">
        <v>2281</v>
      </c>
      <c r="P1175" s="78" t="s">
        <v>3092</v>
      </c>
      <c r="Q1175">
        <f t="shared" si="18"/>
        <v>6.3304106313742103</v>
      </c>
    </row>
    <row r="1176" spans="2:17" x14ac:dyDescent="0.35">
      <c r="B1176" s="103" t="s">
        <v>1349</v>
      </c>
      <c r="C1176" s="11" t="s">
        <v>3093</v>
      </c>
      <c r="D1176" s="71">
        <v>5.5857033615959759</v>
      </c>
      <c r="E1176" s="69">
        <v>11.188783313145734</v>
      </c>
      <c r="F1176" s="72" t="s">
        <v>231</v>
      </c>
      <c r="G1176" s="35">
        <v>78</v>
      </c>
      <c r="H1176" s="1" t="s">
        <v>743</v>
      </c>
      <c r="I1176" s="35">
        <v>33</v>
      </c>
      <c r="J1176" s="46">
        <v>3</v>
      </c>
      <c r="K1176" s="11" t="s">
        <v>737</v>
      </c>
      <c r="L1176" s="27">
        <v>112</v>
      </c>
      <c r="M1176" s="41" t="s">
        <v>899</v>
      </c>
      <c r="N1176" s="43" t="s">
        <v>3094</v>
      </c>
      <c r="O1176" s="1" t="s">
        <v>1390</v>
      </c>
      <c r="Q1176">
        <f t="shared" si="18"/>
        <v>5.5857033615959759</v>
      </c>
    </row>
    <row r="1177" spans="2:17" x14ac:dyDescent="0.35">
      <c r="C1177" s="11" t="s">
        <v>3095</v>
      </c>
      <c r="D1177" s="71">
        <v>-1.6176376925980942</v>
      </c>
      <c r="E1177" s="69">
        <v>2.9411697804272108</v>
      </c>
      <c r="F1177" s="72" t="s">
        <v>129</v>
      </c>
      <c r="G1177" s="35">
        <v>111</v>
      </c>
      <c r="H1177" s="1" t="s">
        <v>638</v>
      </c>
      <c r="I1177" s="35">
        <v>20</v>
      </c>
      <c r="J1177" s="46">
        <v>19</v>
      </c>
      <c r="K1177" s="11" t="s">
        <v>639</v>
      </c>
      <c r="L1177" s="27">
        <v>109</v>
      </c>
      <c r="M1177" s="41" t="s">
        <v>719</v>
      </c>
      <c r="N1177" s="41" t="s">
        <v>3096</v>
      </c>
      <c r="O1177" t="s">
        <v>2281</v>
      </c>
      <c r="Q1177">
        <f t="shared" si="18"/>
        <v>1.6176376925980942</v>
      </c>
    </row>
    <row r="1178" spans="2:17" x14ac:dyDescent="0.35">
      <c r="D1178" s="71">
        <v>-5.6194524865858062</v>
      </c>
      <c r="E1178" s="69">
        <v>16.067466061847004</v>
      </c>
      <c r="F1178" s="72" t="s">
        <v>129</v>
      </c>
      <c r="G1178" s="35">
        <v>110</v>
      </c>
      <c r="H1178" s="1" t="s">
        <v>720</v>
      </c>
      <c r="I1178" s="35">
        <v>19</v>
      </c>
      <c r="J1178" s="46">
        <v>17</v>
      </c>
      <c r="K1178" s="11" t="s">
        <v>764</v>
      </c>
      <c r="L1178" s="27">
        <v>87</v>
      </c>
      <c r="M1178" s="41" t="s">
        <v>793</v>
      </c>
      <c r="N1178" s="41" t="s">
        <v>3097</v>
      </c>
      <c r="O1178" t="s">
        <v>2281</v>
      </c>
      <c r="P1178" s="70" t="s">
        <v>3098</v>
      </c>
      <c r="Q1178">
        <f t="shared" si="18"/>
        <v>5.6194524865858062</v>
      </c>
    </row>
    <row r="1179" spans="2:17" x14ac:dyDescent="0.35">
      <c r="D1179" s="71">
        <v>6.6843667989512365</v>
      </c>
      <c r="E1179" s="69">
        <v>31.743309429320554</v>
      </c>
      <c r="F1179" s="72" t="s">
        <v>231</v>
      </c>
      <c r="G1179" s="35">
        <v>50</v>
      </c>
      <c r="H1179" s="1" t="s">
        <v>665</v>
      </c>
      <c r="I1179" s="35">
        <v>29</v>
      </c>
      <c r="J1179" s="46">
        <v>22</v>
      </c>
      <c r="K1179" s="11" t="s">
        <v>726</v>
      </c>
      <c r="L1179" s="27">
        <v>108</v>
      </c>
      <c r="M1179" s="41" t="s">
        <v>2319</v>
      </c>
      <c r="N1179" s="41" t="s">
        <v>3099</v>
      </c>
      <c r="O1179" t="s">
        <v>2281</v>
      </c>
      <c r="Q1179">
        <f t="shared" si="18"/>
        <v>6.6843667989512365</v>
      </c>
    </row>
    <row r="1180" spans="2:17" x14ac:dyDescent="0.35">
      <c r="D1180" s="71">
        <v>-3.1874083761295133</v>
      </c>
      <c r="E1180" s="69">
        <v>13.758863125806794</v>
      </c>
      <c r="F1180" s="72" t="s">
        <v>129</v>
      </c>
      <c r="G1180" s="35">
        <v>107</v>
      </c>
      <c r="H1180" s="1" t="s">
        <v>767</v>
      </c>
      <c r="I1180" s="35">
        <v>28</v>
      </c>
      <c r="J1180" s="46">
        <v>25</v>
      </c>
      <c r="K1180" s="11" t="s">
        <v>723</v>
      </c>
      <c r="L1180" s="27">
        <v>98</v>
      </c>
      <c r="M1180" s="41" t="s">
        <v>3100</v>
      </c>
      <c r="N1180" s="41" t="s">
        <v>3101</v>
      </c>
      <c r="O1180" t="s">
        <v>2281</v>
      </c>
      <c r="P1180" s="81" t="s">
        <v>3102</v>
      </c>
      <c r="Q1180">
        <f t="shared" si="18"/>
        <v>3.1874083761295133</v>
      </c>
    </row>
    <row r="1181" spans="2:17" x14ac:dyDescent="0.35">
      <c r="D1181" s="71">
        <v>0.52433019113960422</v>
      </c>
      <c r="E1181" s="69">
        <v>8.1076212920431434</v>
      </c>
      <c r="F1181" s="72" t="s">
        <v>231</v>
      </c>
      <c r="G1181" s="35">
        <v>106</v>
      </c>
      <c r="H1181" s="1" t="s">
        <v>709</v>
      </c>
      <c r="I1181" s="35">
        <v>19</v>
      </c>
      <c r="J1181" s="46">
        <v>16</v>
      </c>
      <c r="K1181" s="11" t="s">
        <v>732</v>
      </c>
      <c r="L1181" s="27">
        <v>99</v>
      </c>
      <c r="M1181" s="41" t="s">
        <v>773</v>
      </c>
      <c r="N1181" s="41" t="s">
        <v>3103</v>
      </c>
      <c r="O1181" t="s">
        <v>2281</v>
      </c>
      <c r="Q1181">
        <f t="shared" si="18"/>
        <v>0.52433019113960422</v>
      </c>
    </row>
    <row r="1182" spans="2:17" x14ac:dyDescent="0.35">
      <c r="D1182" s="71">
        <v>-4.3976951688417802</v>
      </c>
      <c r="E1182" s="69">
        <v>22.784067977744126</v>
      </c>
      <c r="F1182" s="72" t="s">
        <v>129</v>
      </c>
      <c r="G1182" s="35">
        <v>105</v>
      </c>
      <c r="H1182" s="1" t="s">
        <v>637</v>
      </c>
      <c r="I1182" s="35">
        <v>21</v>
      </c>
      <c r="J1182" s="46">
        <v>11</v>
      </c>
      <c r="K1182" s="11" t="s">
        <v>634</v>
      </c>
      <c r="L1182" s="27">
        <v>75</v>
      </c>
      <c r="M1182" s="41" t="s">
        <v>1138</v>
      </c>
      <c r="N1182" s="41" t="s">
        <v>3104</v>
      </c>
      <c r="O1182" t="s">
        <v>2281</v>
      </c>
      <c r="Q1182">
        <f t="shared" si="18"/>
        <v>4.3976951688417802</v>
      </c>
    </row>
    <row r="1183" spans="2:17" x14ac:dyDescent="0.35">
      <c r="D1183" s="71">
        <v>4.0181720332905684</v>
      </c>
      <c r="E1183" s="69">
        <v>34.049519976221021</v>
      </c>
      <c r="F1183" s="72" t="s">
        <v>129</v>
      </c>
      <c r="G1183" s="35">
        <v>53</v>
      </c>
      <c r="H1183" s="1" t="s">
        <v>671</v>
      </c>
      <c r="I1183" s="35">
        <v>25</v>
      </c>
      <c r="J1183" s="46">
        <v>11</v>
      </c>
      <c r="K1183" s="11" t="s">
        <v>706</v>
      </c>
      <c r="L1183" s="27">
        <v>104</v>
      </c>
      <c r="M1183" s="41" t="s">
        <v>910</v>
      </c>
      <c r="N1183" s="43" t="s">
        <v>3105</v>
      </c>
      <c r="O1183" s="1" t="s">
        <v>1390</v>
      </c>
      <c r="Q1183">
        <f t="shared" si="18"/>
        <v>4.0181720332905684</v>
      </c>
    </row>
    <row r="1184" spans="2:17" x14ac:dyDescent="0.35">
      <c r="D1184" s="71">
        <v>6.6670549785517013</v>
      </c>
      <c r="E1184" s="69">
        <v>37.78246072960593</v>
      </c>
      <c r="F1184" s="72" t="s">
        <v>129</v>
      </c>
      <c r="G1184" s="35">
        <v>40</v>
      </c>
      <c r="H1184" s="1" t="s">
        <v>664</v>
      </c>
      <c r="I1184" s="35">
        <v>29</v>
      </c>
      <c r="J1184" s="46">
        <v>15</v>
      </c>
      <c r="K1184" s="11" t="s">
        <v>1158</v>
      </c>
      <c r="L1184" s="27">
        <v>103</v>
      </c>
      <c r="M1184" s="41" t="s">
        <v>719</v>
      </c>
      <c r="N1184" s="41" t="s">
        <v>3106</v>
      </c>
      <c r="O1184" t="s">
        <v>2281</v>
      </c>
      <c r="Q1184">
        <f t="shared" si="18"/>
        <v>6.6670549785517013</v>
      </c>
    </row>
    <row r="1185" spans="1:17" x14ac:dyDescent="0.35">
      <c r="D1185" s="71">
        <v>-1.5282266345258448</v>
      </c>
      <c r="E1185" s="69">
        <v>21.627304738947039</v>
      </c>
      <c r="F1185" s="72" t="s">
        <v>231</v>
      </c>
      <c r="G1185" s="35">
        <v>102</v>
      </c>
      <c r="H1185" s="1" t="s">
        <v>716</v>
      </c>
      <c r="I1185" s="35">
        <v>10</v>
      </c>
      <c r="J1185" s="46">
        <v>7</v>
      </c>
      <c r="K1185" s="11" t="s">
        <v>700</v>
      </c>
      <c r="L1185" s="27">
        <v>76</v>
      </c>
      <c r="M1185" s="41" t="s">
        <v>762</v>
      </c>
      <c r="N1185" s="41" t="s">
        <v>3107</v>
      </c>
      <c r="O1185" t="s">
        <v>2281</v>
      </c>
      <c r="Q1185">
        <f t="shared" si="18"/>
        <v>1.5282266345258448</v>
      </c>
    </row>
    <row r="1186" spans="1:17" x14ac:dyDescent="0.35">
      <c r="C1186" s="11" t="s">
        <v>3108</v>
      </c>
      <c r="D1186" s="71">
        <v>6.013302546756143</v>
      </c>
      <c r="E1186" s="69">
        <v>24.276212466602765</v>
      </c>
      <c r="F1186" s="72" t="s">
        <v>231</v>
      </c>
      <c r="G1186" s="35">
        <v>59</v>
      </c>
      <c r="H1186" s="1" t="s">
        <v>666</v>
      </c>
      <c r="I1186" s="35">
        <v>24</v>
      </c>
      <c r="J1186" s="46">
        <v>16</v>
      </c>
      <c r="K1186" s="11" t="s">
        <v>1156</v>
      </c>
      <c r="L1186" s="27">
        <v>101</v>
      </c>
      <c r="M1186" s="41" t="s">
        <v>773</v>
      </c>
      <c r="N1186" s="41" t="s">
        <v>3109</v>
      </c>
      <c r="O1186" t="s">
        <v>2281</v>
      </c>
      <c r="Q1186">
        <f t="shared" si="18"/>
        <v>6.013302546756143</v>
      </c>
    </row>
    <row r="1187" spans="1:17" x14ac:dyDescent="0.35">
      <c r="C1187" s="11" t="s">
        <v>3110</v>
      </c>
      <c r="D1187" s="71">
        <v>8.4833427194591273</v>
      </c>
      <c r="E1187" s="69">
        <v>49.297612343243479</v>
      </c>
      <c r="F1187" s="72" t="s">
        <v>231</v>
      </c>
      <c r="G1187" s="35">
        <v>25</v>
      </c>
      <c r="H1187" s="1" t="s">
        <v>731</v>
      </c>
      <c r="I1187" s="35">
        <v>28</v>
      </c>
      <c r="J1187" s="46">
        <v>17</v>
      </c>
      <c r="K1187" s="11" t="s">
        <v>734</v>
      </c>
      <c r="L1187" s="27">
        <v>100</v>
      </c>
      <c r="M1187" s="41" t="s">
        <v>866</v>
      </c>
      <c r="N1187" s="41" t="s">
        <v>3111</v>
      </c>
      <c r="O1187" t="s">
        <v>2281</v>
      </c>
      <c r="Q1187">
        <f t="shared" si="18"/>
        <v>8.4833427194591273</v>
      </c>
    </row>
    <row r="1188" spans="1:17" x14ac:dyDescent="0.35">
      <c r="D1188" s="71">
        <v>-2.315884969399074</v>
      </c>
      <c r="E1188" s="69">
        <v>17.725632120999347</v>
      </c>
      <c r="F1188" s="72" t="s">
        <v>129</v>
      </c>
      <c r="G1188" s="35">
        <v>97</v>
      </c>
      <c r="H1188" s="1" t="s">
        <v>1161</v>
      </c>
      <c r="I1188" s="35">
        <v>23</v>
      </c>
      <c r="J1188" s="46">
        <v>15</v>
      </c>
      <c r="K1188" s="11" t="s">
        <v>1162</v>
      </c>
      <c r="L1188" s="27">
        <v>91</v>
      </c>
      <c r="M1188" s="41" t="s">
        <v>859</v>
      </c>
      <c r="N1188" s="41" t="s">
        <v>3112</v>
      </c>
      <c r="O1188" t="s">
        <v>2281</v>
      </c>
      <c r="Q1188">
        <f t="shared" si="18"/>
        <v>2.315884969399074</v>
      </c>
    </row>
    <row r="1189" spans="1:17" x14ac:dyDescent="0.35">
      <c r="D1189" s="71">
        <v>8.3896190060083295</v>
      </c>
      <c r="E1189" s="69">
        <v>53.650272138565484</v>
      </c>
      <c r="F1189" s="72" t="s">
        <v>231</v>
      </c>
      <c r="G1189" s="35">
        <v>17</v>
      </c>
      <c r="H1189" s="1" t="s">
        <v>747</v>
      </c>
      <c r="I1189" s="35">
        <v>25</v>
      </c>
      <c r="J1189" s="46">
        <v>4</v>
      </c>
      <c r="K1189" s="11" t="s">
        <v>779</v>
      </c>
      <c r="L1189" s="27">
        <v>96</v>
      </c>
      <c r="M1189" s="41" t="s">
        <v>838</v>
      </c>
      <c r="N1189" s="43" t="s">
        <v>3113</v>
      </c>
      <c r="O1189" s="1" t="s">
        <v>1390</v>
      </c>
      <c r="Q1189">
        <f t="shared" si="18"/>
        <v>8.3896190060083295</v>
      </c>
    </row>
    <row r="1190" spans="1:17" x14ac:dyDescent="0.35">
      <c r="D1190" s="71">
        <v>2.2942785704042405</v>
      </c>
      <c r="E1190" s="69">
        <v>29.16480102113983</v>
      </c>
      <c r="F1190" s="72" t="s">
        <v>231</v>
      </c>
      <c r="G1190" s="35">
        <v>70</v>
      </c>
      <c r="H1190" s="1" t="s">
        <v>1163</v>
      </c>
      <c r="I1190" s="35">
        <v>17</v>
      </c>
      <c r="J1190" s="46">
        <v>7</v>
      </c>
      <c r="K1190" s="11" t="s">
        <v>1164</v>
      </c>
      <c r="L1190" s="27">
        <v>85</v>
      </c>
      <c r="M1190" s="41" t="s">
        <v>870</v>
      </c>
      <c r="N1190" s="41" t="s">
        <v>3114</v>
      </c>
      <c r="O1190" t="s">
        <v>2281</v>
      </c>
      <c r="P1190" s="70" t="s">
        <v>2825</v>
      </c>
      <c r="Q1190">
        <f t="shared" si="18"/>
        <v>2.2942785704042405</v>
      </c>
    </row>
    <row r="1191" spans="1:17" x14ac:dyDescent="0.35">
      <c r="D1191" s="71">
        <v>5.4310119136354764</v>
      </c>
      <c r="E1191" s="69">
        <v>55.942134347403226</v>
      </c>
      <c r="F1191" s="72" t="s">
        <v>231</v>
      </c>
      <c r="G1191" s="35">
        <v>31</v>
      </c>
      <c r="H1191" s="1" t="s">
        <v>629</v>
      </c>
      <c r="I1191" s="35">
        <v>26</v>
      </c>
      <c r="J1191" s="46">
        <v>23</v>
      </c>
      <c r="K1191" s="11" t="s">
        <v>632</v>
      </c>
      <c r="L1191" s="27">
        <v>69</v>
      </c>
      <c r="M1191" s="41" t="s">
        <v>950</v>
      </c>
      <c r="N1191" s="41" t="s">
        <v>3115</v>
      </c>
      <c r="O1191" t="s">
        <v>2281</v>
      </c>
      <c r="P1191" s="70" t="s">
        <v>3116</v>
      </c>
      <c r="Q1191">
        <f t="shared" si="18"/>
        <v>5.4310119136354764</v>
      </c>
    </row>
    <row r="1192" spans="1:17" x14ac:dyDescent="0.35">
      <c r="A1192" s="2" t="s">
        <v>3117</v>
      </c>
      <c r="D1192" s="71">
        <v>-3.9290898257522286</v>
      </c>
      <c r="E1192" s="69">
        <v>61.020778446965871</v>
      </c>
      <c r="F1192" s="72" t="s">
        <v>129</v>
      </c>
      <c r="G1192" s="35">
        <v>68</v>
      </c>
      <c r="H1192" s="1" t="s">
        <v>673</v>
      </c>
      <c r="I1192" s="35">
        <v>19</v>
      </c>
      <c r="J1192" s="46">
        <v>18</v>
      </c>
      <c r="K1192" s="11" t="s">
        <v>649</v>
      </c>
      <c r="L1192" s="27">
        <v>36</v>
      </c>
      <c r="M1192" s="41" t="s">
        <v>759</v>
      </c>
      <c r="N1192" s="41" t="s">
        <v>3118</v>
      </c>
      <c r="P1192" s="70" t="s">
        <v>3119</v>
      </c>
      <c r="Q1192">
        <f t="shared" si="18"/>
        <v>3.9290898257522286</v>
      </c>
    </row>
    <row r="1193" spans="1:17" x14ac:dyDescent="0.35">
      <c r="D1193" s="71">
        <v>-4.4455345887276074</v>
      </c>
      <c r="E1193" s="69">
        <v>32.193238991948292</v>
      </c>
      <c r="F1193" s="72" t="s">
        <v>129</v>
      </c>
      <c r="G1193" s="35">
        <v>92</v>
      </c>
      <c r="H1193" s="1" t="s">
        <v>760</v>
      </c>
      <c r="I1193" s="35">
        <v>21</v>
      </c>
      <c r="J1193" s="46">
        <v>17</v>
      </c>
      <c r="K1193" s="11" t="s">
        <v>763</v>
      </c>
      <c r="L1193" s="27">
        <v>67</v>
      </c>
      <c r="M1193" s="41" t="s">
        <v>699</v>
      </c>
      <c r="N1193" s="41" t="s">
        <v>3120</v>
      </c>
      <c r="O1193" t="s">
        <v>2281</v>
      </c>
      <c r="Q1193">
        <f t="shared" si="18"/>
        <v>4.4455345887276074</v>
      </c>
    </row>
    <row r="1194" spans="1:17" x14ac:dyDescent="0.35">
      <c r="D1194" s="71">
        <v>-1.9984198174060057</v>
      </c>
      <c r="E1194" s="69">
        <v>32.231014155290005</v>
      </c>
      <c r="F1194" s="72" t="s">
        <v>231</v>
      </c>
      <c r="G1194" s="35">
        <v>89</v>
      </c>
      <c r="H1194" s="1" t="s">
        <v>792</v>
      </c>
      <c r="I1194" s="35">
        <v>22</v>
      </c>
      <c r="J1194" s="46">
        <v>18</v>
      </c>
      <c r="K1194" s="11" t="s">
        <v>772</v>
      </c>
      <c r="L1194" s="27">
        <v>66</v>
      </c>
      <c r="M1194" s="41" t="s">
        <v>719</v>
      </c>
      <c r="N1194" s="41" t="s">
        <v>3121</v>
      </c>
      <c r="O1194" t="s">
        <v>2281</v>
      </c>
      <c r="Q1194">
        <f t="shared" si="18"/>
        <v>1.9984198174060057</v>
      </c>
    </row>
    <row r="1195" spans="1:17" x14ac:dyDescent="0.35">
      <c r="D1195" s="71">
        <v>4.5319783298320591</v>
      </c>
      <c r="E1195" s="69">
        <v>67.834301192977108</v>
      </c>
      <c r="F1195" s="72" t="s">
        <v>129</v>
      </c>
      <c r="G1195" s="35">
        <v>16</v>
      </c>
      <c r="H1195" s="1" t="s">
        <v>465</v>
      </c>
      <c r="I1195" s="35">
        <v>34</v>
      </c>
      <c r="J1195" s="46">
        <v>12</v>
      </c>
      <c r="K1195" s="11" t="s">
        <v>742</v>
      </c>
      <c r="L1195" s="27">
        <v>65</v>
      </c>
      <c r="M1195" s="41" t="s">
        <v>759</v>
      </c>
      <c r="N1195" s="43" t="s">
        <v>3122</v>
      </c>
      <c r="O1195" s="1" t="s">
        <v>1390</v>
      </c>
      <c r="P1195" s="70" t="s">
        <v>3123</v>
      </c>
      <c r="Q1195">
        <f t="shared" si="18"/>
        <v>4.5319783298320591</v>
      </c>
    </row>
    <row r="1196" spans="1:17" x14ac:dyDescent="0.35">
      <c r="D1196" s="71">
        <v>-3.3229511006207972</v>
      </c>
      <c r="E1196" s="69">
        <v>39.087822214729137</v>
      </c>
      <c r="F1196" s="72" t="s">
        <v>129</v>
      </c>
      <c r="G1196" s="35">
        <v>80</v>
      </c>
      <c r="H1196" s="1" t="s">
        <v>765</v>
      </c>
      <c r="I1196" s="35">
        <v>20</v>
      </c>
      <c r="J1196" s="46">
        <v>17</v>
      </c>
      <c r="K1196" s="11" t="s">
        <v>761</v>
      </c>
      <c r="L1196" s="27">
        <v>64</v>
      </c>
      <c r="M1196" s="41" t="s">
        <v>952</v>
      </c>
      <c r="N1196" s="41" t="s">
        <v>3124</v>
      </c>
      <c r="O1196" t="s">
        <v>2281</v>
      </c>
      <c r="P1196" s="81" t="s">
        <v>1203</v>
      </c>
      <c r="Q1196">
        <f t="shared" si="18"/>
        <v>3.3229511006207972</v>
      </c>
    </row>
    <row r="1197" spans="1:17" x14ac:dyDescent="0.35">
      <c r="D1197" s="71">
        <v>-0.32127588417765907</v>
      </c>
      <c r="E1197" s="69">
        <v>52.416982774412602</v>
      </c>
      <c r="F1197" s="72" t="s">
        <v>129</v>
      </c>
      <c r="G1197" s="35">
        <v>56</v>
      </c>
      <c r="H1197" s="1" t="s">
        <v>701</v>
      </c>
      <c r="I1197" s="35">
        <v>17</v>
      </c>
      <c r="J1197" s="46">
        <v>14</v>
      </c>
      <c r="K1197" s="11" t="s">
        <v>713</v>
      </c>
      <c r="L1197" s="27">
        <v>63</v>
      </c>
      <c r="M1197" s="41" t="s">
        <v>781</v>
      </c>
      <c r="N1197" s="41" t="s">
        <v>3125</v>
      </c>
      <c r="O1197" t="s">
        <v>2281</v>
      </c>
      <c r="Q1197">
        <f t="shared" si="18"/>
        <v>0.32127588417765907</v>
      </c>
    </row>
    <row r="1198" spans="1:17" x14ac:dyDescent="0.35">
      <c r="A1198" s="2" t="s">
        <v>3126</v>
      </c>
      <c r="D1198" s="71">
        <v>-1.9226783237066369</v>
      </c>
      <c r="E1198" s="69">
        <v>60.989413088361879</v>
      </c>
      <c r="F1198" s="72" t="s">
        <v>129</v>
      </c>
      <c r="G1198" s="35">
        <v>62</v>
      </c>
      <c r="H1198" s="1" t="s">
        <v>712</v>
      </c>
      <c r="I1198" s="35">
        <v>21</v>
      </c>
      <c r="J1198" s="46">
        <v>15</v>
      </c>
      <c r="K1198" s="11" t="s">
        <v>679</v>
      </c>
      <c r="L1198" s="27">
        <v>41</v>
      </c>
      <c r="M1198" s="41" t="s">
        <v>793</v>
      </c>
      <c r="N1198" s="41" t="s">
        <v>3127</v>
      </c>
      <c r="O1198" t="s">
        <v>2281</v>
      </c>
      <c r="P1198" s="81" t="s">
        <v>3128</v>
      </c>
      <c r="Q1198">
        <f t="shared" si="18"/>
        <v>1.9226783237066369</v>
      </c>
    </row>
    <row r="1199" spans="1:17" x14ac:dyDescent="0.35">
      <c r="D1199" s="71">
        <v>6.2513522871040772</v>
      </c>
      <c r="E1199" s="69">
        <v>71.891891223497083</v>
      </c>
      <c r="F1199" s="72" t="s">
        <v>231</v>
      </c>
      <c r="G1199" s="35">
        <v>8</v>
      </c>
      <c r="H1199" s="1" t="s">
        <v>643</v>
      </c>
      <c r="I1199" s="35">
        <v>35</v>
      </c>
      <c r="J1199" s="46">
        <v>26</v>
      </c>
      <c r="K1199" s="11" t="s">
        <v>768</v>
      </c>
      <c r="L1199" s="27">
        <v>61</v>
      </c>
      <c r="M1199" s="41" t="s">
        <v>1641</v>
      </c>
      <c r="N1199" s="41" t="s">
        <v>3129</v>
      </c>
      <c r="O1199" t="s">
        <v>2281</v>
      </c>
      <c r="P1199" s="81" t="s">
        <v>3130</v>
      </c>
      <c r="Q1199">
        <f t="shared" si="18"/>
        <v>6.2513522871040772</v>
      </c>
    </row>
    <row r="1200" spans="1:17" x14ac:dyDescent="0.35">
      <c r="D1200" s="71">
        <v>-5.4561498169026965</v>
      </c>
      <c r="E1200" s="69">
        <v>78.182964154930488</v>
      </c>
      <c r="F1200" s="72" t="s">
        <v>129</v>
      </c>
      <c r="G1200" s="35">
        <v>60</v>
      </c>
      <c r="H1200" s="1" t="s">
        <v>785</v>
      </c>
      <c r="I1200" s="35">
        <v>15</v>
      </c>
      <c r="J1200" s="46">
        <v>9</v>
      </c>
      <c r="K1200" s="11" t="s">
        <v>718</v>
      </c>
      <c r="L1200" s="27">
        <v>12</v>
      </c>
      <c r="M1200" s="41" t="s">
        <v>852</v>
      </c>
      <c r="N1200" s="41" t="s">
        <v>3131</v>
      </c>
      <c r="O1200" t="s">
        <v>2281</v>
      </c>
      <c r="P1200" s="81" t="s">
        <v>3132</v>
      </c>
      <c r="Q1200">
        <f t="shared" si="18"/>
        <v>5.4561498169026965</v>
      </c>
    </row>
    <row r="1201" spans="2:20" x14ac:dyDescent="0.35">
      <c r="D1201" s="71">
        <v>-3.0966357666727458</v>
      </c>
      <c r="E1201" s="69">
        <v>34.354739833337675</v>
      </c>
      <c r="F1201" s="72" t="s">
        <v>231</v>
      </c>
      <c r="G1201" s="35">
        <v>94</v>
      </c>
      <c r="H1201" s="1" t="s">
        <v>756</v>
      </c>
      <c r="I1201" s="35">
        <v>21</v>
      </c>
      <c r="J1201" s="46">
        <v>20</v>
      </c>
      <c r="K1201" s="11" t="s">
        <v>680</v>
      </c>
      <c r="L1201" s="27">
        <v>58</v>
      </c>
      <c r="M1201" s="41" t="s">
        <v>786</v>
      </c>
      <c r="N1201" s="41" t="s">
        <v>3133</v>
      </c>
      <c r="O1201" t="s">
        <v>2281</v>
      </c>
      <c r="Q1201">
        <f t="shared" si="18"/>
        <v>3.0966357666727458</v>
      </c>
    </row>
    <row r="1202" spans="2:20" x14ac:dyDescent="0.35">
      <c r="D1202" s="71">
        <v>4.354455979603129</v>
      </c>
      <c r="E1202" s="69">
        <v>35.28253144314062</v>
      </c>
      <c r="F1202" s="72" t="s">
        <v>231</v>
      </c>
      <c r="G1202" s="35">
        <v>57</v>
      </c>
      <c r="H1202" s="1" t="s">
        <v>776</v>
      </c>
      <c r="I1202" s="35">
        <v>24</v>
      </c>
      <c r="J1202" s="46">
        <v>7</v>
      </c>
      <c r="K1202" s="11" t="s">
        <v>774</v>
      </c>
      <c r="L1202" s="27">
        <v>81</v>
      </c>
      <c r="M1202" s="41" t="s">
        <v>748</v>
      </c>
      <c r="N1202" s="43" t="s">
        <v>3134</v>
      </c>
      <c r="O1202" s="1" t="s">
        <v>1390</v>
      </c>
      <c r="Q1202">
        <f t="shared" si="18"/>
        <v>4.354455979603129</v>
      </c>
    </row>
    <row r="1203" spans="2:20" x14ac:dyDescent="0.35">
      <c r="D1203" s="71">
        <v>3.6475592317258267</v>
      </c>
      <c r="E1203" s="69">
        <v>60.430314834481557</v>
      </c>
      <c r="F1203" s="72" t="s">
        <v>231</v>
      </c>
      <c r="G1203" s="35">
        <v>37</v>
      </c>
      <c r="H1203" s="1" t="s">
        <v>677</v>
      </c>
      <c r="I1203" s="35">
        <v>40</v>
      </c>
      <c r="J1203" s="46">
        <v>9</v>
      </c>
      <c r="K1203" s="11" t="s">
        <v>729</v>
      </c>
      <c r="L1203" s="27">
        <v>55</v>
      </c>
      <c r="M1203" s="41" t="s">
        <v>2310</v>
      </c>
      <c r="N1203" s="43" t="s">
        <v>3135</v>
      </c>
      <c r="O1203" s="1" t="s">
        <v>1390</v>
      </c>
      <c r="Q1203">
        <f t="shared" si="18"/>
        <v>3.6475592317258267</v>
      </c>
    </row>
    <row r="1204" spans="2:20" x14ac:dyDescent="0.35">
      <c r="C1204" s="11" t="s">
        <v>3136</v>
      </c>
      <c r="D1204" s="71">
        <v>11.084620510365742</v>
      </c>
      <c r="E1204" s="69">
        <v>56.368128206881622</v>
      </c>
      <c r="F1204" s="72" t="s">
        <v>129</v>
      </c>
      <c r="G1204" s="35">
        <v>5</v>
      </c>
      <c r="H1204" s="1" t="s">
        <v>466</v>
      </c>
      <c r="I1204" s="35">
        <v>17</v>
      </c>
      <c r="J1204" s="46">
        <v>13</v>
      </c>
      <c r="K1204" s="11" t="s">
        <v>582</v>
      </c>
      <c r="L1204" s="27">
        <v>95</v>
      </c>
      <c r="M1204" s="41" t="s">
        <v>955</v>
      </c>
      <c r="N1204" s="41" t="s">
        <v>3137</v>
      </c>
      <c r="O1204" t="s">
        <v>2281</v>
      </c>
      <c r="P1204" s="70" t="s">
        <v>3138</v>
      </c>
      <c r="Q1204">
        <f t="shared" si="18"/>
        <v>11.084620510365742</v>
      </c>
    </row>
    <row r="1205" spans="2:20" x14ac:dyDescent="0.35">
      <c r="C1205" s="11" t="s">
        <v>3139</v>
      </c>
      <c r="D1205" s="71">
        <v>7.2168835082662213</v>
      </c>
      <c r="E1205" s="69">
        <v>53.059368922666984</v>
      </c>
      <c r="F1205" s="72" t="s">
        <v>231</v>
      </c>
      <c r="G1205" s="35">
        <v>24</v>
      </c>
      <c r="H1205" s="1" t="s">
        <v>641</v>
      </c>
      <c r="I1205" s="35">
        <v>29</v>
      </c>
      <c r="J1205" s="46">
        <v>10</v>
      </c>
      <c r="K1205" s="11" t="s">
        <v>722</v>
      </c>
      <c r="L1205" s="27">
        <v>93</v>
      </c>
      <c r="M1205" s="41" t="s">
        <v>796</v>
      </c>
      <c r="N1205" s="43" t="s">
        <v>3140</v>
      </c>
      <c r="O1205" s="1" t="s">
        <v>1390</v>
      </c>
      <c r="Q1205">
        <f t="shared" si="18"/>
        <v>7.2168835082662213</v>
      </c>
    </row>
    <row r="1206" spans="2:20" x14ac:dyDescent="0.35">
      <c r="C1206" s="11" t="s">
        <v>3141</v>
      </c>
      <c r="D1206" s="71">
        <v>-0.58500959112009099</v>
      </c>
      <c r="E1206" s="69">
        <v>23.18572113651436</v>
      </c>
      <c r="F1206" s="72" t="s">
        <v>129</v>
      </c>
      <c r="G1206" s="35">
        <v>83</v>
      </c>
      <c r="H1206" s="1" t="s">
        <v>631</v>
      </c>
      <c r="I1206" s="35">
        <v>19</v>
      </c>
      <c r="J1206" s="46">
        <v>12</v>
      </c>
      <c r="K1206" s="11" t="s">
        <v>636</v>
      </c>
      <c r="L1206" s="27">
        <v>90</v>
      </c>
      <c r="M1206" s="41" t="s">
        <v>793</v>
      </c>
      <c r="N1206" s="41" t="s">
        <v>3142</v>
      </c>
      <c r="O1206" t="s">
        <v>2281</v>
      </c>
      <c r="Q1206">
        <f t="shared" si="18"/>
        <v>0.58500959112009099</v>
      </c>
    </row>
    <row r="1207" spans="2:20" x14ac:dyDescent="0.35">
      <c r="D1207" s="71">
        <v>0.50513104916438845</v>
      </c>
      <c r="E1207" s="69">
        <v>21.960620679168297</v>
      </c>
      <c r="F1207" s="72" t="s">
        <v>231</v>
      </c>
      <c r="G1207" s="35">
        <v>88</v>
      </c>
      <c r="H1207" s="1" t="s">
        <v>1157</v>
      </c>
      <c r="I1207" s="35">
        <v>18</v>
      </c>
      <c r="J1207" s="46">
        <v>14</v>
      </c>
      <c r="K1207" s="11" t="s">
        <v>1155</v>
      </c>
      <c r="L1207" s="27">
        <v>86</v>
      </c>
      <c r="M1207" s="41" t="s">
        <v>786</v>
      </c>
      <c r="N1207" s="41" t="s">
        <v>3143</v>
      </c>
      <c r="O1207" t="s">
        <v>2281</v>
      </c>
      <c r="Q1207">
        <f t="shared" si="18"/>
        <v>0.50513104916438845</v>
      </c>
    </row>
    <row r="1208" spans="2:20" x14ac:dyDescent="0.35">
      <c r="D1208" s="71">
        <v>5.8693142960173015</v>
      </c>
      <c r="E1208" s="69">
        <v>60.450489788559068</v>
      </c>
      <c r="F1208" s="72" t="s">
        <v>129</v>
      </c>
      <c r="G1208" s="35">
        <v>15</v>
      </c>
      <c r="H1208" s="1" t="s">
        <v>334</v>
      </c>
      <c r="I1208" s="35">
        <v>26</v>
      </c>
      <c r="J1208" s="46">
        <v>16</v>
      </c>
      <c r="K1208" s="11" t="s">
        <v>633</v>
      </c>
      <c r="L1208" s="27">
        <v>84</v>
      </c>
      <c r="M1208" s="41" t="s">
        <v>1229</v>
      </c>
      <c r="N1208" s="41" t="s">
        <v>3144</v>
      </c>
      <c r="O1208" t="s">
        <v>2281</v>
      </c>
      <c r="P1208" s="70" t="s">
        <v>3145</v>
      </c>
      <c r="Q1208">
        <f t="shared" si="18"/>
        <v>5.8693142960173015</v>
      </c>
    </row>
    <row r="1209" spans="2:20" x14ac:dyDescent="0.35">
      <c r="B1209" s="103">
        <v>7</v>
      </c>
      <c r="D1209" s="71">
        <v>3.4214288252951652</v>
      </c>
      <c r="E1209" s="69">
        <v>47.332907981932024</v>
      </c>
      <c r="F1209" s="72" t="s">
        <v>129</v>
      </c>
      <c r="G1209" s="35">
        <v>43</v>
      </c>
      <c r="H1209" s="1" t="s">
        <v>693</v>
      </c>
      <c r="I1209" s="35">
        <v>21</v>
      </c>
      <c r="J1209" s="46">
        <v>18</v>
      </c>
      <c r="K1209" s="11" t="s">
        <v>757</v>
      </c>
      <c r="L1209" s="27">
        <v>82</v>
      </c>
      <c r="M1209" s="41" t="s">
        <v>781</v>
      </c>
      <c r="N1209" s="41" t="s">
        <v>3146</v>
      </c>
      <c r="O1209" t="s">
        <v>2281</v>
      </c>
      <c r="Q1209">
        <f t="shared" si="18"/>
        <v>3.4214288252951652</v>
      </c>
      <c r="S1209">
        <v>7</v>
      </c>
      <c r="T1209">
        <v>32</v>
      </c>
    </row>
    <row r="1210" spans="2:20" x14ac:dyDescent="0.35">
      <c r="B1210" s="103">
        <v>8</v>
      </c>
      <c r="D1210" s="71">
        <v>-9.1730364769015829</v>
      </c>
      <c r="E1210" s="69">
        <v>76.909311769215421</v>
      </c>
      <c r="F1210" s="72" t="s">
        <v>129</v>
      </c>
      <c r="G1210" s="35">
        <v>79</v>
      </c>
      <c r="H1210" s="1" t="s">
        <v>751</v>
      </c>
      <c r="I1210" s="35">
        <v>17</v>
      </c>
      <c r="J1210" s="46">
        <v>11</v>
      </c>
      <c r="K1210" s="11" t="s">
        <v>644</v>
      </c>
      <c r="L1210" s="27">
        <v>4</v>
      </c>
      <c r="M1210" s="41" t="s">
        <v>905</v>
      </c>
      <c r="N1210" s="41" t="s">
        <v>3147</v>
      </c>
      <c r="O1210" t="s">
        <v>2281</v>
      </c>
      <c r="P1210" s="70" t="s">
        <v>3148</v>
      </c>
      <c r="Q1210">
        <f t="shared" si="18"/>
        <v>9.1730364769015829</v>
      </c>
      <c r="S1210">
        <v>8</v>
      </c>
      <c r="T1210">
        <v>35</v>
      </c>
    </row>
    <row r="1211" spans="2:20" x14ac:dyDescent="0.35">
      <c r="B1211" s="103">
        <v>14</v>
      </c>
      <c r="D1211" s="71">
        <v>6.1008352904288605</v>
      </c>
      <c r="E1211" s="69">
        <v>61.713689078265098</v>
      </c>
      <c r="F1211" s="72" t="s">
        <v>129</v>
      </c>
      <c r="G1211" s="35">
        <v>18</v>
      </c>
      <c r="H1211" s="1" t="s">
        <v>758</v>
      </c>
      <c r="I1211" s="35">
        <v>26</v>
      </c>
      <c r="J1211" s="46">
        <v>16</v>
      </c>
      <c r="K1211" s="11" t="s">
        <v>738</v>
      </c>
      <c r="L1211" s="27">
        <v>77</v>
      </c>
      <c r="M1211" s="41" t="s">
        <v>806</v>
      </c>
      <c r="N1211" s="41" t="s">
        <v>3149</v>
      </c>
      <c r="O1211" t="s">
        <v>2281</v>
      </c>
      <c r="Q1211">
        <f t="shared" si="18"/>
        <v>6.1008352904288605</v>
      </c>
      <c r="S1211">
        <v>14</v>
      </c>
      <c r="T1211">
        <v>40</v>
      </c>
    </row>
    <row r="1212" spans="2:20" x14ac:dyDescent="0.35">
      <c r="B1212" s="103">
        <v>16</v>
      </c>
      <c r="D1212" s="71">
        <v>6.1735745183259478</v>
      </c>
      <c r="E1212" s="69">
        <v>66.661732486910026</v>
      </c>
      <c r="F1212" s="72" t="s">
        <v>129</v>
      </c>
      <c r="G1212" s="35">
        <v>7</v>
      </c>
      <c r="H1212" s="1" t="s">
        <v>642</v>
      </c>
      <c r="I1212" s="35">
        <v>24</v>
      </c>
      <c r="J1212" s="46">
        <v>11</v>
      </c>
      <c r="K1212" s="11" t="s">
        <v>777</v>
      </c>
      <c r="L1212" s="27">
        <v>74</v>
      </c>
      <c r="M1212" s="41" t="s">
        <v>775</v>
      </c>
      <c r="N1212" s="43" t="s">
        <v>3150</v>
      </c>
      <c r="O1212" s="1" t="s">
        <v>1390</v>
      </c>
      <c r="P1212" s="70" t="s">
        <v>3151</v>
      </c>
      <c r="Q1212">
        <f t="shared" si="18"/>
        <v>6.1735745183259478</v>
      </c>
      <c r="S1212">
        <v>16</v>
      </c>
      <c r="T1212">
        <v>42</v>
      </c>
    </row>
    <row r="1213" spans="2:20" x14ac:dyDescent="0.35">
      <c r="B1213" s="103">
        <v>21</v>
      </c>
      <c r="D1213" s="71">
        <v>5.2025822850393393</v>
      </c>
      <c r="E1213" s="69">
        <v>51.283869796400474</v>
      </c>
      <c r="F1213" s="72" t="s">
        <v>231</v>
      </c>
      <c r="G1213" s="35">
        <v>39</v>
      </c>
      <c r="H1213" s="1" t="s">
        <v>663</v>
      </c>
      <c r="I1213" s="35">
        <v>27</v>
      </c>
      <c r="J1213" s="46">
        <v>7</v>
      </c>
      <c r="K1213" s="11" t="s">
        <v>784</v>
      </c>
      <c r="L1213" s="27">
        <v>73</v>
      </c>
      <c r="M1213" s="41" t="s">
        <v>790</v>
      </c>
      <c r="N1213" s="43" t="s">
        <v>3152</v>
      </c>
      <c r="O1213" s="1" t="s">
        <v>1390</v>
      </c>
      <c r="Q1213">
        <f t="shared" si="18"/>
        <v>5.2025822850393393</v>
      </c>
      <c r="S1213">
        <v>21</v>
      </c>
      <c r="T1213">
        <v>48</v>
      </c>
    </row>
    <row r="1214" spans="2:20" x14ac:dyDescent="0.35">
      <c r="B1214" s="103">
        <v>24</v>
      </c>
      <c r="D1214" s="71">
        <v>10.057414953449758</v>
      </c>
      <c r="E1214" s="69">
        <v>64.95898931896447</v>
      </c>
      <c r="F1214" s="72" t="s">
        <v>231</v>
      </c>
      <c r="G1214" s="35">
        <v>6</v>
      </c>
      <c r="H1214" s="1" t="s">
        <v>352</v>
      </c>
      <c r="I1214" s="35">
        <v>30</v>
      </c>
      <c r="J1214" s="46">
        <v>11</v>
      </c>
      <c r="K1214" s="11" t="s">
        <v>635</v>
      </c>
      <c r="L1214" s="27">
        <v>72</v>
      </c>
      <c r="M1214" s="41" t="s">
        <v>793</v>
      </c>
      <c r="N1214" s="43" t="s">
        <v>3153</v>
      </c>
      <c r="O1214" s="1" t="s">
        <v>1390</v>
      </c>
      <c r="P1214" s="70" t="s">
        <v>3154</v>
      </c>
      <c r="Q1214">
        <f t="shared" si="18"/>
        <v>10.057414953449758</v>
      </c>
      <c r="S1214">
        <v>24</v>
      </c>
      <c r="T1214">
        <v>49</v>
      </c>
    </row>
    <row r="1215" spans="2:20" x14ac:dyDescent="0.35">
      <c r="B1215" s="103">
        <v>28</v>
      </c>
      <c r="D1215" s="71">
        <v>5.7042982137829092</v>
      </c>
      <c r="E1215" s="69">
        <v>62.354072704440775</v>
      </c>
      <c r="F1215" s="72" t="s">
        <v>129</v>
      </c>
      <c r="G1215" s="35">
        <v>23</v>
      </c>
      <c r="H1215" s="1" t="s">
        <v>646</v>
      </c>
      <c r="I1215" s="35">
        <v>30</v>
      </c>
      <c r="J1215" s="46">
        <v>11</v>
      </c>
      <c r="K1215" s="11" t="s">
        <v>676</v>
      </c>
      <c r="L1215" s="27">
        <v>71</v>
      </c>
      <c r="M1215" s="41" t="s">
        <v>789</v>
      </c>
      <c r="N1215" s="43" t="s">
        <v>3155</v>
      </c>
      <c r="O1215" s="1" t="s">
        <v>1390</v>
      </c>
      <c r="Q1215">
        <f t="shared" si="18"/>
        <v>5.7042982137829092</v>
      </c>
      <c r="S1215">
        <v>28</v>
      </c>
      <c r="T1215">
        <v>56</v>
      </c>
    </row>
    <row r="1216" spans="2:20" x14ac:dyDescent="0.35">
      <c r="C1216" s="11" t="s">
        <v>3156</v>
      </c>
      <c r="D1216" s="71">
        <v>1.3925568956277083</v>
      </c>
      <c r="E1216" s="69">
        <v>56.817816503123076</v>
      </c>
      <c r="F1216" s="72" t="s">
        <v>231</v>
      </c>
      <c r="G1216" s="35">
        <v>51</v>
      </c>
      <c r="H1216" s="1" t="s">
        <v>755</v>
      </c>
      <c r="I1216" s="35">
        <v>17</v>
      </c>
      <c r="J1216" s="46">
        <v>10</v>
      </c>
      <c r="K1216" s="11" t="s">
        <v>750</v>
      </c>
      <c r="L1216" s="27">
        <v>54</v>
      </c>
      <c r="M1216" s="41" t="s">
        <v>821</v>
      </c>
      <c r="N1216" s="41" t="s">
        <v>3157</v>
      </c>
      <c r="O1216" t="s">
        <v>2281</v>
      </c>
      <c r="P1216" s="70" t="s">
        <v>3024</v>
      </c>
      <c r="Q1216">
        <f t="shared" si="18"/>
        <v>1.3925568956277083</v>
      </c>
    </row>
    <row r="1217" spans="1:17" x14ac:dyDescent="0.35">
      <c r="D1217" s="71">
        <v>5.9800860558622775</v>
      </c>
      <c r="E1217" s="69">
        <v>70.014224245812656</v>
      </c>
      <c r="F1217" s="72" t="s">
        <v>231</v>
      </c>
      <c r="G1217" s="35">
        <v>20</v>
      </c>
      <c r="H1217" s="1" t="s">
        <v>651</v>
      </c>
      <c r="I1217" s="35">
        <v>26</v>
      </c>
      <c r="J1217" s="46">
        <v>15</v>
      </c>
      <c r="K1217" s="11" t="s">
        <v>1165</v>
      </c>
      <c r="L1217" s="27">
        <v>52</v>
      </c>
      <c r="M1217" s="41" t="s">
        <v>699</v>
      </c>
      <c r="N1217" s="41" t="s">
        <v>3158</v>
      </c>
      <c r="O1217" t="s">
        <v>2281</v>
      </c>
      <c r="Q1217">
        <f t="shared" si="18"/>
        <v>5.9800860558622775</v>
      </c>
    </row>
    <row r="1218" spans="1:17" x14ac:dyDescent="0.35">
      <c r="D1218" s="71">
        <v>-0.9384331679319069</v>
      </c>
      <c r="E1218" s="69">
        <v>62.500666548522787</v>
      </c>
      <c r="F1218" s="72" t="s">
        <v>129</v>
      </c>
      <c r="G1218" s="35">
        <v>46</v>
      </c>
      <c r="H1218" s="1" t="s">
        <v>778</v>
      </c>
      <c r="I1218" s="35">
        <v>9</v>
      </c>
      <c r="J1218" s="46">
        <v>4</v>
      </c>
      <c r="K1218" s="11" t="s">
        <v>771</v>
      </c>
      <c r="L1218" s="27">
        <v>49</v>
      </c>
      <c r="M1218" s="41" t="s">
        <v>924</v>
      </c>
      <c r="N1218" s="41" t="s">
        <v>3159</v>
      </c>
      <c r="O1218" t="s">
        <v>2281</v>
      </c>
      <c r="P1218" s="70" t="s">
        <v>2862</v>
      </c>
      <c r="Q1218">
        <f t="shared" si="18"/>
        <v>0.9384331679319069</v>
      </c>
    </row>
    <row r="1219" spans="1:17" x14ac:dyDescent="0.35">
      <c r="D1219" s="71">
        <v>-0.89465805228120932</v>
      </c>
      <c r="E1219" s="69">
        <v>63.272970037343711</v>
      </c>
      <c r="F1219" s="72" t="s">
        <v>129</v>
      </c>
      <c r="G1219" s="35">
        <v>45</v>
      </c>
      <c r="H1219" s="1" t="s">
        <v>681</v>
      </c>
      <c r="I1219" s="35">
        <v>19</v>
      </c>
      <c r="J1219" s="46">
        <v>15</v>
      </c>
      <c r="K1219" s="11" t="s">
        <v>1160</v>
      </c>
      <c r="L1219" s="27">
        <v>48</v>
      </c>
      <c r="M1219" s="41" t="s">
        <v>806</v>
      </c>
      <c r="N1219" s="41" t="s">
        <v>3160</v>
      </c>
      <c r="O1219" s="6" t="s">
        <v>1386</v>
      </c>
      <c r="Q1219">
        <f t="shared" ref="Q1219:Q1282" si="19">ABS(D1219)</f>
        <v>0.89465805228120932</v>
      </c>
    </row>
    <row r="1220" spans="1:17" x14ac:dyDescent="0.35">
      <c r="D1220" s="71">
        <v>3.6200160533935932</v>
      </c>
      <c r="E1220" s="69">
        <v>65.673202819004572</v>
      </c>
      <c r="F1220" s="72" t="s">
        <v>231</v>
      </c>
      <c r="G1220" s="35">
        <v>32</v>
      </c>
      <c r="H1220" s="1" t="s">
        <v>692</v>
      </c>
      <c r="I1220" s="35">
        <v>19</v>
      </c>
      <c r="J1220" s="46">
        <v>11</v>
      </c>
      <c r="K1220" s="11" t="s">
        <v>746</v>
      </c>
      <c r="L1220" s="27">
        <v>47</v>
      </c>
      <c r="M1220" s="41" t="s">
        <v>762</v>
      </c>
      <c r="N1220" s="41" t="s">
        <v>3161</v>
      </c>
      <c r="O1220" t="s">
        <v>2281</v>
      </c>
      <c r="Q1220">
        <f t="shared" si="19"/>
        <v>3.6200160533935932</v>
      </c>
    </row>
    <row r="1221" spans="1:17" x14ac:dyDescent="0.35">
      <c r="C1221" s="11" t="s">
        <v>3162</v>
      </c>
      <c r="D1221" s="71">
        <v>3.5019383594944617</v>
      </c>
      <c r="E1221" s="69">
        <v>77.85575831464682</v>
      </c>
      <c r="F1221" s="72" t="s">
        <v>129</v>
      </c>
      <c r="G1221" s="35">
        <v>11</v>
      </c>
      <c r="H1221" s="1" t="s">
        <v>467</v>
      </c>
      <c r="I1221" s="35">
        <v>18</v>
      </c>
      <c r="J1221" s="46">
        <v>11</v>
      </c>
      <c r="K1221" s="11" t="s">
        <v>780</v>
      </c>
      <c r="L1221" s="27">
        <v>44</v>
      </c>
      <c r="M1221" s="41" t="s">
        <v>789</v>
      </c>
      <c r="N1221" s="43" t="s">
        <v>3163</v>
      </c>
      <c r="O1221" s="1" t="s">
        <v>2281</v>
      </c>
      <c r="P1221" s="70" t="s">
        <v>3164</v>
      </c>
      <c r="Q1221">
        <f t="shared" si="19"/>
        <v>3.5019383594944617</v>
      </c>
    </row>
    <row r="1222" spans="1:17" x14ac:dyDescent="0.35">
      <c r="D1222" s="71">
        <v>3.9316479792922343</v>
      </c>
      <c r="E1222" s="69">
        <v>77.548822871934121</v>
      </c>
      <c r="F1222" s="72" t="s">
        <v>129</v>
      </c>
      <c r="G1222" s="35">
        <v>13</v>
      </c>
      <c r="H1222" s="1" t="s">
        <v>647</v>
      </c>
      <c r="I1222" s="35">
        <v>24</v>
      </c>
      <c r="J1222" s="46">
        <v>9</v>
      </c>
      <c r="K1222" s="11" t="s">
        <v>783</v>
      </c>
      <c r="L1222" s="27">
        <v>42</v>
      </c>
      <c r="M1222" s="41" t="s">
        <v>874</v>
      </c>
      <c r="N1222" s="43" t="s">
        <v>3165</v>
      </c>
      <c r="O1222" s="1" t="s">
        <v>1390</v>
      </c>
      <c r="Q1222">
        <f t="shared" si="19"/>
        <v>3.9316479792922343</v>
      </c>
    </row>
    <row r="1223" spans="1:17" x14ac:dyDescent="0.35">
      <c r="D1223" s="71">
        <v>0.29785629144645176</v>
      </c>
      <c r="E1223" s="69">
        <v>74.072959791823962</v>
      </c>
      <c r="F1223" s="72" t="s">
        <v>129</v>
      </c>
      <c r="G1223" s="35">
        <v>26</v>
      </c>
      <c r="H1223" s="1" t="s">
        <v>753</v>
      </c>
      <c r="I1223" s="35">
        <v>15</v>
      </c>
      <c r="J1223" s="46">
        <v>11</v>
      </c>
      <c r="K1223" s="11" t="s">
        <v>678</v>
      </c>
      <c r="L1223" s="27">
        <v>38</v>
      </c>
      <c r="M1223" s="41" t="s">
        <v>705</v>
      </c>
      <c r="N1223" s="41" t="s">
        <v>3166</v>
      </c>
      <c r="O1223" t="s">
        <v>2281</v>
      </c>
      <c r="Q1223">
        <f t="shared" si="19"/>
        <v>0.29785629144645176</v>
      </c>
    </row>
    <row r="1224" spans="1:17" x14ac:dyDescent="0.35">
      <c r="D1224" s="71">
        <v>-3.4827670834204572</v>
      </c>
      <c r="E1224" s="69">
        <v>84.987690773871762</v>
      </c>
      <c r="F1224" s="72" t="s">
        <v>129</v>
      </c>
      <c r="G1224" s="35">
        <v>35</v>
      </c>
      <c r="H1224" s="1" t="s">
        <v>630</v>
      </c>
      <c r="I1224" s="35">
        <v>18</v>
      </c>
      <c r="J1224" s="46">
        <v>14</v>
      </c>
      <c r="K1224" s="11" t="s">
        <v>328</v>
      </c>
      <c r="L1224" s="27">
        <v>14</v>
      </c>
      <c r="M1224" s="41" t="s">
        <v>748</v>
      </c>
      <c r="N1224" s="41" t="s">
        <v>3167</v>
      </c>
      <c r="O1224" t="s">
        <v>2281</v>
      </c>
      <c r="Q1224">
        <f t="shared" si="19"/>
        <v>3.4827670834204572</v>
      </c>
    </row>
    <row r="1225" spans="1:17" x14ac:dyDescent="0.35">
      <c r="D1225" s="71">
        <v>2.1452090333630283</v>
      </c>
      <c r="E1225" s="69">
        <v>73.958779261883549</v>
      </c>
      <c r="F1225" s="72" t="s">
        <v>231</v>
      </c>
      <c r="G1225" s="35">
        <v>27</v>
      </c>
      <c r="H1225" s="1" t="s">
        <v>661</v>
      </c>
      <c r="I1225" s="35">
        <v>15</v>
      </c>
      <c r="J1225" s="46">
        <v>11</v>
      </c>
      <c r="K1225" s="11" t="s">
        <v>672</v>
      </c>
      <c r="L1225" s="27">
        <v>34</v>
      </c>
      <c r="M1225" s="41" t="s">
        <v>769</v>
      </c>
      <c r="N1225" s="41" t="s">
        <v>3168</v>
      </c>
      <c r="O1225" t="s">
        <v>2281</v>
      </c>
      <c r="P1225" s="70" t="s">
        <v>3169</v>
      </c>
      <c r="Q1225">
        <f t="shared" si="19"/>
        <v>2.1452090333630283</v>
      </c>
    </row>
    <row r="1226" spans="1:17" x14ac:dyDescent="0.35">
      <c r="C1226" s="11" t="s">
        <v>3170</v>
      </c>
      <c r="D1226" s="71">
        <v>0.92867014561646943</v>
      </c>
      <c r="E1226" s="69">
        <v>74.024164181702517</v>
      </c>
      <c r="F1226" s="72" t="s">
        <v>231</v>
      </c>
      <c r="G1226" s="35">
        <v>33</v>
      </c>
      <c r="H1226" s="1" t="s">
        <v>652</v>
      </c>
      <c r="I1226" s="35">
        <v>17</v>
      </c>
      <c r="J1226" s="46">
        <v>12</v>
      </c>
      <c r="K1226" s="11" t="s">
        <v>667</v>
      </c>
      <c r="L1226" s="27">
        <v>30</v>
      </c>
      <c r="M1226" s="41" t="s">
        <v>821</v>
      </c>
      <c r="N1226" s="41" t="s">
        <v>3171</v>
      </c>
      <c r="O1226" t="s">
        <v>2281</v>
      </c>
      <c r="Q1226">
        <f t="shared" si="19"/>
        <v>0.92867014561646943</v>
      </c>
    </row>
    <row r="1227" spans="1:17" x14ac:dyDescent="0.35">
      <c r="D1227" s="71">
        <v>-5.8945999180480904</v>
      </c>
      <c r="E1227" s="69">
        <v>93.138999941462913</v>
      </c>
      <c r="F1227" s="72" t="s">
        <v>129</v>
      </c>
      <c r="G1227" s="35">
        <v>29</v>
      </c>
      <c r="H1227" s="1" t="s">
        <v>645</v>
      </c>
      <c r="I1227" s="35">
        <v>17</v>
      </c>
      <c r="J1227" s="46">
        <v>12</v>
      </c>
      <c r="K1227" s="11" t="s">
        <v>468</v>
      </c>
      <c r="L1227" s="27">
        <v>2</v>
      </c>
      <c r="M1227" s="41" t="s">
        <v>874</v>
      </c>
      <c r="N1227" s="41" t="s">
        <v>3172</v>
      </c>
      <c r="O1227" t="s">
        <v>2281</v>
      </c>
      <c r="P1227" s="70" t="s">
        <v>3173</v>
      </c>
      <c r="Q1227">
        <f t="shared" si="19"/>
        <v>5.8945999180480904</v>
      </c>
    </row>
    <row r="1228" spans="1:17" x14ac:dyDescent="0.35">
      <c r="D1228" s="71">
        <v>0.11788723746029879</v>
      </c>
      <c r="E1228" s="69">
        <v>82.058651973242647</v>
      </c>
      <c r="F1228" s="72" t="s">
        <v>231</v>
      </c>
      <c r="G1228" s="35">
        <v>28</v>
      </c>
      <c r="H1228" s="1" t="s">
        <v>648</v>
      </c>
      <c r="I1228" s="35">
        <v>15</v>
      </c>
      <c r="J1228" s="46">
        <v>9</v>
      </c>
      <c r="K1228" s="11" t="s">
        <v>670</v>
      </c>
      <c r="L1228" s="27">
        <v>22</v>
      </c>
      <c r="M1228" s="41" t="s">
        <v>821</v>
      </c>
      <c r="N1228" s="41" t="s">
        <v>3174</v>
      </c>
      <c r="O1228" t="s">
        <v>2281</v>
      </c>
      <c r="Q1228">
        <f t="shared" si="19"/>
        <v>0.11788723746029879</v>
      </c>
    </row>
    <row r="1229" spans="1:17" x14ac:dyDescent="0.35">
      <c r="C1229" s="11" t="s">
        <v>3175</v>
      </c>
      <c r="D1229" s="71">
        <v>3.1948513424773641</v>
      </c>
      <c r="E1229" s="69">
        <v>90.217963326801893</v>
      </c>
      <c r="F1229" s="72" t="s">
        <v>129</v>
      </c>
      <c r="G1229" s="35">
        <v>3</v>
      </c>
      <c r="H1229" s="1" t="s">
        <v>245</v>
      </c>
      <c r="I1229" s="35">
        <v>27</v>
      </c>
      <c r="J1229" s="46">
        <v>25</v>
      </c>
      <c r="K1229" s="11" t="s">
        <v>650</v>
      </c>
      <c r="L1229" s="27">
        <v>21</v>
      </c>
      <c r="M1229" s="41" t="s">
        <v>1000</v>
      </c>
      <c r="N1229" s="41" t="s">
        <v>3176</v>
      </c>
      <c r="O1229" s="6" t="s">
        <v>1386</v>
      </c>
      <c r="P1229" s="70" t="s">
        <v>3177</v>
      </c>
      <c r="Q1229">
        <f t="shared" si="19"/>
        <v>3.1948513424773641</v>
      </c>
    </row>
    <row r="1230" spans="1:17" x14ac:dyDescent="0.35">
      <c r="C1230" s="11" t="s">
        <v>3178</v>
      </c>
      <c r="D1230" s="71">
        <v>5.0245658144704972</v>
      </c>
      <c r="E1230" s="69">
        <v>90.161024418235357</v>
      </c>
      <c r="F1230" s="72" t="s">
        <v>231</v>
      </c>
      <c r="G1230" s="35">
        <v>1</v>
      </c>
      <c r="H1230" s="1" t="s">
        <v>242</v>
      </c>
      <c r="I1230" s="35">
        <v>25</v>
      </c>
      <c r="J1230" s="46">
        <v>7</v>
      </c>
      <c r="K1230" s="11" t="s">
        <v>660</v>
      </c>
      <c r="L1230" s="27">
        <v>19</v>
      </c>
      <c r="M1230" s="41" t="s">
        <v>740</v>
      </c>
      <c r="N1230" s="43" t="s">
        <v>3179</v>
      </c>
      <c r="O1230" s="1" t="s">
        <v>1390</v>
      </c>
      <c r="P1230" s="70" t="s">
        <v>3180</v>
      </c>
      <c r="Q1230">
        <f t="shared" si="19"/>
        <v>5.0245658144704972</v>
      </c>
    </row>
    <row r="1231" spans="1:17" ht="15" thickBot="1" x14ac:dyDescent="0.4">
      <c r="C1231" s="51" t="s">
        <v>3181</v>
      </c>
      <c r="D1231" s="82">
        <v>-1.1474003594544133</v>
      </c>
      <c r="E1231" s="76">
        <v>94.882071685324576</v>
      </c>
      <c r="F1231" s="83" t="s">
        <v>129</v>
      </c>
      <c r="G1231" s="49">
        <v>10</v>
      </c>
      <c r="H1231" s="45" t="s">
        <v>640</v>
      </c>
      <c r="I1231" s="49">
        <v>17</v>
      </c>
      <c r="J1231" s="50">
        <v>12</v>
      </c>
      <c r="K1231" s="51" t="s">
        <v>704</v>
      </c>
      <c r="L1231" s="77">
        <v>9</v>
      </c>
      <c r="M1231" s="42" t="s">
        <v>821</v>
      </c>
      <c r="N1231" s="42" t="s">
        <v>3182</v>
      </c>
      <c r="O1231" s="40" t="s">
        <v>2281</v>
      </c>
      <c r="P1231" s="78" t="s">
        <v>3183</v>
      </c>
      <c r="Q1231">
        <f t="shared" si="19"/>
        <v>1.1474003594544133</v>
      </c>
    </row>
    <row r="1232" spans="1:17" x14ac:dyDescent="0.35">
      <c r="A1232" s="2" t="s">
        <v>3184</v>
      </c>
      <c r="B1232" s="103" t="s">
        <v>1350</v>
      </c>
      <c r="C1232" s="11" t="s">
        <v>3185</v>
      </c>
      <c r="D1232" s="71">
        <v>5.2883589841968437</v>
      </c>
      <c r="E1232" s="69">
        <v>72.498006953242083</v>
      </c>
      <c r="F1232" s="72" t="s">
        <v>231</v>
      </c>
      <c r="G1232" s="35">
        <v>27</v>
      </c>
      <c r="H1232" s="1" t="s">
        <v>650</v>
      </c>
      <c r="I1232" s="35">
        <v>17</v>
      </c>
      <c r="J1232" s="46">
        <v>10</v>
      </c>
      <c r="K1232" s="11" t="s">
        <v>649</v>
      </c>
      <c r="L1232" s="27">
        <v>38</v>
      </c>
      <c r="M1232" s="41" t="s">
        <v>710</v>
      </c>
      <c r="N1232" s="41" t="s">
        <v>3186</v>
      </c>
      <c r="O1232" t="s">
        <v>2281</v>
      </c>
      <c r="Q1232">
        <f t="shared" si="19"/>
        <v>5.2883589841968437</v>
      </c>
    </row>
    <row r="1233" spans="2:17" x14ac:dyDescent="0.35">
      <c r="C1233" s="11" t="s">
        <v>3185</v>
      </c>
      <c r="D1233" s="71">
        <v>7.8488071175915568</v>
      </c>
      <c r="E1233" s="69">
        <v>88.804712465582696</v>
      </c>
      <c r="F1233" s="72" t="s">
        <v>231</v>
      </c>
      <c r="G1233" s="35">
        <v>3</v>
      </c>
      <c r="H1233" s="1" t="s">
        <v>466</v>
      </c>
      <c r="I1233" s="35">
        <v>24</v>
      </c>
      <c r="J1233" s="46">
        <v>11</v>
      </c>
      <c r="K1233" s="11" t="s">
        <v>651</v>
      </c>
      <c r="L1233" s="27">
        <v>18</v>
      </c>
      <c r="M1233" s="41" t="s">
        <v>741</v>
      </c>
      <c r="N1233" s="43" t="s">
        <v>3187</v>
      </c>
      <c r="O1233" s="1" t="s">
        <v>1390</v>
      </c>
      <c r="Q1233">
        <f t="shared" si="19"/>
        <v>7.8488071175915568</v>
      </c>
    </row>
    <row r="1234" spans="2:17" x14ac:dyDescent="0.35">
      <c r="C1234" s="11" t="s">
        <v>3185</v>
      </c>
      <c r="D1234" s="71">
        <v>8.7320776411048531</v>
      </c>
      <c r="E1234" s="69">
        <v>73.890348978702519</v>
      </c>
      <c r="F1234" s="72" t="s">
        <v>129</v>
      </c>
      <c r="G1234" s="35">
        <v>7</v>
      </c>
      <c r="H1234" s="1" t="s">
        <v>642</v>
      </c>
      <c r="I1234" s="35">
        <v>26</v>
      </c>
      <c r="J1234" s="46">
        <v>15</v>
      </c>
      <c r="K1234" s="11" t="s">
        <v>746</v>
      </c>
      <c r="L1234" s="27">
        <v>55</v>
      </c>
      <c r="M1234" s="41" t="s">
        <v>699</v>
      </c>
      <c r="N1234" s="41" t="s">
        <v>3188</v>
      </c>
      <c r="O1234" t="s">
        <v>2281</v>
      </c>
      <c r="Q1234">
        <f t="shared" si="19"/>
        <v>8.7320776411048531</v>
      </c>
    </row>
    <row r="1235" spans="2:17" x14ac:dyDescent="0.35">
      <c r="C1235" s="11" t="s">
        <v>3185</v>
      </c>
      <c r="D1235" s="71">
        <v>-6.4295872486785353</v>
      </c>
      <c r="E1235" s="69">
        <v>85.839443049131617</v>
      </c>
      <c r="F1235" s="72" t="s">
        <v>231</v>
      </c>
      <c r="G1235" s="35">
        <v>50</v>
      </c>
      <c r="H1235" s="1" t="s">
        <v>783</v>
      </c>
      <c r="I1235" s="35">
        <v>22</v>
      </c>
      <c r="J1235" s="46">
        <v>19</v>
      </c>
      <c r="K1235" s="11" t="s">
        <v>640</v>
      </c>
      <c r="L1235" s="27">
        <v>9</v>
      </c>
      <c r="M1235" s="41" t="s">
        <v>699</v>
      </c>
      <c r="N1235" s="41" t="s">
        <v>3189</v>
      </c>
      <c r="P1235" s="81" t="s">
        <v>3190</v>
      </c>
      <c r="Q1235">
        <f t="shared" si="19"/>
        <v>6.4295872486785353</v>
      </c>
    </row>
    <row r="1236" spans="2:17" x14ac:dyDescent="0.35">
      <c r="C1236" s="11" t="s">
        <v>3200</v>
      </c>
      <c r="D1236" s="71">
        <v>0.52856259465387012</v>
      </c>
      <c r="E1236" s="69">
        <v>90.378959760579662</v>
      </c>
      <c r="F1236" s="72" t="s">
        <v>129</v>
      </c>
      <c r="G1236" s="35">
        <v>11</v>
      </c>
      <c r="H1236" s="1" t="s">
        <v>467</v>
      </c>
      <c r="I1236" s="35">
        <v>31</v>
      </c>
      <c r="J1236" s="46">
        <v>13</v>
      </c>
      <c r="K1236" s="11" t="s">
        <v>731</v>
      </c>
      <c r="L1236" s="27">
        <v>22</v>
      </c>
      <c r="M1236" s="41" t="s">
        <v>759</v>
      </c>
      <c r="N1236" s="43" t="s">
        <v>3201</v>
      </c>
      <c r="O1236" s="1" t="s">
        <v>1390</v>
      </c>
      <c r="Q1236">
        <f t="shared" si="19"/>
        <v>0.52856259465387012</v>
      </c>
    </row>
    <row r="1237" spans="2:17" x14ac:dyDescent="0.35">
      <c r="C1237" s="11" t="s">
        <v>3200</v>
      </c>
      <c r="D1237" s="71">
        <v>-0.82629172197302747</v>
      </c>
      <c r="E1237" s="69">
        <v>96.187437535554082</v>
      </c>
      <c r="F1237" s="72" t="s">
        <v>231</v>
      </c>
      <c r="G1237" s="35">
        <v>13</v>
      </c>
      <c r="H1237" s="1" t="s">
        <v>747</v>
      </c>
      <c r="I1237" s="35">
        <v>17</v>
      </c>
      <c r="J1237" s="46">
        <v>13</v>
      </c>
      <c r="K1237" s="11" t="s">
        <v>644</v>
      </c>
      <c r="L1237" s="27">
        <v>6</v>
      </c>
      <c r="M1237" s="41" t="s">
        <v>719</v>
      </c>
      <c r="N1237" s="41" t="s">
        <v>3202</v>
      </c>
      <c r="O1237" t="s">
        <v>2281</v>
      </c>
      <c r="P1237" s="81" t="s">
        <v>3203</v>
      </c>
      <c r="Q1237">
        <f t="shared" si="19"/>
        <v>0.82629172197302747</v>
      </c>
    </row>
    <row r="1238" spans="2:17" x14ac:dyDescent="0.35">
      <c r="C1238" s="11" t="s">
        <v>3200</v>
      </c>
      <c r="D1238" s="71">
        <v>3.4490301648087467</v>
      </c>
      <c r="E1238" s="69">
        <v>96.095266322622948</v>
      </c>
      <c r="F1238" s="72" t="s">
        <v>231</v>
      </c>
      <c r="G1238" s="35">
        <v>2</v>
      </c>
      <c r="H1238" s="1" t="s">
        <v>245</v>
      </c>
      <c r="I1238" s="35">
        <v>21</v>
      </c>
      <c r="J1238" s="46">
        <v>16</v>
      </c>
      <c r="K1238" s="11" t="s">
        <v>468</v>
      </c>
      <c r="L1238" s="27">
        <v>4</v>
      </c>
      <c r="M1238" s="41" t="s">
        <v>793</v>
      </c>
      <c r="N1238" s="41" t="s">
        <v>3204</v>
      </c>
      <c r="O1238" t="s">
        <v>2281</v>
      </c>
      <c r="P1238" s="70" t="s">
        <v>2943</v>
      </c>
      <c r="Q1238">
        <f t="shared" si="19"/>
        <v>3.4490301648087467</v>
      </c>
    </row>
    <row r="1239" spans="2:17" x14ac:dyDescent="0.35">
      <c r="C1239" s="11" t="s">
        <v>3200</v>
      </c>
      <c r="D1239" s="71">
        <v>-1.9984996212235056</v>
      </c>
      <c r="E1239" s="69">
        <v>94.53474975650083</v>
      </c>
      <c r="F1239" s="72" t="s">
        <v>231</v>
      </c>
      <c r="G1239" s="35">
        <v>16</v>
      </c>
      <c r="H1239" s="1" t="s">
        <v>718</v>
      </c>
      <c r="I1239" s="35">
        <v>19</v>
      </c>
      <c r="J1239" s="46">
        <v>17</v>
      </c>
      <c r="K1239" s="11" t="s">
        <v>643</v>
      </c>
      <c r="L1239" s="27">
        <v>8</v>
      </c>
      <c r="M1239" s="41" t="s">
        <v>699</v>
      </c>
      <c r="N1239" s="41" t="s">
        <v>3205</v>
      </c>
      <c r="O1239" t="s">
        <v>2281</v>
      </c>
      <c r="Q1239">
        <f t="shared" si="19"/>
        <v>1.9984996212235056</v>
      </c>
    </row>
    <row r="1240" spans="2:17" x14ac:dyDescent="0.35">
      <c r="B1240" s="103" t="s">
        <v>1351</v>
      </c>
      <c r="C1240" s="11" t="s">
        <v>3191</v>
      </c>
      <c r="D1240" s="71">
        <v>-1.4190881508635109</v>
      </c>
      <c r="E1240" s="69">
        <v>76.905757927710312</v>
      </c>
      <c r="F1240" s="72" t="s">
        <v>231</v>
      </c>
      <c r="G1240" s="35">
        <v>38</v>
      </c>
      <c r="H1240" s="1" t="s">
        <v>649</v>
      </c>
      <c r="I1240" s="35">
        <v>19</v>
      </c>
      <c r="J1240" s="46">
        <v>14</v>
      </c>
      <c r="K1240" s="11" t="s">
        <v>650</v>
      </c>
      <c r="L1240" s="27">
        <v>27</v>
      </c>
      <c r="M1240" s="41" t="s">
        <v>796</v>
      </c>
      <c r="N1240" s="41" t="s">
        <v>3192</v>
      </c>
      <c r="O1240" t="s">
        <v>2281</v>
      </c>
      <c r="P1240" s="70" t="s">
        <v>3193</v>
      </c>
      <c r="Q1240">
        <f>ABS(D1240)</f>
        <v>1.4190881508635109</v>
      </c>
    </row>
    <row r="1241" spans="2:17" x14ac:dyDescent="0.35">
      <c r="C1241" s="11" t="s">
        <v>3191</v>
      </c>
      <c r="D1241" s="71">
        <v>4.0406300342582222</v>
      </c>
      <c r="E1241" s="69">
        <v>91.307228834630322</v>
      </c>
      <c r="F1241" s="72" t="s">
        <v>129</v>
      </c>
      <c r="G1241" s="35">
        <v>3</v>
      </c>
      <c r="H1241" s="1" t="s">
        <v>466</v>
      </c>
      <c r="I1241" s="35">
        <v>26</v>
      </c>
      <c r="J1241" s="46">
        <v>19</v>
      </c>
      <c r="K1241" s="11" t="s">
        <v>651</v>
      </c>
      <c r="L1241" s="27">
        <v>18</v>
      </c>
      <c r="M1241" s="41" t="s">
        <v>781</v>
      </c>
      <c r="N1241" s="41" t="s">
        <v>3194</v>
      </c>
      <c r="O1241" t="s">
        <v>2281</v>
      </c>
      <c r="P1241" s="70" t="s">
        <v>3195</v>
      </c>
      <c r="Q1241">
        <f>ABS(D1241)</f>
        <v>4.0406300342582222</v>
      </c>
    </row>
    <row r="1242" spans="2:17" x14ac:dyDescent="0.35">
      <c r="C1242" s="11" t="s">
        <v>3191</v>
      </c>
      <c r="D1242" s="71">
        <v>13.459550102393244</v>
      </c>
      <c r="E1242" s="69">
        <v>70.783724218427295</v>
      </c>
      <c r="F1242" s="72" t="s">
        <v>231</v>
      </c>
      <c r="G1242" s="35">
        <v>7</v>
      </c>
      <c r="H1242" s="1" t="s">
        <v>642</v>
      </c>
      <c r="I1242" s="35">
        <v>35</v>
      </c>
      <c r="J1242" s="46">
        <v>14</v>
      </c>
      <c r="K1242" s="11" t="s">
        <v>746</v>
      </c>
      <c r="L1242" s="27">
        <v>55</v>
      </c>
      <c r="M1242" s="41" t="s">
        <v>831</v>
      </c>
      <c r="N1242" s="43" t="s">
        <v>3196</v>
      </c>
      <c r="O1242" s="1" t="s">
        <v>1390</v>
      </c>
      <c r="P1242" s="70" t="s">
        <v>3197</v>
      </c>
      <c r="Q1242">
        <f>ABS(D1242)</f>
        <v>13.459550102393244</v>
      </c>
    </row>
    <row r="1243" spans="2:17" ht="15" thickBot="1" x14ac:dyDescent="0.4">
      <c r="C1243" s="51" t="s">
        <v>3191</v>
      </c>
      <c r="D1243" s="82">
        <v>10.217399748678535</v>
      </c>
      <c r="E1243" s="76">
        <v>73.899994450868405</v>
      </c>
      <c r="F1243" s="83" t="s">
        <v>231</v>
      </c>
      <c r="G1243" s="49">
        <v>9</v>
      </c>
      <c r="H1243" s="45" t="s">
        <v>640</v>
      </c>
      <c r="I1243" s="49">
        <v>21</v>
      </c>
      <c r="J1243" s="50">
        <v>13</v>
      </c>
      <c r="K1243" s="51" t="s">
        <v>783</v>
      </c>
      <c r="L1243" s="77">
        <v>50</v>
      </c>
      <c r="M1243" s="42" t="s">
        <v>826</v>
      </c>
      <c r="N1243" s="42" t="s">
        <v>3198</v>
      </c>
      <c r="O1243" s="40" t="s">
        <v>2281</v>
      </c>
      <c r="P1243" s="78" t="s">
        <v>3199</v>
      </c>
      <c r="Q1243">
        <f>ABS(D1243)</f>
        <v>10.217399748678535</v>
      </c>
    </row>
    <row r="1244" spans="2:17" x14ac:dyDescent="0.35">
      <c r="C1244" s="11" t="s">
        <v>3206</v>
      </c>
      <c r="D1244" s="71">
        <v>4.1670809454056279</v>
      </c>
      <c r="E1244" s="69">
        <v>88.039912249382098</v>
      </c>
      <c r="F1244" s="72" t="s">
        <v>231</v>
      </c>
      <c r="G1244" s="35">
        <v>11</v>
      </c>
      <c r="H1244" s="1" t="s">
        <v>467</v>
      </c>
      <c r="I1244" s="35">
        <v>19</v>
      </c>
      <c r="J1244" s="46">
        <v>6</v>
      </c>
      <c r="K1244" s="11" t="s">
        <v>731</v>
      </c>
      <c r="L1244" s="27">
        <v>22</v>
      </c>
      <c r="M1244" s="41" t="s">
        <v>870</v>
      </c>
      <c r="N1244" s="43" t="s">
        <v>3207</v>
      </c>
      <c r="O1244" s="1" t="s">
        <v>1390</v>
      </c>
      <c r="P1244" s="70" t="s">
        <v>3208</v>
      </c>
      <c r="Q1244">
        <f t="shared" si="19"/>
        <v>4.1670809454056279</v>
      </c>
    </row>
    <row r="1245" spans="2:17" x14ac:dyDescent="0.35">
      <c r="C1245" s="11" t="s">
        <v>3206</v>
      </c>
      <c r="D1245" s="71">
        <v>4.0678774720817277</v>
      </c>
      <c r="E1245" s="69">
        <v>92.0411859108046</v>
      </c>
      <c r="F1245" s="72" t="s">
        <v>231</v>
      </c>
      <c r="G1245" s="35">
        <v>6</v>
      </c>
      <c r="H1245" s="1" t="s">
        <v>644</v>
      </c>
      <c r="I1245" s="35">
        <v>18</v>
      </c>
      <c r="J1245" s="46">
        <v>7</v>
      </c>
      <c r="K1245" s="11" t="s">
        <v>747</v>
      </c>
      <c r="L1245" s="27">
        <v>13</v>
      </c>
      <c r="M1245" s="41" t="s">
        <v>748</v>
      </c>
      <c r="N1245" s="43" t="s">
        <v>3209</v>
      </c>
      <c r="O1245" s="1" t="s">
        <v>1390</v>
      </c>
      <c r="P1245" s="70" t="s">
        <v>3210</v>
      </c>
      <c r="Q1245">
        <f t="shared" si="19"/>
        <v>4.0678774720817277</v>
      </c>
    </row>
    <row r="1246" spans="2:17" x14ac:dyDescent="0.35">
      <c r="C1246" s="11" t="s">
        <v>3206</v>
      </c>
      <c r="D1246" s="37">
        <v>-0.50843029623238079</v>
      </c>
      <c r="E1246" s="96">
        <v>98.639348047577954</v>
      </c>
      <c r="F1246" s="35" t="s">
        <v>129</v>
      </c>
      <c r="G1246" s="35">
        <v>2</v>
      </c>
      <c r="H1246" s="1" t="s">
        <v>245</v>
      </c>
      <c r="I1246" s="35">
        <v>12</v>
      </c>
      <c r="J1246" s="46">
        <v>8</v>
      </c>
      <c r="K1246" s="11" t="s">
        <v>468</v>
      </c>
      <c r="L1246" s="27">
        <v>4</v>
      </c>
      <c r="M1246" s="41" t="s">
        <v>842</v>
      </c>
      <c r="N1246" s="41" t="s">
        <v>3211</v>
      </c>
      <c r="O1246" t="s">
        <v>2281</v>
      </c>
      <c r="P1246" s="70" t="s">
        <v>3212</v>
      </c>
      <c r="Q1246">
        <f t="shared" si="19"/>
        <v>0.50843029623238079</v>
      </c>
    </row>
    <row r="1247" spans="2:17" ht="15" thickBot="1" x14ac:dyDescent="0.4">
      <c r="C1247" s="51" t="s">
        <v>3206</v>
      </c>
      <c r="D1247" s="82">
        <v>6.2901860000500989</v>
      </c>
      <c r="E1247" s="76">
        <v>89.206308999967803</v>
      </c>
      <c r="F1247" s="83" t="s">
        <v>231</v>
      </c>
      <c r="G1247" s="49">
        <v>8</v>
      </c>
      <c r="H1247" s="45" t="s">
        <v>643</v>
      </c>
      <c r="I1247" s="49">
        <v>30</v>
      </c>
      <c r="J1247" s="50">
        <v>19</v>
      </c>
      <c r="K1247" s="51" t="s">
        <v>718</v>
      </c>
      <c r="L1247" s="77">
        <v>16</v>
      </c>
      <c r="M1247" s="42" t="s">
        <v>744</v>
      </c>
      <c r="N1247" s="42" t="s">
        <v>3213</v>
      </c>
      <c r="O1247" s="40" t="s">
        <v>2281</v>
      </c>
      <c r="P1247" s="78" t="s">
        <v>3214</v>
      </c>
      <c r="Q1247">
        <f t="shared" si="19"/>
        <v>6.2901860000500989</v>
      </c>
    </row>
    <row r="1248" spans="2:17" x14ac:dyDescent="0.35">
      <c r="B1248" s="103" t="s">
        <v>1352</v>
      </c>
      <c r="C1248" s="11" t="s">
        <v>3215</v>
      </c>
      <c r="D1248" s="71">
        <v>6.6693652800044836</v>
      </c>
      <c r="E1248" s="69">
        <v>93.743800891425693</v>
      </c>
      <c r="F1248" s="72" t="s">
        <v>231</v>
      </c>
      <c r="G1248" s="35">
        <v>1</v>
      </c>
      <c r="H1248" s="1" t="s">
        <v>242</v>
      </c>
      <c r="I1248" s="35">
        <v>35</v>
      </c>
      <c r="J1248" s="46">
        <v>21</v>
      </c>
      <c r="K1248" s="11" t="s">
        <v>644</v>
      </c>
      <c r="L1248" s="27">
        <v>6</v>
      </c>
      <c r="M1248" s="41" t="s">
        <v>754</v>
      </c>
      <c r="N1248" s="43" t="s">
        <v>3216</v>
      </c>
      <c r="O1248" s="1" t="s">
        <v>1390</v>
      </c>
      <c r="Q1248">
        <f t="shared" si="19"/>
        <v>6.6693652800044836</v>
      </c>
    </row>
    <row r="1249" spans="1:17" x14ac:dyDescent="0.35">
      <c r="C1249" s="11" t="s">
        <v>3215</v>
      </c>
      <c r="D1249" s="71">
        <v>-6.8552520964412924</v>
      </c>
      <c r="E1249" s="94">
        <v>102.43819777628369</v>
      </c>
      <c r="F1249" s="72" t="s">
        <v>129</v>
      </c>
      <c r="G1249" s="35">
        <v>5</v>
      </c>
      <c r="H1249" s="1" t="s">
        <v>352</v>
      </c>
      <c r="I1249" s="35">
        <v>20</v>
      </c>
      <c r="J1249" s="46">
        <v>14</v>
      </c>
      <c r="K1249" s="11" t="s">
        <v>245</v>
      </c>
      <c r="L1249" s="27">
        <v>2</v>
      </c>
      <c r="M1249" s="41" t="s">
        <v>844</v>
      </c>
      <c r="N1249" s="41" t="s">
        <v>3217</v>
      </c>
      <c r="O1249" t="s">
        <v>2281</v>
      </c>
      <c r="P1249" s="70" t="s">
        <v>2943</v>
      </c>
      <c r="Q1249">
        <f t="shared" si="19"/>
        <v>6.8552520964412924</v>
      </c>
    </row>
    <row r="1250" spans="1:17" x14ac:dyDescent="0.35">
      <c r="C1250" s="11" t="s">
        <v>3215</v>
      </c>
      <c r="D1250" s="71">
        <v>3.0333016645148057</v>
      </c>
      <c r="E1250" s="69">
        <v>67.313413215669058</v>
      </c>
      <c r="F1250" s="72" t="s">
        <v>129</v>
      </c>
      <c r="G1250" s="35">
        <v>30</v>
      </c>
      <c r="H1250" s="1" t="s">
        <v>670</v>
      </c>
      <c r="I1250" s="35">
        <v>18</v>
      </c>
      <c r="J1250" s="46">
        <v>14</v>
      </c>
      <c r="K1250" s="11" t="s">
        <v>746</v>
      </c>
      <c r="L1250" s="27">
        <v>55</v>
      </c>
      <c r="M1250" s="41" t="s">
        <v>710</v>
      </c>
      <c r="N1250" s="41" t="s">
        <v>3218</v>
      </c>
      <c r="O1250" t="s">
        <v>2281</v>
      </c>
      <c r="Q1250">
        <f t="shared" si="19"/>
        <v>3.0333016645148057</v>
      </c>
    </row>
    <row r="1251" spans="1:17" x14ac:dyDescent="0.35">
      <c r="C1251" s="11" t="s">
        <v>3215</v>
      </c>
      <c r="D1251" s="71">
        <v>7.9854009240349564</v>
      </c>
      <c r="E1251" s="69">
        <v>89.241527977406093</v>
      </c>
      <c r="F1251" s="72" t="s">
        <v>231</v>
      </c>
      <c r="G1251" s="35">
        <v>4</v>
      </c>
      <c r="H1251" s="1" t="s">
        <v>468</v>
      </c>
      <c r="I1251" s="35">
        <v>20</v>
      </c>
      <c r="J1251" s="46">
        <v>10</v>
      </c>
      <c r="K1251" s="11" t="s">
        <v>718</v>
      </c>
      <c r="L1251" s="27">
        <v>16</v>
      </c>
      <c r="M1251" s="41" t="s">
        <v>842</v>
      </c>
      <c r="N1251" s="41" t="s">
        <v>3219</v>
      </c>
      <c r="O1251" t="s">
        <v>2281</v>
      </c>
      <c r="Q1251">
        <f t="shared" si="19"/>
        <v>7.9854009240349564</v>
      </c>
    </row>
    <row r="1252" spans="1:17" x14ac:dyDescent="0.35">
      <c r="A1252" s="2" t="s">
        <v>3220</v>
      </c>
      <c r="B1252" s="103" t="s">
        <v>1353</v>
      </c>
      <c r="C1252" s="11" t="s">
        <v>3221</v>
      </c>
      <c r="D1252" s="71">
        <v>2.5883355112829722</v>
      </c>
      <c r="E1252" s="69">
        <v>97.367320028460952</v>
      </c>
      <c r="F1252" s="72" t="s">
        <v>129</v>
      </c>
      <c r="G1252" s="35">
        <v>1</v>
      </c>
      <c r="H1252" s="1" t="s">
        <v>242</v>
      </c>
      <c r="I1252" s="35">
        <v>21</v>
      </c>
      <c r="J1252" s="46">
        <v>20</v>
      </c>
      <c r="K1252" s="11" t="s">
        <v>644</v>
      </c>
      <c r="L1252" s="27">
        <v>6</v>
      </c>
      <c r="M1252" s="41" t="s">
        <v>702</v>
      </c>
      <c r="N1252" s="41" t="s">
        <v>3222</v>
      </c>
      <c r="O1252" s="6" t="s">
        <v>1386</v>
      </c>
      <c r="P1252" s="81" t="s">
        <v>3223</v>
      </c>
      <c r="Q1252">
        <f t="shared" si="19"/>
        <v>2.5883355112829722</v>
      </c>
    </row>
    <row r="1253" spans="1:17" x14ac:dyDescent="0.35">
      <c r="C1253" s="11" t="s">
        <v>3221</v>
      </c>
      <c r="D1253" s="71">
        <v>-2.4415361172236731</v>
      </c>
      <c r="E1253" s="94">
        <v>99.600808932500925</v>
      </c>
      <c r="F1253" s="72" t="s">
        <v>231</v>
      </c>
      <c r="G1253" s="35">
        <v>5</v>
      </c>
      <c r="H1253" s="1" t="s">
        <v>352</v>
      </c>
      <c r="I1253" s="35">
        <v>20</v>
      </c>
      <c r="J1253" s="46">
        <v>10</v>
      </c>
      <c r="K1253" s="11" t="s">
        <v>245</v>
      </c>
      <c r="L1253" s="27">
        <v>2</v>
      </c>
      <c r="M1253" s="41" t="s">
        <v>740</v>
      </c>
      <c r="N1253" s="41" t="s">
        <v>3224</v>
      </c>
      <c r="O1253" t="s">
        <v>2281</v>
      </c>
      <c r="P1253" s="70" t="s">
        <v>3225</v>
      </c>
      <c r="Q1253">
        <f t="shared" si="19"/>
        <v>2.4415361172236731</v>
      </c>
    </row>
    <row r="1254" spans="1:17" x14ac:dyDescent="0.35">
      <c r="C1254" s="11" t="s">
        <v>3221</v>
      </c>
      <c r="D1254" s="71">
        <v>6.9194643067729338</v>
      </c>
      <c r="E1254" s="69">
        <v>64.815165802788826</v>
      </c>
      <c r="F1254" s="72" t="s">
        <v>231</v>
      </c>
      <c r="G1254" s="35">
        <v>30</v>
      </c>
      <c r="H1254" s="1" t="s">
        <v>670</v>
      </c>
      <c r="I1254" s="35">
        <v>21</v>
      </c>
      <c r="J1254" s="46">
        <v>18</v>
      </c>
      <c r="K1254" s="11" t="s">
        <v>746</v>
      </c>
      <c r="L1254" s="27">
        <v>55</v>
      </c>
      <c r="M1254" s="41" t="s">
        <v>705</v>
      </c>
      <c r="N1254" s="41" t="s">
        <v>3226</v>
      </c>
      <c r="O1254" t="s">
        <v>2281</v>
      </c>
      <c r="P1254" s="70" t="s">
        <v>3058</v>
      </c>
      <c r="Q1254">
        <f t="shared" si="19"/>
        <v>6.9194643067729338</v>
      </c>
    </row>
    <row r="1255" spans="1:17" ht="15" thickBot="1" x14ac:dyDescent="0.4">
      <c r="C1255" s="51" t="s">
        <v>3221</v>
      </c>
      <c r="D1255" s="82">
        <v>3.9894510564238308</v>
      </c>
      <c r="E1255" s="76">
        <v>91.810352892298965</v>
      </c>
      <c r="F1255" s="83" t="s">
        <v>129</v>
      </c>
      <c r="G1255" s="49">
        <v>4</v>
      </c>
      <c r="H1255" s="45" t="s">
        <v>468</v>
      </c>
      <c r="I1255" s="49">
        <v>18</v>
      </c>
      <c r="J1255" s="50">
        <v>11</v>
      </c>
      <c r="K1255" s="51" t="s">
        <v>718</v>
      </c>
      <c r="L1255" s="77">
        <v>16</v>
      </c>
      <c r="M1255" s="42" t="s">
        <v>839</v>
      </c>
      <c r="N1255" s="42" t="s">
        <v>3227</v>
      </c>
      <c r="O1255" s="40" t="s">
        <v>2281</v>
      </c>
      <c r="P1255" s="78" t="s">
        <v>3228</v>
      </c>
      <c r="Q1255">
        <f t="shared" si="19"/>
        <v>3.9894510564238308</v>
      </c>
    </row>
    <row r="1256" spans="1:17" x14ac:dyDescent="0.35">
      <c r="A1256" s="2" t="s">
        <v>3229</v>
      </c>
      <c r="B1256" s="103" t="s">
        <v>1354</v>
      </c>
      <c r="C1256" s="11" t="s">
        <v>3230</v>
      </c>
      <c r="D1256" s="71">
        <v>6.6113153956188251</v>
      </c>
      <c r="E1256" s="69">
        <v>85.469707025736199</v>
      </c>
      <c r="F1256" s="72" t="s">
        <v>129</v>
      </c>
      <c r="G1256" s="35">
        <v>3</v>
      </c>
      <c r="H1256" s="1" t="s">
        <v>466</v>
      </c>
      <c r="I1256" s="35">
        <v>31</v>
      </c>
      <c r="J1256" s="46">
        <v>22</v>
      </c>
      <c r="K1256" s="11" t="s">
        <v>650</v>
      </c>
      <c r="L1256" s="27">
        <v>28</v>
      </c>
      <c r="M1256" s="41" t="s">
        <v>1219</v>
      </c>
      <c r="N1256" s="41" t="s">
        <v>3231</v>
      </c>
      <c r="O1256" t="s">
        <v>2281</v>
      </c>
      <c r="Q1256">
        <f t="shared" si="19"/>
        <v>6.6113153956188251</v>
      </c>
    </row>
    <row r="1257" spans="1:17" x14ac:dyDescent="0.35">
      <c r="C1257" s="11" t="s">
        <v>3230</v>
      </c>
      <c r="D1257" s="71">
        <v>-0.14243231031665068</v>
      </c>
      <c r="E1257" s="69">
        <v>95.493598375350942</v>
      </c>
      <c r="F1257" s="72" t="s">
        <v>231</v>
      </c>
      <c r="G1257" s="35">
        <v>10</v>
      </c>
      <c r="H1257" s="1" t="s">
        <v>640</v>
      </c>
      <c r="I1257" s="35">
        <v>16</v>
      </c>
      <c r="J1257" s="46">
        <v>7</v>
      </c>
      <c r="K1257" s="11" t="s">
        <v>642</v>
      </c>
      <c r="L1257" s="27">
        <v>6</v>
      </c>
      <c r="M1257" s="41" t="s">
        <v>752</v>
      </c>
      <c r="N1257" s="41" t="s">
        <v>3232</v>
      </c>
      <c r="O1257" t="s">
        <v>2281</v>
      </c>
      <c r="Q1257">
        <f t="shared" si="19"/>
        <v>0.14243231031665068</v>
      </c>
    </row>
    <row r="1258" spans="1:17" x14ac:dyDescent="0.35">
      <c r="C1258" s="11" t="s">
        <v>3238</v>
      </c>
      <c r="D1258" s="71">
        <v>-3.7561800937331267</v>
      </c>
      <c r="E1258" s="69">
        <v>97.914687203114141</v>
      </c>
      <c r="F1258" s="72" t="s">
        <v>129</v>
      </c>
      <c r="G1258" s="35">
        <v>9</v>
      </c>
      <c r="H1258" s="1" t="s">
        <v>467</v>
      </c>
      <c r="I1258" s="35">
        <v>25</v>
      </c>
      <c r="J1258" s="46">
        <v>16</v>
      </c>
      <c r="K1258" s="11" t="s">
        <v>644</v>
      </c>
      <c r="L1258" s="27">
        <v>7</v>
      </c>
      <c r="M1258" s="41" t="s">
        <v>920</v>
      </c>
      <c r="N1258" s="41" t="s">
        <v>3239</v>
      </c>
      <c r="O1258" t="s">
        <v>2281</v>
      </c>
      <c r="P1258" s="70" t="s">
        <v>3240</v>
      </c>
      <c r="Q1258">
        <f t="shared" si="19"/>
        <v>3.7561800937331267</v>
      </c>
    </row>
    <row r="1259" spans="1:17" x14ac:dyDescent="0.35">
      <c r="C1259" s="11" t="s">
        <v>3238</v>
      </c>
      <c r="D1259" s="71">
        <v>-5.4026197272868064</v>
      </c>
      <c r="E1259" s="94">
        <v>100.66061268182722</v>
      </c>
      <c r="F1259" s="72" t="s">
        <v>129</v>
      </c>
      <c r="G1259" s="35">
        <v>8</v>
      </c>
      <c r="H1259" s="1" t="s">
        <v>643</v>
      </c>
      <c r="I1259" s="35">
        <v>20</v>
      </c>
      <c r="J1259" s="46">
        <v>13</v>
      </c>
      <c r="K1259" s="11" t="s">
        <v>245</v>
      </c>
      <c r="L1259" s="27">
        <v>2</v>
      </c>
      <c r="M1259" s="41" t="s">
        <v>821</v>
      </c>
      <c r="N1259" s="41" t="s">
        <v>3241</v>
      </c>
      <c r="O1259" t="s">
        <v>2281</v>
      </c>
      <c r="Q1259">
        <f t="shared" si="19"/>
        <v>5.4026197272868064</v>
      </c>
    </row>
    <row r="1260" spans="1:17" x14ac:dyDescent="0.35">
      <c r="B1260" s="103" t="s">
        <v>1355</v>
      </c>
      <c r="C1260" s="11" t="s">
        <v>3233</v>
      </c>
      <c r="D1260" s="71">
        <v>11.375690395618825</v>
      </c>
      <c r="E1260" s="69">
        <v>82.338832025736195</v>
      </c>
      <c r="F1260" s="72" t="s">
        <v>231</v>
      </c>
      <c r="G1260" s="35">
        <v>3</v>
      </c>
      <c r="H1260" s="1" t="s">
        <v>466</v>
      </c>
      <c r="I1260" s="35">
        <v>31</v>
      </c>
      <c r="J1260" s="46">
        <v>13</v>
      </c>
      <c r="K1260" s="11" t="s">
        <v>650</v>
      </c>
      <c r="L1260" s="27">
        <v>28</v>
      </c>
      <c r="M1260" s="41" t="s">
        <v>721</v>
      </c>
      <c r="N1260" s="43" t="s">
        <v>3234</v>
      </c>
      <c r="O1260" s="1" t="s">
        <v>1390</v>
      </c>
      <c r="P1260" s="70" t="s">
        <v>3235</v>
      </c>
      <c r="Q1260">
        <f>ABS(D1260)</f>
        <v>11.375690395618825</v>
      </c>
    </row>
    <row r="1261" spans="1:17" ht="15" thickBot="1" x14ac:dyDescent="0.4">
      <c r="C1261" s="51" t="s">
        <v>3233</v>
      </c>
      <c r="D1261" s="82">
        <v>-5.0511823103166513</v>
      </c>
      <c r="E1261" s="76">
        <v>98.719348375350947</v>
      </c>
      <c r="F1261" s="83" t="s">
        <v>129</v>
      </c>
      <c r="G1261" s="49">
        <v>10</v>
      </c>
      <c r="H1261" s="45" t="s">
        <v>640</v>
      </c>
      <c r="I1261" s="49">
        <v>23</v>
      </c>
      <c r="J1261" s="50">
        <v>20</v>
      </c>
      <c r="K1261" s="51" t="s">
        <v>642</v>
      </c>
      <c r="L1261" s="77">
        <v>6</v>
      </c>
      <c r="M1261" s="42" t="s">
        <v>820</v>
      </c>
      <c r="N1261" s="42" t="s">
        <v>3236</v>
      </c>
      <c r="O1261" s="40" t="s">
        <v>2281</v>
      </c>
      <c r="P1261" s="78" t="s">
        <v>3237</v>
      </c>
      <c r="Q1261">
        <f>ABS(D1261)</f>
        <v>5.0511823103166513</v>
      </c>
    </row>
    <row r="1262" spans="1:17" x14ac:dyDescent="0.35">
      <c r="C1262" s="11" t="s">
        <v>3242</v>
      </c>
      <c r="D1262" s="71">
        <v>-0.27264261223661745</v>
      </c>
      <c r="E1262" s="69">
        <v>95.675270250723543</v>
      </c>
      <c r="F1262" s="72" t="s">
        <v>129</v>
      </c>
      <c r="G1262" s="35">
        <v>7</v>
      </c>
      <c r="H1262" s="1" t="s">
        <v>644</v>
      </c>
      <c r="I1262" s="35">
        <v>28</v>
      </c>
      <c r="J1262" s="46">
        <v>20</v>
      </c>
      <c r="K1262" s="11" t="s">
        <v>467</v>
      </c>
      <c r="L1262" s="27">
        <v>9</v>
      </c>
      <c r="M1262" s="41" t="s">
        <v>991</v>
      </c>
      <c r="N1262" s="43" t="s">
        <v>3243</v>
      </c>
      <c r="O1262" s="1" t="s">
        <v>1390</v>
      </c>
      <c r="P1262" s="70" t="s">
        <v>3244</v>
      </c>
      <c r="Q1262">
        <f t="shared" si="19"/>
        <v>0.27264261223661745</v>
      </c>
    </row>
    <row r="1263" spans="1:17" ht="15" thickBot="1" x14ac:dyDescent="0.4">
      <c r="C1263" s="51" t="s">
        <v>3242</v>
      </c>
      <c r="D1263" s="82">
        <v>1.1676197272868056</v>
      </c>
      <c r="E1263" s="76">
        <v>96.436887318172765</v>
      </c>
      <c r="F1263" s="83" t="s">
        <v>129</v>
      </c>
      <c r="G1263" s="49">
        <v>2</v>
      </c>
      <c r="H1263" s="45" t="s">
        <v>245</v>
      </c>
      <c r="I1263" s="49">
        <v>21</v>
      </c>
      <c r="J1263" s="50">
        <v>19</v>
      </c>
      <c r="K1263" s="51" t="s">
        <v>643</v>
      </c>
      <c r="L1263" s="77">
        <v>8</v>
      </c>
      <c r="M1263" s="42" t="s">
        <v>705</v>
      </c>
      <c r="N1263" s="42" t="s">
        <v>3245</v>
      </c>
      <c r="O1263" s="40" t="s">
        <v>2281</v>
      </c>
      <c r="P1263" s="78" t="s">
        <v>3246</v>
      </c>
      <c r="Q1263">
        <f t="shared" si="19"/>
        <v>1.1676197272868056</v>
      </c>
    </row>
    <row r="1264" spans="1:17" x14ac:dyDescent="0.35">
      <c r="B1264" s="103" t="s">
        <v>3403</v>
      </c>
      <c r="C1264" s="11" t="s">
        <v>3247</v>
      </c>
      <c r="D1264" s="71">
        <v>15.97546744006036</v>
      </c>
      <c r="E1264" s="69">
        <v>80.087199502818336</v>
      </c>
      <c r="F1264" s="72" t="s">
        <v>231</v>
      </c>
      <c r="G1264" s="35">
        <v>1</v>
      </c>
      <c r="H1264" s="1" t="s">
        <v>242</v>
      </c>
      <c r="I1264" s="35">
        <v>29</v>
      </c>
      <c r="J1264" s="46">
        <v>16</v>
      </c>
      <c r="K1264" s="11" t="s">
        <v>670</v>
      </c>
      <c r="L1264" s="27">
        <v>29</v>
      </c>
      <c r="M1264" s="41" t="s">
        <v>769</v>
      </c>
      <c r="N1264" s="41" t="s">
        <v>3248</v>
      </c>
      <c r="O1264" t="s">
        <v>2281</v>
      </c>
      <c r="Q1264">
        <f t="shared" si="19"/>
        <v>15.97546744006036</v>
      </c>
    </row>
    <row r="1265" spans="1:17" x14ac:dyDescent="0.35">
      <c r="C1265" s="11" t="s">
        <v>3247</v>
      </c>
      <c r="D1265" s="71">
        <v>4.8309064065658331</v>
      </c>
      <c r="E1265" s="69">
        <v>94.363167310064824</v>
      </c>
      <c r="F1265" s="72" t="s">
        <v>231</v>
      </c>
      <c r="G1265" s="35">
        <v>4</v>
      </c>
      <c r="H1265" s="1" t="s">
        <v>468</v>
      </c>
      <c r="I1265" s="35">
        <v>17</v>
      </c>
      <c r="J1265" s="46">
        <v>11</v>
      </c>
      <c r="K1265" s="11" t="s">
        <v>352</v>
      </c>
      <c r="L1265" s="27">
        <v>5</v>
      </c>
      <c r="M1265" s="41" t="s">
        <v>707</v>
      </c>
      <c r="N1265" s="41" t="s">
        <v>3249</v>
      </c>
      <c r="O1265" t="s">
        <v>2281</v>
      </c>
      <c r="P1265" s="70" t="s">
        <v>2943</v>
      </c>
      <c r="Q1265">
        <f t="shared" si="19"/>
        <v>4.8309064065658331</v>
      </c>
    </row>
    <row r="1266" spans="1:17" x14ac:dyDescent="0.35">
      <c r="B1266" s="103" t="s">
        <v>3404</v>
      </c>
      <c r="C1266" s="11" t="s">
        <v>3250</v>
      </c>
      <c r="D1266" s="71">
        <v>-10.10421744006036</v>
      </c>
      <c r="E1266" s="69">
        <v>96.85271121146738</v>
      </c>
      <c r="F1266" s="72" t="s">
        <v>231</v>
      </c>
      <c r="G1266" s="35">
        <v>29</v>
      </c>
      <c r="H1266" s="1" t="s">
        <v>670</v>
      </c>
      <c r="I1266" s="35">
        <v>16</v>
      </c>
      <c r="J1266" s="46">
        <v>13</v>
      </c>
      <c r="K1266" s="11" t="s">
        <v>242</v>
      </c>
      <c r="L1266" s="27">
        <v>1</v>
      </c>
      <c r="M1266" s="41" t="s">
        <v>874</v>
      </c>
      <c r="N1266" s="41" t="s">
        <v>3251</v>
      </c>
      <c r="O1266" t="s">
        <v>2281</v>
      </c>
      <c r="P1266" s="70" t="s">
        <v>3252</v>
      </c>
      <c r="Q1266">
        <f t="shared" si="19"/>
        <v>10.10421744006036</v>
      </c>
    </row>
    <row r="1267" spans="1:17" ht="15" thickBot="1" x14ac:dyDescent="0.4">
      <c r="C1267" s="51" t="s">
        <v>3250</v>
      </c>
      <c r="D1267" s="82">
        <v>5.616031921465902E-2</v>
      </c>
      <c r="E1267" s="76">
        <v>97.432646937647718</v>
      </c>
      <c r="F1267" s="83" t="s">
        <v>231</v>
      </c>
      <c r="G1267" s="49">
        <v>5</v>
      </c>
      <c r="H1267" s="45" t="s">
        <v>352</v>
      </c>
      <c r="I1267" s="49">
        <v>15</v>
      </c>
      <c r="J1267" s="50">
        <v>9</v>
      </c>
      <c r="K1267" s="51" t="s">
        <v>468</v>
      </c>
      <c r="L1267" s="77">
        <v>4</v>
      </c>
      <c r="M1267" s="42" t="s">
        <v>821</v>
      </c>
      <c r="N1267" s="88" t="s">
        <v>3253</v>
      </c>
      <c r="O1267" s="45" t="s">
        <v>1390</v>
      </c>
      <c r="P1267" s="78" t="s">
        <v>3254</v>
      </c>
      <c r="Q1267">
        <f t="shared" si="19"/>
        <v>5.616031921465902E-2</v>
      </c>
    </row>
    <row r="1268" spans="1:17" x14ac:dyDescent="0.35">
      <c r="B1268" s="103" t="s">
        <v>3405</v>
      </c>
      <c r="C1268" s="11" t="s">
        <v>1041</v>
      </c>
      <c r="D1268" s="71">
        <v>3.9306262579669111</v>
      </c>
      <c r="E1268" s="69">
        <v>94.542017030478888</v>
      </c>
      <c r="F1268" s="72" t="s">
        <v>231</v>
      </c>
      <c r="G1268" s="35">
        <v>3</v>
      </c>
      <c r="H1268" s="1" t="s">
        <v>466</v>
      </c>
      <c r="I1268" s="35">
        <v>24</v>
      </c>
      <c r="J1268" s="46">
        <v>11</v>
      </c>
      <c r="K1268" s="11" t="s">
        <v>642</v>
      </c>
      <c r="L1268" s="27">
        <v>7</v>
      </c>
      <c r="M1268" s="41" t="s">
        <v>796</v>
      </c>
      <c r="N1268" s="43" t="s">
        <v>3255</v>
      </c>
      <c r="O1268" s="1" t="s">
        <v>1390</v>
      </c>
      <c r="Q1268">
        <f t="shared" si="19"/>
        <v>3.9306262579669111</v>
      </c>
    </row>
    <row r="1269" spans="1:17" x14ac:dyDescent="0.35">
      <c r="C1269" s="11" t="s">
        <v>1045</v>
      </c>
      <c r="D1269" s="71">
        <v>-2.6273873781230139</v>
      </c>
      <c r="E1269" s="69">
        <v>97.126568848480829</v>
      </c>
      <c r="F1269" s="72" t="s">
        <v>129</v>
      </c>
      <c r="G1269" s="35">
        <v>10</v>
      </c>
      <c r="H1269" s="1" t="s">
        <v>467</v>
      </c>
      <c r="I1269" s="35">
        <v>18</v>
      </c>
      <c r="J1269" s="46">
        <v>14</v>
      </c>
      <c r="K1269" s="11" t="s">
        <v>643</v>
      </c>
      <c r="L1269" s="27">
        <v>6</v>
      </c>
      <c r="M1269" s="41" t="s">
        <v>724</v>
      </c>
      <c r="N1269" s="41" t="s">
        <v>3256</v>
      </c>
      <c r="O1269" t="s">
        <v>2281</v>
      </c>
      <c r="P1269" s="70" t="s">
        <v>3257</v>
      </c>
      <c r="Q1269">
        <f t="shared" si="19"/>
        <v>2.6273873781230139</v>
      </c>
    </row>
    <row r="1270" spans="1:17" x14ac:dyDescent="0.35">
      <c r="C1270" s="11" t="s">
        <v>1265</v>
      </c>
      <c r="D1270" s="71">
        <v>6.874969232414073</v>
      </c>
      <c r="E1270" s="69">
        <v>92.60716307584218</v>
      </c>
      <c r="F1270" s="72" t="s">
        <v>231</v>
      </c>
      <c r="G1270" s="35">
        <v>1</v>
      </c>
      <c r="H1270" s="1" t="s">
        <v>242</v>
      </c>
      <c r="I1270" s="35">
        <v>27</v>
      </c>
      <c r="J1270" s="46">
        <v>13</v>
      </c>
      <c r="K1270" s="11" t="s">
        <v>640</v>
      </c>
      <c r="L1270" s="27">
        <v>9</v>
      </c>
      <c r="M1270" s="41" t="s">
        <v>796</v>
      </c>
      <c r="N1270" s="43" t="s">
        <v>3258</v>
      </c>
      <c r="O1270" s="1" t="s">
        <v>1390</v>
      </c>
      <c r="P1270" s="70" t="s">
        <v>3259</v>
      </c>
      <c r="Q1270">
        <f t="shared" si="19"/>
        <v>6.874969232414073</v>
      </c>
    </row>
    <row r="1271" spans="1:17" x14ac:dyDescent="0.35">
      <c r="A1271" s="2" t="s">
        <v>3260</v>
      </c>
      <c r="C1271" s="11" t="s">
        <v>1043</v>
      </c>
      <c r="D1271" s="71">
        <v>3.6072350321874196</v>
      </c>
      <c r="E1271" s="69">
        <v>94.754531264562544</v>
      </c>
      <c r="F1271" s="72" t="s">
        <v>231</v>
      </c>
      <c r="G1271" s="35">
        <v>2</v>
      </c>
      <c r="H1271" s="1" t="s">
        <v>245</v>
      </c>
      <c r="I1271" s="35">
        <v>22</v>
      </c>
      <c r="J1271" s="46">
        <v>17</v>
      </c>
      <c r="K1271" s="11" t="s">
        <v>644</v>
      </c>
      <c r="L1271" s="27">
        <v>8</v>
      </c>
      <c r="M1271" s="41" t="s">
        <v>866</v>
      </c>
      <c r="N1271" s="41" t="s">
        <v>3261</v>
      </c>
      <c r="O1271" t="s">
        <v>2281</v>
      </c>
      <c r="P1271" s="70" t="s">
        <v>3262</v>
      </c>
      <c r="Q1271">
        <f t="shared" si="19"/>
        <v>3.6072350321874196</v>
      </c>
    </row>
    <row r="1272" spans="1:17" x14ac:dyDescent="0.35">
      <c r="C1272" s="11" t="s">
        <v>3263</v>
      </c>
      <c r="D1272" s="71">
        <v>5.1525868938347195</v>
      </c>
      <c r="E1272" s="69">
        <v>91.43901432690862</v>
      </c>
      <c r="F1272" s="72" t="s">
        <v>231</v>
      </c>
      <c r="G1272" s="35">
        <v>5</v>
      </c>
      <c r="H1272" s="1" t="s">
        <v>352</v>
      </c>
      <c r="I1272" s="35">
        <v>32</v>
      </c>
      <c r="J1272" s="46">
        <v>13</v>
      </c>
      <c r="K1272" s="11" t="s">
        <v>334</v>
      </c>
      <c r="L1272" s="27">
        <v>13</v>
      </c>
      <c r="M1272" s="41" t="s">
        <v>744</v>
      </c>
      <c r="N1272" s="43" t="s">
        <v>3264</v>
      </c>
      <c r="O1272" s="1" t="s">
        <v>1390</v>
      </c>
      <c r="P1272" s="70" t="s">
        <v>3265</v>
      </c>
      <c r="Q1272">
        <f t="shared" si="19"/>
        <v>5.1525868938347195</v>
      </c>
    </row>
    <row r="1273" spans="1:17" x14ac:dyDescent="0.35">
      <c r="C1273" s="11" t="s">
        <v>1039</v>
      </c>
      <c r="D1273" s="71">
        <v>3.4554838831463623</v>
      </c>
      <c r="E1273" s="69">
        <v>89.679253448218105</v>
      </c>
      <c r="F1273" s="72" t="s">
        <v>231</v>
      </c>
      <c r="G1273" s="35">
        <v>12</v>
      </c>
      <c r="H1273" s="1" t="s">
        <v>465</v>
      </c>
      <c r="I1273" s="35">
        <v>22</v>
      </c>
      <c r="J1273" s="46">
        <v>18</v>
      </c>
      <c r="K1273" s="11" t="s">
        <v>641</v>
      </c>
      <c r="L1273" s="27">
        <v>16</v>
      </c>
      <c r="M1273" s="41" t="s">
        <v>988</v>
      </c>
      <c r="N1273" s="41" t="s">
        <v>3266</v>
      </c>
      <c r="O1273" t="s">
        <v>2281</v>
      </c>
      <c r="Q1273">
        <f t="shared" si="19"/>
        <v>3.4554838831463623</v>
      </c>
    </row>
    <row r="1274" spans="1:17" ht="15" thickBot="1" x14ac:dyDescent="0.4">
      <c r="C1274" s="51" t="s">
        <v>1262</v>
      </c>
      <c r="D1274" s="82">
        <v>3.8547689000696153</v>
      </c>
      <c r="E1274" s="76">
        <v>89.41686615138282</v>
      </c>
      <c r="F1274" s="83" t="s">
        <v>129</v>
      </c>
      <c r="G1274" s="49">
        <v>4</v>
      </c>
      <c r="H1274" s="45" t="s">
        <v>468</v>
      </c>
      <c r="I1274" s="49">
        <v>23</v>
      </c>
      <c r="J1274" s="50">
        <v>22</v>
      </c>
      <c r="K1274" s="51" t="s">
        <v>645</v>
      </c>
      <c r="L1274" s="77">
        <v>24</v>
      </c>
      <c r="M1274" s="42" t="s">
        <v>972</v>
      </c>
      <c r="N1274" s="42" t="s">
        <v>3267</v>
      </c>
      <c r="O1274" s="93" t="s">
        <v>1386</v>
      </c>
      <c r="P1274" s="78" t="s">
        <v>3268</v>
      </c>
      <c r="Q1274">
        <f t="shared" si="19"/>
        <v>3.8547689000696153</v>
      </c>
    </row>
    <row r="1275" spans="1:17" x14ac:dyDescent="0.35">
      <c r="A1275" s="2" t="s">
        <v>3269</v>
      </c>
      <c r="B1275" s="103" t="s">
        <v>3407</v>
      </c>
      <c r="C1275" s="11" t="s">
        <v>3437</v>
      </c>
      <c r="D1275" s="71">
        <v>5.2735519937164854</v>
      </c>
      <c r="E1275" s="69">
        <v>92.509522975557729</v>
      </c>
      <c r="F1275" s="72" t="s">
        <v>129</v>
      </c>
      <c r="G1275" s="35">
        <v>3</v>
      </c>
      <c r="H1275" s="1" t="s">
        <v>466</v>
      </c>
      <c r="I1275" s="35">
        <v>30</v>
      </c>
      <c r="J1275" s="46">
        <v>14</v>
      </c>
      <c r="K1275" s="11" t="s">
        <v>640</v>
      </c>
      <c r="L1275" s="27">
        <v>11</v>
      </c>
      <c r="M1275" s="41" t="s">
        <v>820</v>
      </c>
      <c r="N1275" s="41" t="s">
        <v>3270</v>
      </c>
      <c r="O1275" t="s">
        <v>2281</v>
      </c>
      <c r="Q1275">
        <f t="shared" si="19"/>
        <v>5.2735519937164854</v>
      </c>
    </row>
    <row r="1276" spans="1:17" ht="15" thickBot="1" x14ac:dyDescent="0.4">
      <c r="C1276" s="51" t="s">
        <v>3437</v>
      </c>
      <c r="D1276" s="82">
        <v>3.1197398083921581</v>
      </c>
      <c r="E1276" s="76">
        <v>94.056952980319323</v>
      </c>
      <c r="F1276" s="83" t="s">
        <v>231</v>
      </c>
      <c r="G1276" s="49">
        <v>8</v>
      </c>
      <c r="H1276" s="45" t="s">
        <v>467</v>
      </c>
      <c r="I1276" s="49">
        <v>25</v>
      </c>
      <c r="J1276" s="50">
        <v>16</v>
      </c>
      <c r="K1276" s="51" t="s">
        <v>643</v>
      </c>
      <c r="L1276" s="77">
        <v>6</v>
      </c>
      <c r="M1276" s="42" t="s">
        <v>786</v>
      </c>
      <c r="N1276" s="42" t="s">
        <v>3273</v>
      </c>
      <c r="O1276" s="40" t="s">
        <v>2281</v>
      </c>
      <c r="P1276" s="84"/>
      <c r="Q1276">
        <f t="shared" si="19"/>
        <v>3.1197398083921581</v>
      </c>
    </row>
    <row r="1277" spans="1:17" x14ac:dyDescent="0.35">
      <c r="C1277" s="11" t="s">
        <v>3437</v>
      </c>
      <c r="D1277" s="71">
        <v>2.948127628915346</v>
      </c>
      <c r="E1277" s="69">
        <v>96.417275095697278</v>
      </c>
      <c r="F1277" s="72" t="s">
        <v>129</v>
      </c>
      <c r="G1277" s="35">
        <v>1</v>
      </c>
      <c r="H1277" s="1" t="s">
        <v>242</v>
      </c>
      <c r="I1277" s="35">
        <v>19</v>
      </c>
      <c r="J1277" s="46">
        <v>16</v>
      </c>
      <c r="K1277" s="11" t="s">
        <v>468</v>
      </c>
      <c r="L1277" s="27">
        <v>5</v>
      </c>
      <c r="M1277" s="41" t="s">
        <v>898</v>
      </c>
      <c r="N1277" s="41" t="s">
        <v>3277</v>
      </c>
      <c r="O1277" t="s">
        <v>2281</v>
      </c>
      <c r="Q1277">
        <f t="shared" si="19"/>
        <v>2.948127628915346</v>
      </c>
    </row>
    <row r="1278" spans="1:17" ht="15" thickBot="1" x14ac:dyDescent="0.4">
      <c r="A1278" s="2" t="s">
        <v>3274</v>
      </c>
      <c r="B1278" s="103" t="s">
        <v>3401</v>
      </c>
      <c r="C1278" s="51" t="s">
        <v>3438</v>
      </c>
      <c r="D1278" s="82">
        <v>10.261051993716485</v>
      </c>
      <c r="E1278" s="76">
        <v>89.23202297555774</v>
      </c>
      <c r="F1278" s="83" t="s">
        <v>231</v>
      </c>
      <c r="G1278" s="49">
        <v>3</v>
      </c>
      <c r="H1278" s="45" t="s">
        <v>466</v>
      </c>
      <c r="I1278" s="49">
        <v>20</v>
      </c>
      <c r="J1278" s="50">
        <v>16</v>
      </c>
      <c r="K1278" s="51" t="s">
        <v>640</v>
      </c>
      <c r="L1278" s="77">
        <v>11</v>
      </c>
      <c r="M1278" s="42" t="s">
        <v>889</v>
      </c>
      <c r="N1278" s="42" t="s">
        <v>3271</v>
      </c>
      <c r="O1278" s="40" t="s">
        <v>2281</v>
      </c>
      <c r="P1278" s="78" t="s">
        <v>3272</v>
      </c>
      <c r="Q1278">
        <f t="shared" si="19"/>
        <v>10.261051993716485</v>
      </c>
    </row>
    <row r="1279" spans="1:17" x14ac:dyDescent="0.35">
      <c r="B1279" s="105"/>
      <c r="C1279" s="112" t="s">
        <v>3438</v>
      </c>
      <c r="D1279" s="106">
        <v>-2.3665101916078415</v>
      </c>
      <c r="E1279" s="107">
        <v>97.583827980319327</v>
      </c>
      <c r="F1279" s="108" t="s">
        <v>129</v>
      </c>
      <c r="G1279" s="109">
        <v>8</v>
      </c>
      <c r="H1279" s="110" t="s">
        <v>467</v>
      </c>
      <c r="I1279" s="109">
        <v>18</v>
      </c>
      <c r="J1279" s="111">
        <v>17</v>
      </c>
      <c r="K1279" s="112" t="s">
        <v>643</v>
      </c>
      <c r="L1279" s="113">
        <v>6</v>
      </c>
      <c r="M1279" s="41" t="s">
        <v>702</v>
      </c>
      <c r="N1279" s="41" t="s">
        <v>3275</v>
      </c>
      <c r="O1279" s="52" t="s">
        <v>2281</v>
      </c>
      <c r="P1279" s="114" t="s">
        <v>3276</v>
      </c>
      <c r="Q1279">
        <f t="shared" si="19"/>
        <v>2.3665101916078415</v>
      </c>
    </row>
    <row r="1280" spans="1:17" ht="15" thickBot="1" x14ac:dyDescent="0.4">
      <c r="C1280" s="51" t="s">
        <v>3438</v>
      </c>
      <c r="D1280" s="82">
        <v>7.9356276289153458</v>
      </c>
      <c r="E1280" s="76">
        <v>93.211025095697281</v>
      </c>
      <c r="F1280" s="83" t="s">
        <v>231</v>
      </c>
      <c r="G1280" s="49">
        <v>1</v>
      </c>
      <c r="H1280" s="45" t="s">
        <v>242</v>
      </c>
      <c r="I1280" s="49">
        <v>19</v>
      </c>
      <c r="J1280" s="50">
        <v>11</v>
      </c>
      <c r="K1280" s="51" t="s">
        <v>468</v>
      </c>
      <c r="L1280" s="77">
        <v>5</v>
      </c>
      <c r="M1280" s="42" t="s">
        <v>842</v>
      </c>
      <c r="N1280" s="42" t="s">
        <v>3278</v>
      </c>
      <c r="O1280" s="40" t="s">
        <v>2281</v>
      </c>
      <c r="P1280" s="78" t="s">
        <v>3279</v>
      </c>
      <c r="Q1280">
        <f t="shared" si="19"/>
        <v>7.9356276289153458</v>
      </c>
    </row>
    <row r="1281" spans="1:20" x14ac:dyDescent="0.35">
      <c r="A1281" s="2" t="s">
        <v>3280</v>
      </c>
      <c r="B1281" s="103" t="s">
        <v>3408</v>
      </c>
      <c r="C1281" s="37" t="s">
        <v>3281</v>
      </c>
      <c r="D1281" s="71">
        <v>-0.55486199659613167</v>
      </c>
      <c r="E1281" s="69">
        <v>94.298770397860395</v>
      </c>
      <c r="F1281" s="72" t="s">
        <v>129</v>
      </c>
      <c r="G1281" s="35">
        <v>10</v>
      </c>
      <c r="H1281" s="1" t="s">
        <v>647</v>
      </c>
      <c r="I1281" s="35">
        <v>22</v>
      </c>
      <c r="J1281" s="46">
        <v>12</v>
      </c>
      <c r="K1281" s="11" t="s">
        <v>640</v>
      </c>
      <c r="L1281" s="27">
        <v>12</v>
      </c>
      <c r="M1281" s="41" t="s">
        <v>793</v>
      </c>
      <c r="N1281" s="41" t="s">
        <v>3282</v>
      </c>
      <c r="O1281" t="s">
        <v>2281</v>
      </c>
      <c r="Q1281">
        <f t="shared" si="19"/>
        <v>0.55486199659613167</v>
      </c>
    </row>
    <row r="1282" spans="1:20" x14ac:dyDescent="0.35">
      <c r="C1282" s="37" t="s">
        <v>3283</v>
      </c>
      <c r="D1282" s="71">
        <v>1.1022559219715544</v>
      </c>
      <c r="E1282" s="69">
        <v>91.882153420475021</v>
      </c>
      <c r="F1282" s="72" t="s">
        <v>231</v>
      </c>
      <c r="G1282" s="35">
        <v>14</v>
      </c>
      <c r="H1282" s="1" t="s">
        <v>704</v>
      </c>
      <c r="I1282" s="35">
        <v>13</v>
      </c>
      <c r="J1282" s="46">
        <v>12</v>
      </c>
      <c r="K1282" s="11" t="s">
        <v>747</v>
      </c>
      <c r="L1282" s="27">
        <v>13</v>
      </c>
      <c r="M1282" t="s">
        <v>974</v>
      </c>
      <c r="N1282" t="s">
        <v>3284</v>
      </c>
      <c r="O1282" t="s">
        <v>2281</v>
      </c>
      <c r="Q1282">
        <f t="shared" si="19"/>
        <v>1.1022559219715544</v>
      </c>
    </row>
    <row r="1283" spans="1:20" x14ac:dyDescent="0.35">
      <c r="B1283" s="103" t="s">
        <v>3409</v>
      </c>
      <c r="C1283" s="37" t="s">
        <v>3285</v>
      </c>
      <c r="D1283" s="71">
        <v>3.2176686708269502</v>
      </c>
      <c r="E1283" s="69">
        <v>91.927465406908766</v>
      </c>
      <c r="F1283" s="72" t="s">
        <v>231</v>
      </c>
      <c r="G1283" s="35">
        <v>10</v>
      </c>
      <c r="H1283" s="1" t="s">
        <v>647</v>
      </c>
      <c r="I1283" s="35">
        <v>27</v>
      </c>
      <c r="J1283" s="46">
        <v>6</v>
      </c>
      <c r="K1283" s="11" t="s">
        <v>640</v>
      </c>
      <c r="L1283" s="27">
        <v>12</v>
      </c>
      <c r="M1283" t="s">
        <v>905</v>
      </c>
      <c r="N1283" s="1" t="s">
        <v>3286</v>
      </c>
      <c r="O1283" s="1" t="s">
        <v>1390</v>
      </c>
      <c r="P1283" s="70" t="s">
        <v>3287</v>
      </c>
      <c r="Q1283">
        <f t="shared" ref="Q1283:Q1333" si="20">ABS(D1283)</f>
        <v>3.2176686708269502</v>
      </c>
    </row>
    <row r="1284" spans="1:20" x14ac:dyDescent="0.35">
      <c r="C1284" s="37" t="s">
        <v>3288</v>
      </c>
      <c r="D1284" s="71">
        <v>2.0227440780284454</v>
      </c>
      <c r="E1284" s="69">
        <v>91.303560865239263</v>
      </c>
      <c r="F1284" s="72" t="s">
        <v>231</v>
      </c>
      <c r="G1284" s="35">
        <v>13</v>
      </c>
      <c r="H1284" s="1" t="s">
        <v>747</v>
      </c>
      <c r="I1284" s="35">
        <v>21</v>
      </c>
      <c r="J1284" s="46">
        <v>19</v>
      </c>
      <c r="K1284" s="11" t="s">
        <v>704</v>
      </c>
      <c r="L1284" s="27">
        <v>14</v>
      </c>
      <c r="M1284" t="s">
        <v>1000</v>
      </c>
      <c r="N1284" t="s">
        <v>3289</v>
      </c>
      <c r="O1284" t="s">
        <v>2281</v>
      </c>
      <c r="P1284" s="70" t="s">
        <v>3290</v>
      </c>
      <c r="Q1284">
        <f t="shared" si="20"/>
        <v>2.0227440780284454</v>
      </c>
    </row>
    <row r="1285" spans="1:20" x14ac:dyDescent="0.35">
      <c r="B1285" s="103" t="s">
        <v>3411</v>
      </c>
      <c r="C1285" s="91" t="s">
        <v>3291</v>
      </c>
      <c r="D1285" s="71">
        <v>-1.8756937771162225</v>
      </c>
      <c r="E1285" s="69">
        <v>94.304007517044482</v>
      </c>
      <c r="F1285" s="72" t="s">
        <v>129</v>
      </c>
      <c r="G1285" s="35">
        <v>12</v>
      </c>
      <c r="H1285" s="1" t="s">
        <v>640</v>
      </c>
      <c r="I1285" s="35">
        <v>24</v>
      </c>
      <c r="J1285" s="46">
        <v>6</v>
      </c>
      <c r="K1285" s="11" t="s">
        <v>747</v>
      </c>
      <c r="L1285" s="27">
        <v>13</v>
      </c>
      <c r="M1285" t="s">
        <v>1138</v>
      </c>
      <c r="N1285" s="1" t="s">
        <v>3292</v>
      </c>
      <c r="O1285" s="1" t="s">
        <v>1390</v>
      </c>
      <c r="Q1285">
        <f t="shared" si="20"/>
        <v>1.8756937771162225</v>
      </c>
    </row>
    <row r="1286" spans="1:20" ht="15" thickBot="1" x14ac:dyDescent="0.4">
      <c r="B1286" s="103" t="s">
        <v>3412</v>
      </c>
      <c r="C1286" s="97" t="s">
        <v>3293</v>
      </c>
      <c r="D1286" s="82">
        <v>-1.5244449783070224</v>
      </c>
      <c r="E1286" s="76">
        <v>94.083222557792993</v>
      </c>
      <c r="F1286" s="83" t="s">
        <v>129</v>
      </c>
      <c r="G1286" s="49">
        <v>13</v>
      </c>
      <c r="H1286" s="45" t="s">
        <v>747</v>
      </c>
      <c r="I1286" s="49">
        <v>24</v>
      </c>
      <c r="J1286" s="50">
        <v>12</v>
      </c>
      <c r="K1286" s="51" t="s">
        <v>640</v>
      </c>
      <c r="L1286" s="77">
        <v>12</v>
      </c>
      <c r="M1286" s="42" t="s">
        <v>934</v>
      </c>
      <c r="N1286" s="88" t="s">
        <v>3294</v>
      </c>
      <c r="O1286" s="45" t="s">
        <v>1390</v>
      </c>
      <c r="P1286" s="78" t="s">
        <v>3295</v>
      </c>
      <c r="Q1286">
        <f t="shared" si="20"/>
        <v>1.5244449783070224</v>
      </c>
    </row>
    <row r="1287" spans="1:20" x14ac:dyDescent="0.35">
      <c r="B1287" s="103" t="s">
        <v>3413</v>
      </c>
      <c r="C1287" s="37" t="s">
        <v>3296</v>
      </c>
      <c r="D1287" s="71">
        <v>-0.55780005527364396</v>
      </c>
      <c r="E1287" s="69">
        <v>95.125617177600574</v>
      </c>
      <c r="F1287" s="72" t="s">
        <v>129</v>
      </c>
      <c r="G1287" s="35">
        <v>8</v>
      </c>
      <c r="H1287" s="1" t="s">
        <v>643</v>
      </c>
      <c r="I1287" s="35">
        <v>16</v>
      </c>
      <c r="J1287" s="46">
        <v>13</v>
      </c>
      <c r="K1287" s="11" t="s">
        <v>465</v>
      </c>
      <c r="L1287" s="27">
        <v>11</v>
      </c>
      <c r="M1287" s="41" t="s">
        <v>770</v>
      </c>
      <c r="N1287" s="41" t="s">
        <v>3297</v>
      </c>
      <c r="O1287" t="s">
        <v>2281</v>
      </c>
      <c r="Q1287">
        <f t="shared" si="20"/>
        <v>0.55780005527364396</v>
      </c>
    </row>
    <row r="1288" spans="1:20" x14ac:dyDescent="0.35">
      <c r="C1288" s="37" t="s">
        <v>3296</v>
      </c>
      <c r="D1288" s="71">
        <v>2.0815433060030206</v>
      </c>
      <c r="E1288" s="69">
        <v>94.016601350512389</v>
      </c>
      <c r="F1288" s="72" t="s">
        <v>129</v>
      </c>
      <c r="G1288" s="35">
        <v>5</v>
      </c>
      <c r="H1288" s="1" t="s">
        <v>468</v>
      </c>
      <c r="I1288" s="35">
        <v>22</v>
      </c>
      <c r="J1288" s="46">
        <v>15</v>
      </c>
      <c r="K1288" s="11" t="s">
        <v>640</v>
      </c>
      <c r="L1288" s="27">
        <v>12</v>
      </c>
      <c r="M1288" s="41" t="s">
        <v>744</v>
      </c>
      <c r="N1288" s="41" t="s">
        <v>3298</v>
      </c>
      <c r="O1288" t="s">
        <v>2281</v>
      </c>
      <c r="Q1288">
        <f t="shared" si="20"/>
        <v>2.0815433060030206</v>
      </c>
    </row>
    <row r="1289" spans="1:20" x14ac:dyDescent="0.35">
      <c r="C1289" s="37" t="s">
        <v>3296</v>
      </c>
      <c r="D1289" s="71">
        <v>1.3909683733271434</v>
      </c>
      <c r="E1289" s="69">
        <v>94.725677022480085</v>
      </c>
      <c r="F1289" s="72" t="s">
        <v>231</v>
      </c>
      <c r="G1289" s="35">
        <v>10</v>
      </c>
      <c r="H1289" s="1" t="s">
        <v>647</v>
      </c>
      <c r="I1289" s="35">
        <v>15</v>
      </c>
      <c r="J1289" s="46">
        <v>13</v>
      </c>
      <c r="K1289" s="11" t="s">
        <v>467</v>
      </c>
      <c r="L1289" s="27">
        <v>6</v>
      </c>
      <c r="M1289" s="41" t="s">
        <v>878</v>
      </c>
      <c r="N1289" s="41" t="s">
        <v>3299</v>
      </c>
      <c r="O1289" t="s">
        <v>2281</v>
      </c>
      <c r="Q1289">
        <f t="shared" si="20"/>
        <v>1.3909683733271434</v>
      </c>
    </row>
    <row r="1290" spans="1:20" x14ac:dyDescent="0.35">
      <c r="C1290" s="37" t="s">
        <v>3296</v>
      </c>
      <c r="D1290" s="71">
        <v>-1.1812856428112584</v>
      </c>
      <c r="E1290" s="69">
        <v>96.342522404052787</v>
      </c>
      <c r="F1290" s="72" t="s">
        <v>129</v>
      </c>
      <c r="G1290" s="35">
        <v>7</v>
      </c>
      <c r="H1290" s="1" t="s">
        <v>644</v>
      </c>
      <c r="I1290" s="35">
        <v>22</v>
      </c>
      <c r="J1290" s="46">
        <v>21</v>
      </c>
      <c r="K1290" s="11" t="s">
        <v>642</v>
      </c>
      <c r="L1290" s="27">
        <v>9</v>
      </c>
      <c r="M1290" s="41" t="s">
        <v>952</v>
      </c>
      <c r="N1290" s="41" t="s">
        <v>3300</v>
      </c>
      <c r="O1290" t="s">
        <v>2281</v>
      </c>
      <c r="Q1290">
        <f t="shared" si="20"/>
        <v>1.1812856428112584</v>
      </c>
    </row>
    <row r="1291" spans="1:20" x14ac:dyDescent="0.35">
      <c r="B1291" s="103" t="s">
        <v>3414</v>
      </c>
      <c r="C1291" s="37" t="s">
        <v>3301</v>
      </c>
      <c r="D1291" s="71">
        <v>2.8796999447263563</v>
      </c>
      <c r="E1291" s="69">
        <v>92.964902891886297</v>
      </c>
      <c r="F1291" s="72" t="s">
        <v>231</v>
      </c>
      <c r="G1291" s="35">
        <v>8</v>
      </c>
      <c r="H1291" s="1" t="s">
        <v>643</v>
      </c>
      <c r="I1291" s="35">
        <v>21</v>
      </c>
      <c r="J1291" s="46">
        <v>15</v>
      </c>
      <c r="K1291" s="11" t="s">
        <v>465</v>
      </c>
      <c r="L1291" s="27">
        <v>11</v>
      </c>
      <c r="M1291" s="41" t="s">
        <v>831</v>
      </c>
      <c r="N1291" s="41" t="s">
        <v>3302</v>
      </c>
      <c r="O1291" t="s">
        <v>2281</v>
      </c>
      <c r="P1291" s="70" t="s">
        <v>3303</v>
      </c>
      <c r="Q1291">
        <f t="shared" si="20"/>
        <v>2.8796999447263563</v>
      </c>
      <c r="S1291" s="11"/>
      <c r="T1291" s="11"/>
    </row>
    <row r="1292" spans="1:20" x14ac:dyDescent="0.35">
      <c r="C1292" s="37" t="s">
        <v>3301</v>
      </c>
      <c r="D1292" s="71">
        <v>6.2690433060030202</v>
      </c>
      <c r="E1292" s="69">
        <v>91.384458493369522</v>
      </c>
      <c r="F1292" s="72" t="s">
        <v>231</v>
      </c>
      <c r="G1292" s="35">
        <v>5</v>
      </c>
      <c r="H1292" s="1" t="s">
        <v>468</v>
      </c>
      <c r="I1292" s="35">
        <v>27</v>
      </c>
      <c r="J1292" s="46">
        <v>9</v>
      </c>
      <c r="K1292" s="11" t="s">
        <v>640</v>
      </c>
      <c r="L1292" s="27">
        <v>12</v>
      </c>
      <c r="M1292" s="41" t="s">
        <v>724</v>
      </c>
      <c r="N1292" s="43" t="s">
        <v>3304</v>
      </c>
      <c r="O1292" s="1" t="s">
        <v>1390</v>
      </c>
      <c r="P1292" s="70" t="s">
        <v>3305</v>
      </c>
      <c r="Q1292">
        <f t="shared" si="20"/>
        <v>6.2690433060030202</v>
      </c>
      <c r="S1292" s="11"/>
      <c r="T1292" s="11"/>
    </row>
    <row r="1293" spans="1:20" x14ac:dyDescent="0.35">
      <c r="C1293" s="37" t="s">
        <v>3301</v>
      </c>
      <c r="D1293" s="71">
        <v>2.1957608770446031</v>
      </c>
      <c r="E1293" s="69">
        <v>94.219807448714818</v>
      </c>
      <c r="F1293" s="72" t="s">
        <v>231</v>
      </c>
      <c r="G1293" s="35">
        <v>6</v>
      </c>
      <c r="H1293" s="1" t="s">
        <v>467</v>
      </c>
      <c r="I1293" s="35">
        <v>15</v>
      </c>
      <c r="J1293" s="46">
        <v>10</v>
      </c>
      <c r="K1293" s="11" t="s">
        <v>647</v>
      </c>
      <c r="L1293" s="27">
        <v>10</v>
      </c>
      <c r="M1293" s="41" t="s">
        <v>714</v>
      </c>
      <c r="N1293" s="41" t="s">
        <v>3306</v>
      </c>
      <c r="O1293" t="s">
        <v>2281</v>
      </c>
      <c r="P1293" s="70" t="s">
        <v>3307</v>
      </c>
      <c r="Q1293">
        <f t="shared" si="20"/>
        <v>2.1957608770446031</v>
      </c>
      <c r="S1293" s="11"/>
      <c r="T1293" s="11"/>
    </row>
    <row r="1294" spans="1:20" ht="15" thickBot="1" x14ac:dyDescent="0.4">
      <c r="C1294" s="75" t="s">
        <v>3301</v>
      </c>
      <c r="D1294" s="82">
        <v>-2.2214921349665193</v>
      </c>
      <c r="E1294" s="76">
        <v>96.996366484836088</v>
      </c>
      <c r="F1294" s="83" t="s">
        <v>129</v>
      </c>
      <c r="G1294" s="49">
        <v>9</v>
      </c>
      <c r="H1294" s="45" t="s">
        <v>642</v>
      </c>
      <c r="I1294" s="49">
        <v>18</v>
      </c>
      <c r="J1294" s="50">
        <v>13</v>
      </c>
      <c r="K1294" s="51" t="s">
        <v>644</v>
      </c>
      <c r="L1294" s="77">
        <v>7</v>
      </c>
      <c r="M1294" s="42" t="s">
        <v>775</v>
      </c>
      <c r="N1294" s="42" t="s">
        <v>3308</v>
      </c>
      <c r="O1294" s="40" t="s">
        <v>2281</v>
      </c>
      <c r="P1294" s="78" t="s">
        <v>3309</v>
      </c>
      <c r="Q1294">
        <f t="shared" si="20"/>
        <v>2.2214921349665193</v>
      </c>
      <c r="S1294" s="11"/>
    </row>
    <row r="1295" spans="1:20" x14ac:dyDescent="0.35">
      <c r="A1295" s="2" t="s">
        <v>3310</v>
      </c>
      <c r="B1295" s="103" t="s">
        <v>3415</v>
      </c>
      <c r="C1295" s="37" t="s">
        <v>3311</v>
      </c>
      <c r="D1295" s="71">
        <v>4.6742332884518429</v>
      </c>
      <c r="E1295" s="69">
        <v>94.861910504401706</v>
      </c>
      <c r="F1295" s="72" t="s">
        <v>129</v>
      </c>
      <c r="G1295" s="35">
        <v>1</v>
      </c>
      <c r="H1295" s="1" t="s">
        <v>242</v>
      </c>
      <c r="I1295" s="35">
        <v>25</v>
      </c>
      <c r="J1295" s="46">
        <v>12</v>
      </c>
      <c r="K1295" s="11" t="s">
        <v>643</v>
      </c>
      <c r="L1295" s="27">
        <v>7</v>
      </c>
      <c r="M1295" s="41" t="s">
        <v>702</v>
      </c>
      <c r="N1295" s="43" t="s">
        <v>3312</v>
      </c>
      <c r="O1295" s="1" t="s">
        <v>1390</v>
      </c>
      <c r="Q1295">
        <f t="shared" si="20"/>
        <v>4.6742332884518429</v>
      </c>
      <c r="S1295" s="11"/>
      <c r="T1295" s="11"/>
    </row>
    <row r="1296" spans="1:20" x14ac:dyDescent="0.35">
      <c r="C1296" s="37" t="s">
        <v>3311</v>
      </c>
      <c r="D1296" s="71">
        <v>1.3376543322130372</v>
      </c>
      <c r="E1296" s="69">
        <v>96.684188705466084</v>
      </c>
      <c r="F1296" s="72" t="s">
        <v>231</v>
      </c>
      <c r="G1296" s="35">
        <v>5</v>
      </c>
      <c r="H1296" s="1" t="s">
        <v>468</v>
      </c>
      <c r="I1296" s="35">
        <v>19</v>
      </c>
      <c r="J1296" s="46">
        <v>11</v>
      </c>
      <c r="K1296" s="11" t="s">
        <v>352</v>
      </c>
      <c r="L1296" s="27">
        <v>4</v>
      </c>
      <c r="M1296" s="41" t="s">
        <v>724</v>
      </c>
      <c r="N1296" s="41" t="s">
        <v>3313</v>
      </c>
      <c r="O1296" t="s">
        <v>2281</v>
      </c>
      <c r="Q1296">
        <f t="shared" si="20"/>
        <v>1.3376543322130372</v>
      </c>
      <c r="S1296" s="11"/>
      <c r="T1296" s="11"/>
    </row>
    <row r="1297" spans="1:20" x14ac:dyDescent="0.35">
      <c r="C1297" s="37" t="s">
        <v>3311</v>
      </c>
      <c r="D1297" s="71">
        <v>1.5088131575139907</v>
      </c>
      <c r="E1297" s="69">
        <v>96.576603158134063</v>
      </c>
      <c r="F1297" s="72" t="s">
        <v>129</v>
      </c>
      <c r="G1297" s="35">
        <v>3</v>
      </c>
      <c r="H1297" s="1" t="s">
        <v>245</v>
      </c>
      <c r="I1297" s="35">
        <v>10</v>
      </c>
      <c r="J1297" s="46">
        <v>7</v>
      </c>
      <c r="K1297" s="11" t="s">
        <v>467</v>
      </c>
      <c r="L1297" s="27">
        <v>6</v>
      </c>
      <c r="M1297" s="41" t="s">
        <v>3314</v>
      </c>
      <c r="N1297" s="41" t="s">
        <v>3315</v>
      </c>
      <c r="O1297" t="s">
        <v>2281</v>
      </c>
      <c r="Q1297">
        <f t="shared" si="20"/>
        <v>1.5088131575139907</v>
      </c>
      <c r="S1297" s="11"/>
      <c r="T1297" s="11"/>
    </row>
    <row r="1298" spans="1:20" x14ac:dyDescent="0.35">
      <c r="C1298" s="37" t="s">
        <v>3311</v>
      </c>
      <c r="D1298" s="71">
        <v>2.568864989645832</v>
      </c>
      <c r="E1298" s="69">
        <v>95.360284863651188</v>
      </c>
      <c r="F1298" s="72" t="s">
        <v>129</v>
      </c>
      <c r="G1298" s="35">
        <v>2</v>
      </c>
      <c r="H1298" s="1" t="s">
        <v>466</v>
      </c>
      <c r="I1298" s="35">
        <v>20</v>
      </c>
      <c r="J1298" s="46">
        <v>13</v>
      </c>
      <c r="K1298" s="11" t="s">
        <v>642</v>
      </c>
      <c r="L1298" s="27">
        <v>9</v>
      </c>
      <c r="M1298" s="41" t="s">
        <v>705</v>
      </c>
      <c r="N1298" s="41" t="s">
        <v>3316</v>
      </c>
      <c r="O1298" t="s">
        <v>2281</v>
      </c>
      <c r="Q1298">
        <f t="shared" si="20"/>
        <v>2.568864989645832</v>
      </c>
      <c r="S1298" s="11"/>
      <c r="T1298" s="11"/>
    </row>
    <row r="1299" spans="1:20" x14ac:dyDescent="0.35">
      <c r="B1299" s="103" t="s">
        <v>3416</v>
      </c>
      <c r="C1299" s="37" t="s">
        <v>3317</v>
      </c>
      <c r="D1299" s="71">
        <v>8.936733288451844</v>
      </c>
      <c r="E1299" s="69">
        <v>92.18262479011598</v>
      </c>
      <c r="F1299" s="72" t="s">
        <v>231</v>
      </c>
      <c r="G1299" s="35">
        <v>1</v>
      </c>
      <c r="H1299" s="1" t="s">
        <v>242</v>
      </c>
      <c r="I1299" s="35">
        <v>41</v>
      </c>
      <c r="J1299" s="46">
        <v>8</v>
      </c>
      <c r="K1299" s="11" t="s">
        <v>643</v>
      </c>
      <c r="L1299" s="27">
        <v>7</v>
      </c>
      <c r="M1299" s="41" t="s">
        <v>1237</v>
      </c>
      <c r="N1299" s="43" t="s">
        <v>3318</v>
      </c>
      <c r="O1299" s="1" t="s">
        <v>1390</v>
      </c>
      <c r="P1299" s="70" t="s">
        <v>3319</v>
      </c>
      <c r="Q1299">
        <f t="shared" si="20"/>
        <v>8.936733288451844</v>
      </c>
      <c r="S1299" s="11"/>
      <c r="T1299" s="11"/>
    </row>
    <row r="1300" spans="1:20" x14ac:dyDescent="0.35">
      <c r="C1300" s="37" t="s">
        <v>3317</v>
      </c>
      <c r="D1300" s="71">
        <v>2.9025891495173992</v>
      </c>
      <c r="E1300" s="69">
        <v>95.700515391731926</v>
      </c>
      <c r="F1300" s="72" t="s">
        <v>231</v>
      </c>
      <c r="G1300" s="35">
        <v>4</v>
      </c>
      <c r="H1300" s="1" t="s">
        <v>352</v>
      </c>
      <c r="I1300" s="35">
        <v>18</v>
      </c>
      <c r="J1300" s="46">
        <v>15</v>
      </c>
      <c r="K1300" s="11" t="s">
        <v>468</v>
      </c>
      <c r="L1300" s="27">
        <v>5</v>
      </c>
      <c r="M1300" s="41" t="s">
        <v>705</v>
      </c>
      <c r="N1300" s="41" t="s">
        <v>3320</v>
      </c>
      <c r="O1300" t="s">
        <v>2281</v>
      </c>
      <c r="P1300" s="70" t="s">
        <v>3321</v>
      </c>
      <c r="Q1300">
        <f t="shared" si="20"/>
        <v>2.9025891495173992</v>
      </c>
      <c r="S1300" s="11"/>
      <c r="T1300" s="11"/>
    </row>
    <row r="1301" spans="1:20" x14ac:dyDescent="0.35">
      <c r="C1301" s="37" t="s">
        <v>3317</v>
      </c>
      <c r="D1301" s="71">
        <v>5.7713131575139904</v>
      </c>
      <c r="E1301" s="69">
        <v>93.897317443848351</v>
      </c>
      <c r="F1301" s="72" t="s">
        <v>231</v>
      </c>
      <c r="G1301" s="35">
        <v>3</v>
      </c>
      <c r="H1301" s="1" t="s">
        <v>245</v>
      </c>
      <c r="I1301" s="35">
        <v>23</v>
      </c>
      <c r="J1301" s="46">
        <v>8</v>
      </c>
      <c r="K1301" s="11" t="s">
        <v>467</v>
      </c>
      <c r="L1301" s="27">
        <v>6</v>
      </c>
      <c r="M1301" s="41" t="s">
        <v>789</v>
      </c>
      <c r="N1301" s="43" t="s">
        <v>3322</v>
      </c>
      <c r="O1301" s="1" t="s">
        <v>1390</v>
      </c>
      <c r="P1301" s="70" t="s">
        <v>3323</v>
      </c>
      <c r="Q1301">
        <f t="shared" si="20"/>
        <v>5.7713131575139904</v>
      </c>
      <c r="S1301" s="11"/>
      <c r="T1301" s="11"/>
    </row>
    <row r="1302" spans="1:20" ht="15" thickBot="1" x14ac:dyDescent="0.4">
      <c r="C1302" s="75" t="s">
        <v>3317</v>
      </c>
      <c r="D1302" s="82">
        <v>-7.106364989645833</v>
      </c>
      <c r="E1302" s="98">
        <v>101.44185799349165</v>
      </c>
      <c r="F1302" s="83" t="s">
        <v>129</v>
      </c>
      <c r="G1302" s="49">
        <v>9</v>
      </c>
      <c r="H1302" s="45" t="s">
        <v>642</v>
      </c>
      <c r="I1302" s="49">
        <v>19</v>
      </c>
      <c r="J1302" s="50">
        <v>13</v>
      </c>
      <c r="K1302" s="51" t="s">
        <v>466</v>
      </c>
      <c r="L1302" s="77">
        <v>2</v>
      </c>
      <c r="M1302" s="42" t="s">
        <v>775</v>
      </c>
      <c r="N1302" s="42" t="s">
        <v>3324</v>
      </c>
      <c r="O1302" s="40" t="s">
        <v>2281</v>
      </c>
      <c r="P1302" s="78" t="s">
        <v>3325</v>
      </c>
      <c r="Q1302">
        <f t="shared" si="20"/>
        <v>7.106364989645833</v>
      </c>
      <c r="S1302" s="11"/>
      <c r="T1302" s="11"/>
    </row>
    <row r="1303" spans="1:20" x14ac:dyDescent="0.35">
      <c r="B1303" s="103" t="s">
        <v>3417</v>
      </c>
      <c r="C1303" s="91" t="s">
        <v>3326</v>
      </c>
      <c r="D1303" s="71">
        <v>4.5657599741867561</v>
      </c>
      <c r="E1303" s="69">
        <v>93.005093730511177</v>
      </c>
      <c r="F1303" s="72" t="s">
        <v>231</v>
      </c>
      <c r="G1303" s="35">
        <v>5</v>
      </c>
      <c r="H1303" s="1" t="s">
        <v>352</v>
      </c>
      <c r="I1303" s="35">
        <v>26</v>
      </c>
      <c r="J1303" s="46">
        <v>15</v>
      </c>
      <c r="K1303" s="11" t="s">
        <v>647</v>
      </c>
      <c r="L1303" s="27">
        <v>10</v>
      </c>
      <c r="M1303" s="41" t="s">
        <v>781</v>
      </c>
      <c r="N1303" s="41" t="s">
        <v>3327</v>
      </c>
      <c r="O1303" t="s">
        <v>2281</v>
      </c>
      <c r="Q1303">
        <f t="shared" si="20"/>
        <v>4.5657599741867561</v>
      </c>
      <c r="S1303" s="11"/>
      <c r="T1303" s="11"/>
    </row>
    <row r="1304" spans="1:20" x14ac:dyDescent="0.35">
      <c r="C1304" s="91" t="s">
        <v>3326</v>
      </c>
      <c r="D1304" s="71">
        <v>1.2147397648431846</v>
      </c>
      <c r="E1304" s="69">
        <v>95.111449290670009</v>
      </c>
      <c r="F1304" s="72" t="s">
        <v>231</v>
      </c>
      <c r="G1304" s="35">
        <v>9</v>
      </c>
      <c r="H1304" s="1" t="s">
        <v>643</v>
      </c>
      <c r="I1304" s="35">
        <v>26</v>
      </c>
      <c r="J1304" s="46">
        <v>6</v>
      </c>
      <c r="K1304" s="11" t="s">
        <v>644</v>
      </c>
      <c r="L1304" s="27">
        <v>6</v>
      </c>
      <c r="M1304" s="41" t="s">
        <v>935</v>
      </c>
      <c r="N1304" s="43" t="s">
        <v>3328</v>
      </c>
      <c r="O1304" s="1" t="s">
        <v>1390</v>
      </c>
      <c r="Q1304">
        <f t="shared" si="20"/>
        <v>1.2147397648431846</v>
      </c>
      <c r="S1304" s="11"/>
      <c r="T1304" s="11"/>
    </row>
    <row r="1305" spans="1:20" x14ac:dyDescent="0.35">
      <c r="C1305" s="91" t="s">
        <v>3326</v>
      </c>
      <c r="D1305" s="71">
        <v>3.3009200791379825</v>
      </c>
      <c r="E1305" s="69">
        <v>92.700135950256126</v>
      </c>
      <c r="F1305" s="72" t="s">
        <v>231</v>
      </c>
      <c r="G1305" s="35">
        <v>8</v>
      </c>
      <c r="H1305" s="1" t="s">
        <v>642</v>
      </c>
      <c r="I1305" s="35">
        <v>20</v>
      </c>
      <c r="J1305" s="46">
        <v>17</v>
      </c>
      <c r="K1305" s="11" t="s">
        <v>465</v>
      </c>
      <c r="L1305" s="27">
        <v>11</v>
      </c>
      <c r="M1305" s="41" t="s">
        <v>866</v>
      </c>
      <c r="N1305" s="41" t="s">
        <v>3329</v>
      </c>
      <c r="O1305" t="s">
        <v>2281</v>
      </c>
      <c r="Q1305">
        <f t="shared" si="20"/>
        <v>3.3009200791379825</v>
      </c>
      <c r="S1305" s="11"/>
      <c r="T1305" s="11"/>
    </row>
    <row r="1306" spans="1:20" x14ac:dyDescent="0.35">
      <c r="C1306" s="91" t="s">
        <v>3326</v>
      </c>
      <c r="D1306" s="71">
        <v>3.7136629168151525</v>
      </c>
      <c r="E1306" s="69">
        <v>92.440697595144755</v>
      </c>
      <c r="F1306" s="72" t="s">
        <v>231</v>
      </c>
      <c r="G1306" s="35">
        <v>7</v>
      </c>
      <c r="H1306" s="1" t="s">
        <v>467</v>
      </c>
      <c r="I1306" s="35">
        <v>23</v>
      </c>
      <c r="J1306" s="46">
        <v>22</v>
      </c>
      <c r="K1306" s="11" t="s">
        <v>640</v>
      </c>
      <c r="L1306" s="27">
        <v>12</v>
      </c>
      <c r="M1306" s="41" t="s">
        <v>988</v>
      </c>
      <c r="N1306" s="41" t="s">
        <v>3330</v>
      </c>
      <c r="O1306" t="s">
        <v>2281</v>
      </c>
      <c r="Q1306">
        <f t="shared" si="20"/>
        <v>3.7136629168151525</v>
      </c>
      <c r="S1306" s="11"/>
      <c r="T1306" s="11"/>
    </row>
    <row r="1307" spans="1:20" x14ac:dyDescent="0.35">
      <c r="B1307" s="103" t="s">
        <v>3418</v>
      </c>
      <c r="C1307" s="91" t="s">
        <v>3331</v>
      </c>
      <c r="D1307" s="99">
        <v>0.13138497418675507</v>
      </c>
      <c r="E1307" s="100">
        <v>95.792415159082609</v>
      </c>
      <c r="F1307" s="72" t="s">
        <v>129</v>
      </c>
      <c r="G1307" s="35">
        <v>5</v>
      </c>
      <c r="H1307" s="68" t="s">
        <v>352</v>
      </c>
      <c r="I1307" s="35">
        <v>16</v>
      </c>
      <c r="J1307" s="46">
        <v>12</v>
      </c>
      <c r="K1307" s="11" t="s">
        <v>647</v>
      </c>
      <c r="L1307" s="46">
        <v>10</v>
      </c>
      <c r="M1307" s="70" t="s">
        <v>773</v>
      </c>
      <c r="N1307" s="70" t="s">
        <v>3332</v>
      </c>
      <c r="O1307" s="70" t="s">
        <v>2281</v>
      </c>
      <c r="P1307" s="70" t="s">
        <v>3333</v>
      </c>
      <c r="Q1307">
        <f t="shared" si="20"/>
        <v>0.13138497418675507</v>
      </c>
      <c r="S1307" s="11"/>
      <c r="T1307" s="11"/>
    </row>
    <row r="1308" spans="1:20" x14ac:dyDescent="0.35">
      <c r="C1308" s="91" t="s">
        <v>3331</v>
      </c>
      <c r="D1308" s="71">
        <v>3.0991830158742739</v>
      </c>
      <c r="E1308" s="69">
        <v>93.926942104307599</v>
      </c>
      <c r="F1308" s="72" t="s">
        <v>231</v>
      </c>
      <c r="G1308" s="35">
        <v>6</v>
      </c>
      <c r="H1308" s="1" t="s">
        <v>644</v>
      </c>
      <c r="I1308" s="35">
        <v>21</v>
      </c>
      <c r="J1308" s="46">
        <v>17</v>
      </c>
      <c r="K1308" s="11" t="s">
        <v>643</v>
      </c>
      <c r="L1308" s="27">
        <v>9</v>
      </c>
      <c r="M1308" s="41" t="s">
        <v>866</v>
      </c>
      <c r="N1308" s="41" t="s">
        <v>3334</v>
      </c>
      <c r="O1308" t="s">
        <v>2281</v>
      </c>
      <c r="P1308" s="70" t="s">
        <v>3335</v>
      </c>
      <c r="Q1308">
        <f t="shared" si="20"/>
        <v>3.0991830158742739</v>
      </c>
      <c r="S1308" s="11"/>
      <c r="T1308" s="11"/>
    </row>
    <row r="1309" spans="1:20" x14ac:dyDescent="0.35">
      <c r="C1309" s="91" t="s">
        <v>3331</v>
      </c>
      <c r="D1309" s="71">
        <v>0.17887081196702229</v>
      </c>
      <c r="E1309" s="69">
        <v>94.662566918192155</v>
      </c>
      <c r="F1309" s="72" t="s">
        <v>231</v>
      </c>
      <c r="G1309" s="35">
        <v>11</v>
      </c>
      <c r="H1309" s="1" t="s">
        <v>465</v>
      </c>
      <c r="I1309" s="35">
        <v>12</v>
      </c>
      <c r="J1309" s="46">
        <v>9</v>
      </c>
      <c r="K1309" s="11" t="s">
        <v>642</v>
      </c>
      <c r="L1309" s="27">
        <v>8</v>
      </c>
      <c r="M1309" s="41" t="s">
        <v>770</v>
      </c>
      <c r="N1309" s="41" t="s">
        <v>3336</v>
      </c>
      <c r="O1309" t="s">
        <v>2281</v>
      </c>
      <c r="P1309" s="70" t="s">
        <v>3337</v>
      </c>
      <c r="Q1309">
        <f t="shared" si="20"/>
        <v>0.17887081196702229</v>
      </c>
      <c r="S1309" s="11"/>
      <c r="T1309" s="11"/>
    </row>
    <row r="1310" spans="1:20" ht="15" thickBot="1" x14ac:dyDescent="0.4">
      <c r="C1310" s="97" t="s">
        <v>3331</v>
      </c>
      <c r="D1310" s="82">
        <v>-0.41366291681515205</v>
      </c>
      <c r="E1310" s="76">
        <v>95.035016690569535</v>
      </c>
      <c r="F1310" s="83" t="s">
        <v>231</v>
      </c>
      <c r="G1310" s="49">
        <v>12</v>
      </c>
      <c r="H1310" s="45" t="s">
        <v>640</v>
      </c>
      <c r="I1310" s="49">
        <v>22</v>
      </c>
      <c r="J1310" s="50">
        <v>5</v>
      </c>
      <c r="K1310" s="51" t="s">
        <v>467</v>
      </c>
      <c r="L1310" s="77">
        <v>7</v>
      </c>
      <c r="M1310" s="42" t="s">
        <v>1138</v>
      </c>
      <c r="N1310" s="88" t="s">
        <v>3338</v>
      </c>
      <c r="O1310" s="45" t="s">
        <v>1390</v>
      </c>
      <c r="P1310" s="78" t="s">
        <v>3339</v>
      </c>
      <c r="Q1310">
        <f t="shared" si="20"/>
        <v>0.41366291681515205</v>
      </c>
      <c r="S1310" s="11"/>
      <c r="T1310" s="11"/>
    </row>
    <row r="1311" spans="1:20" x14ac:dyDescent="0.35">
      <c r="A1311" s="2" t="s">
        <v>3340</v>
      </c>
      <c r="B1311" s="103" t="s">
        <v>3400</v>
      </c>
      <c r="C1311" s="91" t="s">
        <v>3341</v>
      </c>
      <c r="D1311" s="71">
        <v>-0.30492702793175402</v>
      </c>
      <c r="E1311" s="69">
        <v>97.441668417557111</v>
      </c>
      <c r="F1311" s="72" t="s">
        <v>231</v>
      </c>
      <c r="G1311" s="35">
        <v>6</v>
      </c>
      <c r="H1311" s="1" t="s">
        <v>643</v>
      </c>
      <c r="I1311" s="35">
        <v>17</v>
      </c>
      <c r="J1311" s="46">
        <v>10</v>
      </c>
      <c r="K1311" s="11" t="s">
        <v>352</v>
      </c>
      <c r="L1311" s="27">
        <v>4</v>
      </c>
      <c r="M1311" s="41" t="s">
        <v>740</v>
      </c>
      <c r="N1311" s="41" t="s">
        <v>3342</v>
      </c>
      <c r="O1311" t="s">
        <v>2281</v>
      </c>
      <c r="Q1311">
        <f t="shared" si="20"/>
        <v>0.30492702793175402</v>
      </c>
      <c r="S1311" s="11"/>
      <c r="T1311" s="11"/>
    </row>
    <row r="1312" spans="1:20" x14ac:dyDescent="0.35">
      <c r="C1312" s="91" t="s">
        <v>3341</v>
      </c>
      <c r="D1312" s="71">
        <v>1.7584975646456837</v>
      </c>
      <c r="E1312" s="69">
        <v>92.56965867365129</v>
      </c>
      <c r="F1312" s="72" t="s">
        <v>231</v>
      </c>
      <c r="G1312" s="35">
        <v>11</v>
      </c>
      <c r="H1312" s="1" t="s">
        <v>640</v>
      </c>
      <c r="I1312" s="35">
        <v>16</v>
      </c>
      <c r="J1312" s="46">
        <v>10</v>
      </c>
      <c r="K1312" s="11" t="s">
        <v>465</v>
      </c>
      <c r="L1312" s="27">
        <v>12</v>
      </c>
      <c r="M1312" s="41" t="s">
        <v>721</v>
      </c>
      <c r="N1312" s="41" t="s">
        <v>3343</v>
      </c>
      <c r="O1312" t="s">
        <v>2281</v>
      </c>
      <c r="Q1312">
        <f t="shared" si="20"/>
        <v>1.7584975646456837</v>
      </c>
      <c r="S1312" s="11"/>
      <c r="T1312" s="11"/>
    </row>
    <row r="1313" spans="1:20" x14ac:dyDescent="0.35">
      <c r="B1313" s="103" t="s">
        <v>3420</v>
      </c>
      <c r="C1313" s="37" t="s">
        <v>3349</v>
      </c>
      <c r="D1313" s="71">
        <v>-2.5025471365490297</v>
      </c>
      <c r="E1313" s="94">
        <v>99.923029628687971</v>
      </c>
      <c r="F1313" s="72" t="s">
        <v>231</v>
      </c>
      <c r="G1313" s="35">
        <v>5</v>
      </c>
      <c r="H1313" s="1" t="s">
        <v>468</v>
      </c>
      <c r="I1313" s="35">
        <v>15</v>
      </c>
      <c r="J1313" s="46">
        <v>12</v>
      </c>
      <c r="K1313" s="11" t="s">
        <v>242</v>
      </c>
      <c r="L1313" s="27">
        <v>1</v>
      </c>
      <c r="M1313" s="41" t="s">
        <v>796</v>
      </c>
      <c r="N1313" s="41" t="s">
        <v>3350</v>
      </c>
      <c r="O1313" t="s">
        <v>2281</v>
      </c>
      <c r="Q1313">
        <f>ABS(D1313)</f>
        <v>2.5025471365490297</v>
      </c>
    </row>
    <row r="1314" spans="1:20" x14ac:dyDescent="0.35">
      <c r="C1314" s="37" t="s">
        <v>3349</v>
      </c>
      <c r="D1314" s="71">
        <v>1.9284976955377857</v>
      </c>
      <c r="E1314" s="69">
        <v>98.412801448519104</v>
      </c>
      <c r="F1314" s="72" t="s">
        <v>231</v>
      </c>
      <c r="G1314" s="35">
        <v>2</v>
      </c>
      <c r="H1314" s="1" t="s">
        <v>245</v>
      </c>
      <c r="I1314" s="35">
        <v>23</v>
      </c>
      <c r="J1314" s="46">
        <v>20</v>
      </c>
      <c r="K1314" s="11" t="s">
        <v>466</v>
      </c>
      <c r="L1314" s="27">
        <v>3</v>
      </c>
      <c r="M1314" s="41" t="s">
        <v>915</v>
      </c>
      <c r="N1314" s="41" t="s">
        <v>3351</v>
      </c>
      <c r="O1314" t="s">
        <v>2281</v>
      </c>
      <c r="P1314" s="70" t="s">
        <v>3352</v>
      </c>
      <c r="Q1314">
        <f>ABS(D1314)</f>
        <v>1.9284976955377857</v>
      </c>
    </row>
    <row r="1315" spans="1:20" x14ac:dyDescent="0.35">
      <c r="B1315" s="103" t="s">
        <v>3419</v>
      </c>
      <c r="C1315" s="91" t="s">
        <v>3344</v>
      </c>
      <c r="D1315" s="71">
        <v>-5.0715936945984206</v>
      </c>
      <c r="E1315" s="94">
        <v>100.43785889374759</v>
      </c>
      <c r="F1315" s="72" t="s">
        <v>129</v>
      </c>
      <c r="G1315" s="35">
        <v>6</v>
      </c>
      <c r="H1315" s="1" t="s">
        <v>643</v>
      </c>
      <c r="I1315" s="35">
        <v>25</v>
      </c>
      <c r="J1315" s="46">
        <v>18</v>
      </c>
      <c r="K1315" s="11" t="s">
        <v>352</v>
      </c>
      <c r="L1315" s="27">
        <v>4</v>
      </c>
      <c r="M1315" s="41" t="s">
        <v>790</v>
      </c>
      <c r="N1315" s="41" t="s">
        <v>3345</v>
      </c>
      <c r="O1315" t="s">
        <v>2281</v>
      </c>
      <c r="P1315" s="70" t="s">
        <v>3346</v>
      </c>
      <c r="Q1315">
        <f>ABS(D1315)</f>
        <v>5.0715936945984206</v>
      </c>
      <c r="S1315" s="11"/>
      <c r="T1315" s="11"/>
    </row>
    <row r="1316" spans="1:20" ht="15" thickBot="1" x14ac:dyDescent="0.4">
      <c r="C1316" s="97" t="s">
        <v>3344</v>
      </c>
      <c r="D1316" s="82">
        <v>1.981502435354316</v>
      </c>
      <c r="E1316" s="76">
        <v>92.429484183491567</v>
      </c>
      <c r="F1316" s="83" t="s">
        <v>231</v>
      </c>
      <c r="G1316" s="49">
        <v>12</v>
      </c>
      <c r="H1316" s="45" t="s">
        <v>465</v>
      </c>
      <c r="I1316" s="49">
        <v>29</v>
      </c>
      <c r="J1316" s="50">
        <v>17</v>
      </c>
      <c r="K1316" s="51" t="s">
        <v>640</v>
      </c>
      <c r="L1316" s="77">
        <v>11</v>
      </c>
      <c r="M1316" s="42" t="s">
        <v>818</v>
      </c>
      <c r="N1316" s="88" t="s">
        <v>3347</v>
      </c>
      <c r="O1316" s="45" t="s">
        <v>1390</v>
      </c>
      <c r="P1316" s="78" t="s">
        <v>3348</v>
      </c>
      <c r="Q1316">
        <f>ABS(D1316)</f>
        <v>1.981502435354316</v>
      </c>
      <c r="S1316" s="11"/>
      <c r="T1316" s="11"/>
    </row>
    <row r="1317" spans="1:20" x14ac:dyDescent="0.35">
      <c r="B1317" s="103" t="s">
        <v>3420</v>
      </c>
      <c r="C1317" s="37" t="s">
        <v>3353</v>
      </c>
      <c r="D1317" s="71">
        <v>-7.2275471365490294</v>
      </c>
      <c r="E1317" s="94">
        <v>102.89302962868796</v>
      </c>
      <c r="F1317" s="72" t="s">
        <v>129</v>
      </c>
      <c r="G1317" s="35">
        <v>5</v>
      </c>
      <c r="H1317" s="1" t="s">
        <v>468</v>
      </c>
      <c r="I1317" s="35">
        <v>22</v>
      </c>
      <c r="J1317" s="46">
        <v>18</v>
      </c>
      <c r="K1317" s="11" t="s">
        <v>242</v>
      </c>
      <c r="L1317" s="27">
        <v>1</v>
      </c>
      <c r="M1317" s="41" t="s">
        <v>793</v>
      </c>
      <c r="N1317" s="41" t="s">
        <v>3354</v>
      </c>
      <c r="O1317" t="s">
        <v>2281</v>
      </c>
      <c r="P1317" s="70" t="s">
        <v>3355</v>
      </c>
      <c r="Q1317">
        <f t="shared" si="20"/>
        <v>7.2275471365490294</v>
      </c>
    </row>
    <row r="1318" spans="1:20" ht="15" thickBot="1" x14ac:dyDescent="0.4">
      <c r="C1318" s="75" t="s">
        <v>3353</v>
      </c>
      <c r="D1318" s="82">
        <v>2.4749398044622142</v>
      </c>
      <c r="E1318" s="76">
        <v>97.069323551480892</v>
      </c>
      <c r="F1318" s="83" t="s">
        <v>231</v>
      </c>
      <c r="G1318" s="49">
        <v>3</v>
      </c>
      <c r="H1318" s="45" t="s">
        <v>466</v>
      </c>
      <c r="I1318" s="49">
        <v>23</v>
      </c>
      <c r="J1318" s="50">
        <v>6</v>
      </c>
      <c r="K1318" s="51" t="s">
        <v>245</v>
      </c>
      <c r="L1318" s="77">
        <v>2</v>
      </c>
      <c r="M1318" s="42" t="s">
        <v>836</v>
      </c>
      <c r="N1318" s="88" t="s">
        <v>3356</v>
      </c>
      <c r="O1318" s="45" t="s">
        <v>1390</v>
      </c>
      <c r="P1318" s="78" t="s">
        <v>3357</v>
      </c>
      <c r="Q1318">
        <f t="shared" si="20"/>
        <v>2.4749398044622142</v>
      </c>
    </row>
    <row r="1319" spans="1:20" x14ac:dyDescent="0.35">
      <c r="B1319" s="103" t="s">
        <v>3399</v>
      </c>
      <c r="C1319" s="91" t="s">
        <v>3358</v>
      </c>
      <c r="D1319" s="71">
        <v>2.0654064225349638</v>
      </c>
      <c r="E1319" s="69">
        <v>96.226744534406592</v>
      </c>
      <c r="F1319" s="72" t="s">
        <v>129</v>
      </c>
      <c r="G1319" s="35">
        <v>3</v>
      </c>
      <c r="H1319" s="1" t="s">
        <v>245</v>
      </c>
      <c r="I1319" s="35">
        <v>20</v>
      </c>
      <c r="J1319" s="46">
        <v>14</v>
      </c>
      <c r="K1319" s="11" t="s">
        <v>643</v>
      </c>
      <c r="L1319" s="27">
        <v>6</v>
      </c>
      <c r="M1319" s="41" t="s">
        <v>781</v>
      </c>
      <c r="N1319" s="41" t="s">
        <v>3359</v>
      </c>
      <c r="O1319" t="s">
        <v>2281</v>
      </c>
      <c r="Q1319">
        <f t="shared" si="20"/>
        <v>2.0654064225349638</v>
      </c>
      <c r="S1319" s="11"/>
      <c r="T1319" s="11"/>
    </row>
    <row r="1320" spans="1:20" x14ac:dyDescent="0.35">
      <c r="C1320" s="91" t="s">
        <v>3358</v>
      </c>
      <c r="D1320" s="71">
        <v>7.203279129268223</v>
      </c>
      <c r="E1320" s="69">
        <v>92.172224547317114</v>
      </c>
      <c r="F1320" s="72" t="s">
        <v>129</v>
      </c>
      <c r="G1320" s="35">
        <v>1</v>
      </c>
      <c r="H1320" s="1" t="s">
        <v>242</v>
      </c>
      <c r="I1320" s="35">
        <v>26</v>
      </c>
      <c r="J1320" s="46">
        <v>13</v>
      </c>
      <c r="K1320" s="11" t="s">
        <v>465</v>
      </c>
      <c r="L1320" s="27">
        <v>11</v>
      </c>
      <c r="M1320" s="41" t="s">
        <v>710</v>
      </c>
      <c r="N1320" s="43" t="s">
        <v>3360</v>
      </c>
      <c r="O1320" s="1" t="s">
        <v>1390</v>
      </c>
      <c r="Q1320">
        <f t="shared" si="20"/>
        <v>7.203279129268223</v>
      </c>
      <c r="S1320" s="11"/>
      <c r="T1320" s="11"/>
    </row>
    <row r="1321" spans="1:20" x14ac:dyDescent="0.35">
      <c r="B1321" s="103" t="s">
        <v>3421</v>
      </c>
      <c r="C1321" s="91" t="s">
        <v>3361</v>
      </c>
      <c r="D1321" s="71">
        <v>-7.0252790054168912</v>
      </c>
      <c r="E1321" s="94">
        <v>101.94088966054775</v>
      </c>
      <c r="F1321" s="72" t="s">
        <v>129</v>
      </c>
      <c r="G1321" s="35">
        <v>6</v>
      </c>
      <c r="H1321" s="1" t="s">
        <v>643</v>
      </c>
      <c r="I1321" s="35">
        <v>19</v>
      </c>
      <c r="J1321" s="46">
        <v>15</v>
      </c>
      <c r="K1321" s="11" t="s">
        <v>245</v>
      </c>
      <c r="L1321" s="27">
        <v>3</v>
      </c>
      <c r="M1321" s="41" t="s">
        <v>870</v>
      </c>
      <c r="N1321" s="41" t="s">
        <v>3362</v>
      </c>
      <c r="O1321" t="s">
        <v>2281</v>
      </c>
      <c r="P1321" s="70" t="s">
        <v>3363</v>
      </c>
      <c r="Q1321">
        <f t="shared" si="20"/>
        <v>7.0252790054168912</v>
      </c>
      <c r="S1321" s="11"/>
      <c r="T1321" s="11"/>
    </row>
    <row r="1322" spans="1:20" ht="15" thickBot="1" x14ac:dyDescent="0.4">
      <c r="C1322" s="97" t="s">
        <v>3361</v>
      </c>
      <c r="D1322" s="82">
        <v>-12.558279129268222</v>
      </c>
      <c r="E1322" s="98">
        <v>104.59377545268289</v>
      </c>
      <c r="F1322" s="83" t="s">
        <v>129</v>
      </c>
      <c r="G1322" s="49">
        <v>11</v>
      </c>
      <c r="H1322" s="45" t="s">
        <v>465</v>
      </c>
      <c r="I1322" s="49">
        <v>26</v>
      </c>
      <c r="J1322" s="50">
        <v>24</v>
      </c>
      <c r="K1322" s="51" t="s">
        <v>242</v>
      </c>
      <c r="L1322" s="77">
        <v>1</v>
      </c>
      <c r="M1322" s="42" t="s">
        <v>823</v>
      </c>
      <c r="N1322" s="42" t="s">
        <v>3364</v>
      </c>
      <c r="O1322" s="40" t="s">
        <v>2281</v>
      </c>
      <c r="P1322" s="78" t="s">
        <v>3365</v>
      </c>
      <c r="Q1322">
        <f t="shared" si="20"/>
        <v>12.558279129268222</v>
      </c>
      <c r="S1322" s="11"/>
      <c r="T1322" s="11"/>
    </row>
    <row r="1323" spans="1:20" x14ac:dyDescent="0.35">
      <c r="A1323" s="2" t="s">
        <v>3366</v>
      </c>
      <c r="B1323" s="103" t="s">
        <v>3422</v>
      </c>
      <c r="C1323" s="91" t="s">
        <v>3367</v>
      </c>
      <c r="D1323" s="71">
        <v>-5.1636653756131379</v>
      </c>
      <c r="E1323" s="94">
        <v>102.14573252181398</v>
      </c>
      <c r="F1323" s="72" t="s">
        <v>129</v>
      </c>
      <c r="G1323" s="35">
        <v>3</v>
      </c>
      <c r="H1323" s="1" t="s">
        <v>245</v>
      </c>
      <c r="I1323" s="35">
        <v>24</v>
      </c>
      <c r="J1323" s="46">
        <v>8</v>
      </c>
      <c r="K1323" s="11" t="s">
        <v>242</v>
      </c>
      <c r="L1323" s="27">
        <v>1</v>
      </c>
      <c r="M1323" s="41" t="s">
        <v>2301</v>
      </c>
      <c r="N1323" s="43" t="s">
        <v>3368</v>
      </c>
      <c r="O1323" s="1" t="s">
        <v>1390</v>
      </c>
      <c r="P1323" s="81" t="s">
        <v>3369</v>
      </c>
      <c r="Q1323">
        <f t="shared" si="20"/>
        <v>5.1636653756131379</v>
      </c>
    </row>
    <row r="1324" spans="1:20" x14ac:dyDescent="0.35">
      <c r="B1324" s="103" t="s">
        <v>3420</v>
      </c>
      <c r="C1324" s="37" t="s">
        <v>3373</v>
      </c>
      <c r="D1324" s="71">
        <v>-4.7408253761864119</v>
      </c>
      <c r="E1324" s="94">
        <v>101.32994737931718</v>
      </c>
      <c r="F1324" s="72" t="s">
        <v>129</v>
      </c>
      <c r="G1324" s="35">
        <v>4</v>
      </c>
      <c r="H1324" s="1" t="s">
        <v>468</v>
      </c>
      <c r="I1324" s="35">
        <v>17</v>
      </c>
      <c r="J1324" s="46">
        <v>14</v>
      </c>
      <c r="K1324" s="11" t="s">
        <v>466</v>
      </c>
      <c r="L1324" s="27">
        <v>2</v>
      </c>
      <c r="M1324" s="41" t="s">
        <v>874</v>
      </c>
      <c r="N1324" s="41" t="s">
        <v>3374</v>
      </c>
      <c r="O1324" t="s">
        <v>2281</v>
      </c>
      <c r="Q1324">
        <f>ABS(D1324)</f>
        <v>4.7408253761864119</v>
      </c>
      <c r="S1324" s="11"/>
      <c r="T1324" s="11"/>
    </row>
    <row r="1325" spans="1:20" ht="15" thickBot="1" x14ac:dyDescent="0.4">
      <c r="B1325" s="103" t="s">
        <v>3424</v>
      </c>
      <c r="C1325" s="97" t="s">
        <v>3370</v>
      </c>
      <c r="D1325" s="82">
        <v>-0.40366537561313881</v>
      </c>
      <c r="E1325" s="76">
        <v>99.153732521813978</v>
      </c>
      <c r="F1325" s="83" t="s">
        <v>231</v>
      </c>
      <c r="G1325" s="49">
        <v>3</v>
      </c>
      <c r="H1325" s="45" t="s">
        <v>245</v>
      </c>
      <c r="I1325" s="49">
        <v>27</v>
      </c>
      <c r="J1325" s="50">
        <v>25</v>
      </c>
      <c r="K1325" s="51" t="s">
        <v>242</v>
      </c>
      <c r="L1325" s="77">
        <v>1</v>
      </c>
      <c r="M1325" s="42" t="s">
        <v>966</v>
      </c>
      <c r="N1325" s="42" t="s">
        <v>3371</v>
      </c>
      <c r="O1325" s="40" t="s">
        <v>2281</v>
      </c>
      <c r="P1325" s="78" t="s">
        <v>3372</v>
      </c>
      <c r="Q1325">
        <f t="shared" si="20"/>
        <v>0.40366537561313881</v>
      </c>
    </row>
    <row r="1326" spans="1:20" ht="15" thickBot="1" x14ac:dyDescent="0.4">
      <c r="B1326" s="103" t="s">
        <v>3420</v>
      </c>
      <c r="C1326" s="75" t="s">
        <v>3375</v>
      </c>
      <c r="D1326" s="82">
        <v>0.78667462381358866</v>
      </c>
      <c r="E1326" s="76">
        <v>98.8555188078886</v>
      </c>
      <c r="F1326" s="83" t="s">
        <v>231</v>
      </c>
      <c r="G1326" s="49">
        <v>4</v>
      </c>
      <c r="H1326" s="45" t="s">
        <v>468</v>
      </c>
      <c r="I1326" s="49">
        <v>19</v>
      </c>
      <c r="J1326" s="50">
        <v>18</v>
      </c>
      <c r="K1326" s="51" t="s">
        <v>466</v>
      </c>
      <c r="L1326" s="77">
        <v>2</v>
      </c>
      <c r="M1326" s="42" t="s">
        <v>831</v>
      </c>
      <c r="N1326" s="42" t="s">
        <v>3376</v>
      </c>
      <c r="O1326" s="40" t="s">
        <v>2281</v>
      </c>
      <c r="P1326" s="78" t="s">
        <v>3377</v>
      </c>
      <c r="Q1326">
        <f t="shared" si="20"/>
        <v>0.78667462381358866</v>
      </c>
      <c r="S1326" s="11"/>
      <c r="T1326" s="11"/>
    </row>
    <row r="1327" spans="1:20" x14ac:dyDescent="0.35">
      <c r="B1327" s="103" t="s">
        <v>3425</v>
      </c>
      <c r="C1327" s="91" t="s">
        <v>3378</v>
      </c>
      <c r="D1327" s="71">
        <v>2.3264199228200466</v>
      </c>
      <c r="E1327" s="69">
        <v>97.16267890565598</v>
      </c>
      <c r="F1327" s="72" t="s">
        <v>231</v>
      </c>
      <c r="G1327" s="35">
        <v>2</v>
      </c>
      <c r="H1327" s="1" t="s">
        <v>245</v>
      </c>
      <c r="I1327" s="35">
        <v>14</v>
      </c>
      <c r="J1327" s="46">
        <v>13</v>
      </c>
      <c r="K1327" s="11" t="s">
        <v>466</v>
      </c>
      <c r="L1327" s="27">
        <v>3</v>
      </c>
      <c r="M1327" s="41" t="s">
        <v>839</v>
      </c>
      <c r="N1327" s="41" t="s">
        <v>3379</v>
      </c>
      <c r="O1327" t="s">
        <v>2281</v>
      </c>
      <c r="Q1327">
        <f t="shared" si="20"/>
        <v>2.3264199228200466</v>
      </c>
    </row>
    <row r="1328" spans="1:20" ht="15" thickBot="1" x14ac:dyDescent="0.4">
      <c r="B1328" s="103" t="s">
        <v>3426</v>
      </c>
      <c r="C1328" s="97" t="s">
        <v>3380</v>
      </c>
      <c r="D1328" s="82">
        <v>2.6948482765390342</v>
      </c>
      <c r="E1328" s="76">
        <v>96.931095369032604</v>
      </c>
      <c r="F1328" s="83" t="s">
        <v>231</v>
      </c>
      <c r="G1328" s="49">
        <v>3</v>
      </c>
      <c r="H1328" s="45" t="s">
        <v>466</v>
      </c>
      <c r="I1328" s="49">
        <v>16</v>
      </c>
      <c r="J1328" s="50">
        <v>15</v>
      </c>
      <c r="K1328" s="51" t="s">
        <v>245</v>
      </c>
      <c r="L1328" s="77">
        <v>2</v>
      </c>
      <c r="M1328" s="42" t="s">
        <v>705</v>
      </c>
      <c r="N1328" s="42" t="s">
        <v>3381</v>
      </c>
      <c r="O1328" s="40" t="s">
        <v>2281</v>
      </c>
      <c r="P1328" s="78" t="s">
        <v>3382</v>
      </c>
      <c r="Q1328">
        <f t="shared" si="20"/>
        <v>2.6948482765390342</v>
      </c>
    </row>
    <row r="1329" spans="2:17" x14ac:dyDescent="0.35">
      <c r="B1329" s="103" t="s">
        <v>3423</v>
      </c>
      <c r="C1329" s="37" t="s">
        <v>3383</v>
      </c>
      <c r="D1329" s="71">
        <v>4.2251222157599662</v>
      </c>
      <c r="E1329" s="69">
        <v>95.419208892950877</v>
      </c>
      <c r="F1329" s="72" t="s">
        <v>231</v>
      </c>
      <c r="G1329" s="35">
        <v>3</v>
      </c>
      <c r="H1329" s="1" t="s">
        <v>466</v>
      </c>
      <c r="I1329" s="35">
        <v>23</v>
      </c>
      <c r="J1329" s="46">
        <v>18</v>
      </c>
      <c r="K1329" s="11" t="s">
        <v>468</v>
      </c>
      <c r="L1329" s="27">
        <v>4</v>
      </c>
      <c r="M1329" s="41" t="s">
        <v>910</v>
      </c>
      <c r="N1329" s="41" t="s">
        <v>3384</v>
      </c>
      <c r="O1329" t="s">
        <v>2281</v>
      </c>
      <c r="P1329" s="81" t="s">
        <v>3385</v>
      </c>
      <c r="Q1329">
        <f t="shared" si="20"/>
        <v>4.2251222157599662</v>
      </c>
    </row>
    <row r="1330" spans="2:17" ht="15" thickBot="1" x14ac:dyDescent="0.4">
      <c r="B1330" s="103" t="s">
        <v>3428</v>
      </c>
      <c r="C1330" s="75" t="s">
        <v>3386</v>
      </c>
      <c r="D1330" s="82">
        <v>-1.539086736293374</v>
      </c>
      <c r="E1330" s="76">
        <v>99.042425948527267</v>
      </c>
      <c r="F1330" s="83" t="s">
        <v>129</v>
      </c>
      <c r="G1330" s="49">
        <v>3</v>
      </c>
      <c r="H1330" s="45" t="s">
        <v>466</v>
      </c>
      <c r="I1330" s="49">
        <v>19</v>
      </c>
      <c r="J1330" s="50">
        <v>16</v>
      </c>
      <c r="K1330" s="51" t="s">
        <v>468</v>
      </c>
      <c r="L1330" s="77">
        <v>4</v>
      </c>
      <c r="M1330" s="42" t="s">
        <v>705</v>
      </c>
      <c r="N1330" s="42" t="s">
        <v>3387</v>
      </c>
      <c r="O1330" s="40" t="s">
        <v>2281</v>
      </c>
      <c r="P1330" s="84" t="s">
        <v>3388</v>
      </c>
      <c r="Q1330">
        <f t="shared" si="20"/>
        <v>1.539086736293374</v>
      </c>
    </row>
    <row r="1331" spans="2:17" x14ac:dyDescent="0.35">
      <c r="B1331" s="103" t="s">
        <v>3429</v>
      </c>
      <c r="C1331" s="37" t="s">
        <v>3389</v>
      </c>
      <c r="D1331" s="71">
        <v>1.0088627039273728</v>
      </c>
      <c r="E1331" s="69">
        <v>97.440857728959941</v>
      </c>
      <c r="F1331" s="72" t="s">
        <v>231</v>
      </c>
      <c r="G1331" s="35">
        <v>4</v>
      </c>
      <c r="H1331" s="1" t="s">
        <v>468</v>
      </c>
      <c r="I1331" s="35">
        <v>19</v>
      </c>
      <c r="J1331" s="46">
        <v>8</v>
      </c>
      <c r="K1331" s="11" t="s">
        <v>466</v>
      </c>
      <c r="L1331" s="27">
        <v>3</v>
      </c>
      <c r="M1331" s="41" t="s">
        <v>775</v>
      </c>
      <c r="N1331" s="43" t="s">
        <v>3390</v>
      </c>
      <c r="O1331" s="1" t="s">
        <v>1390</v>
      </c>
      <c r="P1331" s="81" t="s">
        <v>3391</v>
      </c>
      <c r="Q1331">
        <f t="shared" si="20"/>
        <v>1.0088627039273728</v>
      </c>
    </row>
    <row r="1332" spans="2:17" x14ac:dyDescent="0.35">
      <c r="B1332" s="103" t="s">
        <v>3402</v>
      </c>
      <c r="C1332" s="37" t="s">
        <v>3392</v>
      </c>
      <c r="D1332" s="71">
        <v>5.0239497960726274</v>
      </c>
      <c r="E1332" s="69">
        <v>94.917088699611483</v>
      </c>
      <c r="F1332" s="72" t="s">
        <v>231</v>
      </c>
      <c r="G1332" s="35">
        <v>3</v>
      </c>
      <c r="H1332" s="1" t="s">
        <v>466</v>
      </c>
      <c r="I1332" s="35">
        <v>30</v>
      </c>
      <c r="J1332" s="46">
        <v>17</v>
      </c>
      <c r="K1332" s="11" t="s">
        <v>468</v>
      </c>
      <c r="L1332" s="27">
        <v>4</v>
      </c>
      <c r="M1332" s="41" t="s">
        <v>907</v>
      </c>
      <c r="N1332" s="43" t="s">
        <v>3393</v>
      </c>
      <c r="O1332" s="1" t="s">
        <v>1390</v>
      </c>
      <c r="P1332" s="81" t="s">
        <v>3394</v>
      </c>
      <c r="Q1332">
        <f t="shared" si="20"/>
        <v>5.0239497960726274</v>
      </c>
    </row>
    <row r="1333" spans="2:17" ht="15" thickBot="1" x14ac:dyDescent="0.4">
      <c r="B1333" s="103" t="s">
        <v>3410</v>
      </c>
      <c r="C1333" s="75" t="s">
        <v>3395</v>
      </c>
      <c r="D1333" s="82">
        <v>4.8889657204188417</v>
      </c>
      <c r="E1333" s="76">
        <v>95.001935832879582</v>
      </c>
      <c r="F1333" s="83" t="s">
        <v>231</v>
      </c>
      <c r="G1333" s="49">
        <v>3</v>
      </c>
      <c r="H1333" s="45" t="s">
        <v>466</v>
      </c>
      <c r="I1333" s="49">
        <v>17</v>
      </c>
      <c r="J1333" s="50">
        <v>15</v>
      </c>
      <c r="K1333" s="51" t="s">
        <v>468</v>
      </c>
      <c r="L1333" s="77">
        <v>4</v>
      </c>
      <c r="M1333" s="42" t="s">
        <v>898</v>
      </c>
      <c r="N1333" s="42" t="s">
        <v>3396</v>
      </c>
      <c r="O1333" s="40" t="s">
        <v>2281</v>
      </c>
      <c r="P1333" s="78" t="s">
        <v>3397</v>
      </c>
      <c r="Q1333">
        <f t="shared" si="20"/>
        <v>4.8889657204188417</v>
      </c>
    </row>
    <row r="1334" spans="2:17" x14ac:dyDescent="0.35">
      <c r="P1334" s="101" t="s">
        <v>3398</v>
      </c>
    </row>
    <row r="1358" spans="13:14" x14ac:dyDescent="0.35">
      <c r="M1358" s="41"/>
      <c r="N1358" s="41"/>
    </row>
    <row r="1359" spans="13:14" x14ac:dyDescent="0.35">
      <c r="M1359" s="41"/>
      <c r="N1359" s="41"/>
    </row>
    <row r="1360" spans="13:14" x14ac:dyDescent="0.35">
      <c r="M1360" s="41"/>
      <c r="N1360" s="41"/>
    </row>
    <row r="1361" spans="13:14" x14ac:dyDescent="0.35">
      <c r="M1361" s="41"/>
      <c r="N1361" s="41"/>
    </row>
    <row r="1362" spans="13:14" x14ac:dyDescent="0.35">
      <c r="M1362" s="41"/>
      <c r="N1362" s="41"/>
    </row>
    <row r="1363" spans="13:14" x14ac:dyDescent="0.35">
      <c r="M1363" s="41"/>
      <c r="N1363" s="41"/>
    </row>
    <row r="1364" spans="13:14" x14ac:dyDescent="0.35">
      <c r="M1364" s="41"/>
      <c r="N1364" s="41"/>
    </row>
    <row r="1365" spans="13:14" x14ac:dyDescent="0.35">
      <c r="M1365" s="41"/>
      <c r="N1365" s="41"/>
    </row>
    <row r="1366" spans="13:14" x14ac:dyDescent="0.35">
      <c r="M1366" s="41"/>
      <c r="N1366" s="41"/>
    </row>
    <row r="1367" spans="13:14" x14ac:dyDescent="0.35">
      <c r="M1367" s="41"/>
      <c r="N1367" s="41"/>
    </row>
    <row r="1368" spans="13:14" x14ac:dyDescent="0.35">
      <c r="M1368" s="41"/>
      <c r="N1368" s="41"/>
    </row>
    <row r="1369" spans="13:14" x14ac:dyDescent="0.35">
      <c r="M1369" s="41"/>
      <c r="N1369" s="41"/>
    </row>
    <row r="1370" spans="13:14" x14ac:dyDescent="0.35">
      <c r="M1370" s="41"/>
      <c r="N1370" s="41"/>
    </row>
    <row r="1371" spans="13:14" x14ac:dyDescent="0.35">
      <c r="M1371" s="41"/>
      <c r="N1371" s="41"/>
    </row>
    <row r="1372" spans="13:14" x14ac:dyDescent="0.35">
      <c r="M1372" s="41"/>
      <c r="N1372" s="41"/>
    </row>
    <row r="1373" spans="13:14" x14ac:dyDescent="0.35">
      <c r="M1373" s="41"/>
      <c r="N1373" s="41"/>
    </row>
    <row r="1374" spans="13:14" x14ac:dyDescent="0.35">
      <c r="M1374" s="41"/>
      <c r="N1374" s="41"/>
    </row>
    <row r="1375" spans="13:14" x14ac:dyDescent="0.35">
      <c r="M1375" s="41"/>
      <c r="N1375" s="41"/>
    </row>
    <row r="1376" spans="13:14" x14ac:dyDescent="0.35">
      <c r="M1376" s="41"/>
      <c r="N1376" s="41"/>
    </row>
    <row r="1377" spans="13:14" x14ac:dyDescent="0.35">
      <c r="M1377" s="41"/>
      <c r="N1377" s="41"/>
    </row>
    <row r="1378" spans="13:14" x14ac:dyDescent="0.35">
      <c r="M1378" s="41"/>
      <c r="N1378" s="41"/>
    </row>
    <row r="1379" spans="13:14" x14ac:dyDescent="0.35">
      <c r="M1379" s="41"/>
      <c r="N1379" s="41"/>
    </row>
    <row r="1380" spans="13:14" x14ac:dyDescent="0.35">
      <c r="M1380" s="41"/>
      <c r="N1380" s="41"/>
    </row>
    <row r="1381" spans="13:14" x14ac:dyDescent="0.35">
      <c r="M1381" s="41"/>
      <c r="N1381" s="41"/>
    </row>
    <row r="1382" spans="13:14" x14ac:dyDescent="0.35">
      <c r="M1382" s="41"/>
      <c r="N1382" s="41"/>
    </row>
    <row r="1383" spans="13:14" x14ac:dyDescent="0.35">
      <c r="M1383" s="41"/>
      <c r="N1383" s="41"/>
    </row>
    <row r="1384" spans="13:14" x14ac:dyDescent="0.35">
      <c r="M1384" s="41"/>
      <c r="N1384" s="41"/>
    </row>
    <row r="1385" spans="13:14" x14ac:dyDescent="0.35">
      <c r="M1385" s="41"/>
      <c r="N1385" s="41"/>
    </row>
    <row r="1386" spans="13:14" x14ac:dyDescent="0.35">
      <c r="M1386" s="41"/>
      <c r="N1386" s="41"/>
    </row>
    <row r="1387" spans="13:14" x14ac:dyDescent="0.35">
      <c r="M1387" s="41"/>
      <c r="N1387" s="41"/>
    </row>
    <row r="1388" spans="13:14" x14ac:dyDescent="0.35">
      <c r="M1388" s="41"/>
      <c r="N1388" s="41"/>
    </row>
    <row r="1389" spans="13:14" x14ac:dyDescent="0.35">
      <c r="M1389" s="41"/>
      <c r="N1389" s="41"/>
    </row>
    <row r="1390" spans="13:14" x14ac:dyDescent="0.35">
      <c r="M1390" s="41"/>
      <c r="N1390" s="41"/>
    </row>
    <row r="1391" spans="13:14" x14ac:dyDescent="0.35">
      <c r="M1391" s="41"/>
      <c r="N1391" s="41"/>
    </row>
    <row r="1392" spans="13:14" x14ac:dyDescent="0.35">
      <c r="M1392" s="41"/>
      <c r="N1392" s="41"/>
    </row>
    <row r="1393" spans="13:14" x14ac:dyDescent="0.35">
      <c r="M1393" s="41"/>
      <c r="N1393" s="41"/>
    </row>
    <row r="1394" spans="13:14" x14ac:dyDescent="0.35">
      <c r="M1394" s="41"/>
      <c r="N1394" s="41"/>
    </row>
    <row r="1395" spans="13:14" x14ac:dyDescent="0.35">
      <c r="M1395" s="41"/>
      <c r="N1395" s="41"/>
    </row>
    <row r="1396" spans="13:14" x14ac:dyDescent="0.35">
      <c r="M1396" s="41"/>
      <c r="N1396" s="41"/>
    </row>
    <row r="1397" spans="13:14" x14ac:dyDescent="0.35">
      <c r="M1397" s="41"/>
      <c r="N1397" s="41"/>
    </row>
    <row r="1398" spans="13:14" x14ac:dyDescent="0.35">
      <c r="M1398" s="41"/>
      <c r="N1398" s="41"/>
    </row>
    <row r="1399" spans="13:14" x14ac:dyDescent="0.35">
      <c r="M1399" s="41"/>
      <c r="N1399" s="41"/>
    </row>
    <row r="1400" spans="13:14" x14ac:dyDescent="0.35">
      <c r="M1400" s="41"/>
      <c r="N1400" s="41"/>
    </row>
    <row r="1401" spans="13:14" x14ac:dyDescent="0.35">
      <c r="M1401" s="41"/>
      <c r="N1401" s="41"/>
    </row>
    <row r="1402" spans="13:14" x14ac:dyDescent="0.35">
      <c r="M1402" s="41"/>
      <c r="N1402" s="41"/>
    </row>
    <row r="1403" spans="13:14" x14ac:dyDescent="0.35">
      <c r="M1403" s="41"/>
      <c r="N1403" s="41"/>
    </row>
    <row r="1404" spans="13:14" x14ac:dyDescent="0.35">
      <c r="M1404" s="41"/>
      <c r="N1404" s="41"/>
    </row>
    <row r="1405" spans="13:14" x14ac:dyDescent="0.35">
      <c r="M1405" s="41"/>
      <c r="N1405" s="41"/>
    </row>
    <row r="1406" spans="13:14" x14ac:dyDescent="0.35">
      <c r="M1406" s="41"/>
      <c r="N1406" s="41"/>
    </row>
    <row r="1407" spans="13:14" x14ac:dyDescent="0.35">
      <c r="M1407" s="41"/>
      <c r="N1407" s="41"/>
    </row>
    <row r="1408" spans="13:14" x14ac:dyDescent="0.35">
      <c r="M1408" s="41"/>
      <c r="N1408" s="41"/>
    </row>
    <row r="1409" spans="13:14" x14ac:dyDescent="0.35">
      <c r="M1409" s="41"/>
      <c r="N1409" s="41"/>
    </row>
    <row r="1410" spans="13:14" x14ac:dyDescent="0.35">
      <c r="M1410" s="41"/>
      <c r="N1410" s="41"/>
    </row>
    <row r="1411" spans="13:14" x14ac:dyDescent="0.35">
      <c r="M1411" s="41"/>
      <c r="N1411" s="41"/>
    </row>
    <row r="1412" spans="13:14" x14ac:dyDescent="0.35">
      <c r="M1412" s="41"/>
      <c r="N1412" s="41"/>
    </row>
    <row r="1413" spans="13:14" x14ac:dyDescent="0.35">
      <c r="M1413" s="41"/>
      <c r="N1413" s="41"/>
    </row>
    <row r="1414" spans="13:14" x14ac:dyDescent="0.35">
      <c r="M1414" s="41"/>
      <c r="N1414" s="41"/>
    </row>
    <row r="1415" spans="13:14" x14ac:dyDescent="0.35">
      <c r="M1415" s="41"/>
      <c r="N1415" s="41"/>
    </row>
    <row r="1416" spans="13:14" x14ac:dyDescent="0.35">
      <c r="M1416" s="41"/>
      <c r="N1416" s="41"/>
    </row>
    <row r="1417" spans="13:14" x14ac:dyDescent="0.35">
      <c r="M1417" s="41"/>
      <c r="N1417" s="41"/>
    </row>
    <row r="1418" spans="13:14" x14ac:dyDescent="0.35">
      <c r="M1418" s="41"/>
      <c r="N1418" s="41"/>
    </row>
    <row r="1419" spans="13:14" x14ac:dyDescent="0.35">
      <c r="M1419" s="41"/>
      <c r="N1419" s="41"/>
    </row>
    <row r="1420" spans="13:14" x14ac:dyDescent="0.35">
      <c r="M1420" s="41"/>
      <c r="N1420" s="41"/>
    </row>
    <row r="1421" spans="13:14" x14ac:dyDescent="0.35">
      <c r="M1421" s="41"/>
      <c r="N1421" s="41"/>
    </row>
    <row r="1422" spans="13:14" x14ac:dyDescent="0.35">
      <c r="M1422" s="41"/>
      <c r="N1422" s="41"/>
    </row>
    <row r="1423" spans="13:14" x14ac:dyDescent="0.35">
      <c r="M1423" s="41"/>
      <c r="N1423" s="41"/>
    </row>
    <row r="1424" spans="13:14" x14ac:dyDescent="0.35">
      <c r="M1424" s="41"/>
      <c r="N1424" s="41"/>
    </row>
    <row r="1425" spans="13:14" x14ac:dyDescent="0.35">
      <c r="M1425" s="41"/>
      <c r="N1425" s="41"/>
    </row>
    <row r="1426" spans="13:14" x14ac:dyDescent="0.35">
      <c r="M1426" s="41"/>
      <c r="N1426" s="41"/>
    </row>
    <row r="1427" spans="13:14" x14ac:dyDescent="0.35">
      <c r="M1427" s="41"/>
      <c r="N1427" s="41"/>
    </row>
    <row r="1428" spans="13:14" x14ac:dyDescent="0.35">
      <c r="M1428" s="41"/>
      <c r="N1428" s="41"/>
    </row>
    <row r="1429" spans="13:14" x14ac:dyDescent="0.35">
      <c r="M1429" s="41"/>
      <c r="N1429" s="41"/>
    </row>
    <row r="1430" spans="13:14" x14ac:dyDescent="0.35">
      <c r="M1430" s="41"/>
      <c r="N1430" s="41"/>
    </row>
    <row r="1431" spans="13:14" x14ac:dyDescent="0.35">
      <c r="M1431" s="41"/>
      <c r="N1431" s="41"/>
    </row>
    <row r="1432" spans="13:14" x14ac:dyDescent="0.35">
      <c r="M1432" s="41"/>
      <c r="N1432" s="41"/>
    </row>
    <row r="1433" spans="13:14" x14ac:dyDescent="0.35">
      <c r="M1433" s="41"/>
      <c r="N1433" s="41"/>
    </row>
    <row r="1434" spans="13:14" x14ac:dyDescent="0.35">
      <c r="M1434" s="41"/>
      <c r="N1434" s="41"/>
    </row>
    <row r="1435" spans="13:14" x14ac:dyDescent="0.35">
      <c r="M1435" s="41"/>
      <c r="N1435" s="41"/>
    </row>
    <row r="1436" spans="13:14" x14ac:dyDescent="0.35">
      <c r="M1436" s="41"/>
      <c r="N1436" s="41"/>
    </row>
    <row r="1437" spans="13:14" x14ac:dyDescent="0.35">
      <c r="M1437" s="41"/>
      <c r="N1437" s="41"/>
    </row>
    <row r="1438" spans="13:14" x14ac:dyDescent="0.35">
      <c r="M1438" s="41"/>
      <c r="N1438" s="41"/>
    </row>
    <row r="1439" spans="13:14" x14ac:dyDescent="0.35">
      <c r="M1439" s="41"/>
      <c r="N1439" s="41"/>
    </row>
    <row r="1440" spans="13:14" x14ac:dyDescent="0.35">
      <c r="M1440" s="41"/>
      <c r="N1440" s="41"/>
    </row>
    <row r="1441" spans="13:14" x14ac:dyDescent="0.35">
      <c r="M1441" s="41"/>
      <c r="N1441" s="41"/>
    </row>
    <row r="1442" spans="13:14" x14ac:dyDescent="0.35">
      <c r="M1442" s="41"/>
      <c r="N1442" s="41"/>
    </row>
    <row r="1443" spans="13:14" x14ac:dyDescent="0.35">
      <c r="M1443" s="41"/>
      <c r="N1443" s="41"/>
    </row>
    <row r="1444" spans="13:14" x14ac:dyDescent="0.35">
      <c r="M1444" s="41"/>
      <c r="N1444" s="41"/>
    </row>
    <row r="1445" spans="13:14" x14ac:dyDescent="0.35">
      <c r="M1445" s="41"/>
      <c r="N1445" s="41"/>
    </row>
    <row r="1446" spans="13:14" x14ac:dyDescent="0.35">
      <c r="M1446" s="41"/>
      <c r="N1446" s="41"/>
    </row>
    <row r="1447" spans="13:14" x14ac:dyDescent="0.35">
      <c r="M1447" s="41"/>
      <c r="N1447" s="41"/>
    </row>
    <row r="1448" spans="13:14" x14ac:dyDescent="0.35">
      <c r="M1448" s="41"/>
      <c r="N1448" s="41"/>
    </row>
    <row r="1449" spans="13:14" x14ac:dyDescent="0.35">
      <c r="M1449" s="41"/>
      <c r="N1449" s="41"/>
    </row>
    <row r="1450" spans="13:14" x14ac:dyDescent="0.35">
      <c r="M1450" s="41"/>
      <c r="N1450" s="41"/>
    </row>
    <row r="1451" spans="13:14" x14ac:dyDescent="0.35">
      <c r="M1451" s="41"/>
      <c r="N1451" s="41"/>
    </row>
    <row r="1452" spans="13:14" x14ac:dyDescent="0.35">
      <c r="M1452" s="41"/>
      <c r="N1452" s="41"/>
    </row>
    <row r="1453" spans="13:14" x14ac:dyDescent="0.35">
      <c r="M1453" s="41"/>
      <c r="N1453" s="41"/>
    </row>
  </sheetData>
  <sortState xmlns:xlrd2="http://schemas.microsoft.com/office/spreadsheetml/2017/richdata2" ref="C1275:P1280">
    <sortCondition ref="C1275:C1280"/>
  </sortState>
  <conditionalFormatting sqref="G1 L1">
    <cfRule type="cellIs" dxfId="12" priority="14" operator="lessThan">
      <formula>26</formula>
    </cfRule>
  </conditionalFormatting>
  <conditionalFormatting sqref="G2:G1305 L2:L1305 G1307:G1999 L1307:L1999">
    <cfRule type="cellIs" dxfId="11" priority="13" operator="between">
      <formula>1</formula>
      <formula>25</formula>
    </cfRule>
  </conditionalFormatting>
  <conditionalFormatting sqref="G449:G462 L449:L462">
    <cfRule type="cellIs" dxfId="10" priority="12" operator="between">
      <formula>1</formula>
      <formula>25</formula>
    </cfRule>
  </conditionalFormatting>
  <conditionalFormatting sqref="L475:L489 G475:G489">
    <cfRule type="cellIs" dxfId="9" priority="11" operator="between">
      <formula>1</formula>
      <formula>25</formula>
    </cfRule>
  </conditionalFormatting>
  <conditionalFormatting sqref="G607">
    <cfRule type="cellIs" dxfId="8" priority="10" operator="between">
      <formula>1</formula>
      <formula>25</formula>
    </cfRule>
  </conditionalFormatting>
  <conditionalFormatting sqref="L607">
    <cfRule type="cellIs" dxfId="7" priority="9" operator="between">
      <formula>1</formula>
      <formula>25</formula>
    </cfRule>
  </conditionalFormatting>
  <conditionalFormatting sqref="G634 L634">
    <cfRule type="cellIs" dxfId="6" priority="8" operator="between">
      <formula>1</formula>
      <formula>25</formula>
    </cfRule>
  </conditionalFormatting>
  <conditionalFormatting sqref="G635">
    <cfRule type="cellIs" dxfId="5" priority="7" operator="between">
      <formula>1</formula>
      <formula>25</formula>
    </cfRule>
  </conditionalFormatting>
  <conditionalFormatting sqref="E1:E1305 E1307:E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81 G1281">
    <cfRule type="cellIs" dxfId="4" priority="5" operator="between">
      <formula>1</formula>
      <formula>25</formula>
    </cfRule>
  </conditionalFormatting>
  <conditionalFormatting sqref="E128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86 G1286">
    <cfRule type="cellIs" dxfId="3" priority="3" operator="between">
      <formula>1</formula>
      <formula>25</formula>
    </cfRule>
  </conditionalFormatting>
  <conditionalFormatting sqref="E1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06 L1306">
    <cfRule type="cellIs" dxfId="2" priority="1" operator="between">
      <formula>1</formula>
      <formula>25</formula>
    </cfRule>
  </conditionalFormatting>
  <conditionalFormatting sqref="E1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97"/>
  <sheetViews>
    <sheetView topLeftCell="B68" workbookViewId="0">
      <selection activeCell="W2" sqref="W2:W97"/>
    </sheetView>
  </sheetViews>
  <sheetFormatPr defaultColWidth="8.90625" defaultRowHeight="14.5" x14ac:dyDescent="0.35"/>
  <cols>
    <col min="1" max="1" width="18.08984375" style="2" customWidth="1"/>
    <col min="2" max="16384" width="8.90625" style="2"/>
  </cols>
  <sheetData>
    <row r="1" spans="1:23" x14ac:dyDescent="0.35">
      <c r="A1" t="s">
        <v>3436</v>
      </c>
      <c r="B1" s="2" t="s">
        <v>1325</v>
      </c>
      <c r="C1" s="2" t="s">
        <v>1098</v>
      </c>
      <c r="D1" s="2" t="s">
        <v>1099</v>
      </c>
      <c r="E1" s="2" t="s">
        <v>1100</v>
      </c>
      <c r="F1" s="2" t="s">
        <v>1101</v>
      </c>
      <c r="G1" s="2" t="s">
        <v>1102</v>
      </c>
      <c r="H1" s="2" t="s">
        <v>1103</v>
      </c>
      <c r="I1" s="2" t="s">
        <v>1104</v>
      </c>
      <c r="J1" s="2" t="s">
        <v>1105</v>
      </c>
      <c r="K1" s="2" t="s">
        <v>1106</v>
      </c>
      <c r="L1" s="2" t="s">
        <v>1107</v>
      </c>
      <c r="M1" s="2" t="s">
        <v>1108</v>
      </c>
      <c r="N1" s="2" t="s">
        <v>1109</v>
      </c>
      <c r="O1" s="2" t="s">
        <v>1110</v>
      </c>
      <c r="P1" s="2" t="s">
        <v>1111</v>
      </c>
      <c r="Q1" s="2" t="s">
        <v>1112</v>
      </c>
      <c r="R1" s="2" t="s">
        <v>1113</v>
      </c>
      <c r="S1" s="2" t="s">
        <v>1114</v>
      </c>
      <c r="T1" s="2" t="s">
        <v>1115</v>
      </c>
      <c r="U1" s="2" t="s">
        <v>1135</v>
      </c>
      <c r="V1" s="2" t="s">
        <v>1323</v>
      </c>
      <c r="W1" s="2" t="s">
        <v>1324</v>
      </c>
    </row>
    <row r="2" spans="1:23" x14ac:dyDescent="0.35">
      <c r="A2" s="1" t="s">
        <v>663</v>
      </c>
      <c r="B2" s="2">
        <v>1830</v>
      </c>
      <c r="C2" s="2">
        <v>1842</v>
      </c>
      <c r="D2" s="2">
        <v>1850</v>
      </c>
      <c r="E2" s="2">
        <v>1867</v>
      </c>
      <c r="F2" s="2">
        <v>1875</v>
      </c>
      <c r="G2" s="2">
        <v>1883</v>
      </c>
      <c r="H2" s="2">
        <v>1899</v>
      </c>
      <c r="I2" s="2">
        <v>1882</v>
      </c>
      <c r="J2" s="2">
        <v>1895</v>
      </c>
      <c r="K2" s="2">
        <v>1910</v>
      </c>
      <c r="L2" s="2">
        <v>1920</v>
      </c>
      <c r="M2" s="2">
        <v>1932</v>
      </c>
      <c r="N2" s="2">
        <v>1941</v>
      </c>
      <c r="O2" s="2">
        <v>1960</v>
      </c>
      <c r="P2" s="2">
        <v>1960</v>
      </c>
      <c r="Q2" s="2">
        <v>1960</v>
      </c>
      <c r="R2" s="2">
        <v>1933</v>
      </c>
      <c r="S2" s="2">
        <v>1956</v>
      </c>
      <c r="T2" s="2">
        <v>1987</v>
      </c>
      <c r="U2" s="2">
        <v>2010</v>
      </c>
      <c r="V2" s="2">
        <v>2030</v>
      </c>
      <c r="W2" s="2">
        <v>2050</v>
      </c>
    </row>
    <row r="3" spans="1:23" x14ac:dyDescent="0.35">
      <c r="A3" s="2" t="s">
        <v>644</v>
      </c>
      <c r="B3" s="2">
        <v>1924</v>
      </c>
      <c r="C3" s="2">
        <v>1932</v>
      </c>
      <c r="D3" s="2">
        <v>1942</v>
      </c>
      <c r="E3" s="2">
        <v>1955</v>
      </c>
      <c r="F3" s="2">
        <v>1963</v>
      </c>
      <c r="G3" s="2">
        <v>1946</v>
      </c>
      <c r="H3" s="2">
        <v>1925</v>
      </c>
      <c r="I3" s="2">
        <v>1933</v>
      </c>
      <c r="J3" s="2">
        <v>1940</v>
      </c>
      <c r="K3" s="2">
        <v>1949</v>
      </c>
      <c r="L3" s="2">
        <v>1957</v>
      </c>
      <c r="M3" s="2">
        <v>1965</v>
      </c>
      <c r="N3" s="2">
        <v>1977</v>
      </c>
      <c r="O3" s="2">
        <v>1977</v>
      </c>
      <c r="P3" s="2">
        <v>1977</v>
      </c>
      <c r="Q3" s="2">
        <v>1977</v>
      </c>
      <c r="R3" s="2">
        <v>1977</v>
      </c>
      <c r="S3" s="2">
        <v>1977</v>
      </c>
      <c r="T3" s="2">
        <v>1977</v>
      </c>
      <c r="U3" s="2">
        <v>1977</v>
      </c>
      <c r="V3" s="2">
        <v>1977</v>
      </c>
      <c r="W3" s="2">
        <v>1977</v>
      </c>
    </row>
    <row r="4" spans="1:23" x14ac:dyDescent="0.35">
      <c r="A4" s="1" t="s">
        <v>731</v>
      </c>
      <c r="B4" s="2">
        <v>1985</v>
      </c>
      <c r="C4" s="2">
        <v>1992</v>
      </c>
      <c r="D4" s="2">
        <v>1999</v>
      </c>
      <c r="E4" s="2">
        <v>2006</v>
      </c>
      <c r="F4" s="2">
        <v>2013</v>
      </c>
      <c r="G4" s="2">
        <v>2023</v>
      </c>
      <c r="H4" s="2">
        <v>2029</v>
      </c>
      <c r="I4" s="2">
        <v>2035</v>
      </c>
      <c r="J4" s="2">
        <v>2040</v>
      </c>
      <c r="K4" s="2">
        <v>2048</v>
      </c>
      <c r="L4" s="2">
        <v>2029</v>
      </c>
      <c r="M4" s="2">
        <v>2007</v>
      </c>
      <c r="N4" s="2">
        <v>1989</v>
      </c>
      <c r="O4" s="2">
        <v>2002</v>
      </c>
      <c r="P4" s="2">
        <v>2002</v>
      </c>
      <c r="Q4" s="2">
        <v>2002</v>
      </c>
      <c r="R4" s="2">
        <v>1973</v>
      </c>
      <c r="S4" s="2">
        <v>1994</v>
      </c>
      <c r="T4" s="2">
        <v>1963</v>
      </c>
      <c r="U4" s="2">
        <v>1940</v>
      </c>
      <c r="V4" s="2">
        <v>1940</v>
      </c>
      <c r="W4" s="2">
        <v>1940</v>
      </c>
    </row>
    <row r="5" spans="1:23" x14ac:dyDescent="0.35">
      <c r="A5" s="1" t="s">
        <v>467</v>
      </c>
      <c r="B5" s="2">
        <v>1847</v>
      </c>
      <c r="C5" s="2">
        <v>1858</v>
      </c>
      <c r="D5" s="2">
        <v>1872</v>
      </c>
      <c r="E5" s="2">
        <v>1886</v>
      </c>
      <c r="F5" s="2">
        <v>1898</v>
      </c>
      <c r="G5" s="2">
        <v>1908</v>
      </c>
      <c r="H5" s="2">
        <v>1918</v>
      </c>
      <c r="I5" s="2">
        <v>1927</v>
      </c>
      <c r="J5" s="2">
        <v>1936</v>
      </c>
      <c r="K5" s="2">
        <v>1946</v>
      </c>
      <c r="L5" s="2">
        <v>1928</v>
      </c>
      <c r="M5" s="2">
        <v>1910</v>
      </c>
      <c r="N5" s="2">
        <v>1923</v>
      </c>
      <c r="O5" s="2">
        <v>1939</v>
      </c>
      <c r="P5" s="2">
        <v>1939</v>
      </c>
      <c r="Q5" s="2">
        <v>1939</v>
      </c>
      <c r="R5" s="2">
        <v>1959</v>
      </c>
      <c r="S5" s="2">
        <v>1976</v>
      </c>
      <c r="T5" s="2">
        <v>1997</v>
      </c>
      <c r="U5" s="2">
        <v>1968</v>
      </c>
      <c r="V5" s="2">
        <v>1948</v>
      </c>
      <c r="W5" s="2">
        <v>1928</v>
      </c>
    </row>
    <row r="6" spans="1:23" x14ac:dyDescent="0.35">
      <c r="A6" s="1" t="s">
        <v>670</v>
      </c>
      <c r="B6" s="2">
        <v>1722</v>
      </c>
      <c r="C6" s="2">
        <v>1736</v>
      </c>
      <c r="D6" s="2">
        <v>1749</v>
      </c>
      <c r="E6" s="2">
        <v>1761</v>
      </c>
      <c r="F6" s="2">
        <v>1774</v>
      </c>
      <c r="G6" s="2">
        <v>1798</v>
      </c>
      <c r="H6" s="2">
        <v>1809</v>
      </c>
      <c r="I6" s="2">
        <v>1799</v>
      </c>
      <c r="J6" s="2">
        <v>1786</v>
      </c>
      <c r="K6" s="2">
        <v>1797</v>
      </c>
      <c r="L6" s="2">
        <v>1814</v>
      </c>
      <c r="M6" s="2">
        <v>1828</v>
      </c>
      <c r="N6" s="2">
        <v>1838</v>
      </c>
      <c r="O6" s="2">
        <v>1865</v>
      </c>
      <c r="P6" s="2">
        <v>1865</v>
      </c>
      <c r="Q6" s="2">
        <v>1865</v>
      </c>
      <c r="R6" s="2">
        <v>1892</v>
      </c>
      <c r="S6" s="2">
        <v>1919</v>
      </c>
      <c r="T6" s="2">
        <v>1898</v>
      </c>
      <c r="U6" s="2">
        <v>1927</v>
      </c>
      <c r="V6" s="2">
        <v>1927</v>
      </c>
      <c r="W6" s="2">
        <v>1927</v>
      </c>
    </row>
    <row r="7" spans="1:23" x14ac:dyDescent="0.35">
      <c r="A7" s="1" t="s">
        <v>746</v>
      </c>
      <c r="B7" s="2">
        <v>1820</v>
      </c>
      <c r="C7" s="2">
        <v>1839</v>
      </c>
      <c r="D7" s="2">
        <v>1851</v>
      </c>
      <c r="E7" s="2">
        <v>1870</v>
      </c>
      <c r="F7" s="2">
        <v>1881</v>
      </c>
      <c r="G7" s="2">
        <v>1890</v>
      </c>
      <c r="H7" s="2">
        <v>1879</v>
      </c>
      <c r="I7" s="2">
        <v>1887</v>
      </c>
      <c r="J7" s="2">
        <v>1900</v>
      </c>
      <c r="K7" s="2">
        <v>1909</v>
      </c>
      <c r="L7" s="2">
        <v>1921</v>
      </c>
      <c r="M7" s="2">
        <v>1930</v>
      </c>
      <c r="N7" s="2">
        <v>1938</v>
      </c>
      <c r="O7" s="2">
        <v>1911</v>
      </c>
      <c r="P7" s="2">
        <v>1911</v>
      </c>
      <c r="Q7" s="2">
        <v>1911</v>
      </c>
      <c r="R7" s="2">
        <v>1940</v>
      </c>
      <c r="S7" s="2">
        <v>1919</v>
      </c>
      <c r="T7" s="2">
        <v>1919</v>
      </c>
      <c r="U7" s="2">
        <v>1919</v>
      </c>
      <c r="V7" s="2">
        <v>1919</v>
      </c>
      <c r="W7" s="2">
        <v>1919</v>
      </c>
    </row>
    <row r="8" spans="1:23" x14ac:dyDescent="0.35">
      <c r="A8" s="2" t="s">
        <v>761</v>
      </c>
      <c r="B8" s="2">
        <v>1955</v>
      </c>
      <c r="C8" s="2">
        <v>1937</v>
      </c>
      <c r="D8" s="2">
        <v>1944</v>
      </c>
      <c r="E8" s="2">
        <v>1950</v>
      </c>
      <c r="F8" s="2">
        <v>1961</v>
      </c>
      <c r="G8" s="2">
        <v>1938</v>
      </c>
      <c r="H8" s="2">
        <v>1944</v>
      </c>
      <c r="I8" s="2">
        <v>1952</v>
      </c>
      <c r="J8" s="2">
        <v>1958</v>
      </c>
      <c r="K8" s="2">
        <v>1942</v>
      </c>
      <c r="L8" s="2">
        <v>1950</v>
      </c>
      <c r="M8" s="2">
        <v>1927</v>
      </c>
      <c r="N8" s="2">
        <v>1908</v>
      </c>
      <c r="O8" s="2">
        <v>1908</v>
      </c>
      <c r="P8" s="2">
        <v>1908</v>
      </c>
      <c r="Q8" s="2">
        <v>1908</v>
      </c>
      <c r="R8" s="2">
        <v>1908</v>
      </c>
      <c r="S8" s="2">
        <v>1908</v>
      </c>
      <c r="T8" s="2">
        <v>1908</v>
      </c>
      <c r="U8" s="2">
        <v>1908</v>
      </c>
      <c r="V8" s="2">
        <v>1908</v>
      </c>
      <c r="W8" s="2">
        <v>1908</v>
      </c>
    </row>
    <row r="9" spans="1:23" x14ac:dyDescent="0.35">
      <c r="A9" s="2" t="s">
        <v>718</v>
      </c>
      <c r="B9" s="2">
        <v>1880</v>
      </c>
      <c r="C9" s="2">
        <v>1865</v>
      </c>
      <c r="D9" s="2">
        <v>1875</v>
      </c>
      <c r="E9" s="2">
        <v>1885</v>
      </c>
      <c r="F9" s="2">
        <v>1868</v>
      </c>
      <c r="G9" s="2">
        <v>1854</v>
      </c>
      <c r="H9" s="2">
        <v>1866</v>
      </c>
      <c r="I9" s="2">
        <v>1877</v>
      </c>
      <c r="J9" s="2">
        <v>1884</v>
      </c>
      <c r="K9" s="2">
        <v>1900</v>
      </c>
      <c r="L9" s="2">
        <v>1909</v>
      </c>
      <c r="M9" s="2">
        <v>1921</v>
      </c>
      <c r="N9" s="2">
        <v>1908</v>
      </c>
      <c r="O9" s="2">
        <v>1908</v>
      </c>
      <c r="P9" s="2">
        <v>1908</v>
      </c>
      <c r="Q9" s="2">
        <v>1908</v>
      </c>
      <c r="R9" s="2">
        <v>1908</v>
      </c>
      <c r="S9" s="2">
        <v>1908</v>
      </c>
      <c r="T9" s="2">
        <v>1908</v>
      </c>
      <c r="U9" s="2">
        <v>1908</v>
      </c>
      <c r="V9" s="2">
        <v>1908</v>
      </c>
      <c r="W9" s="2">
        <v>1908</v>
      </c>
    </row>
    <row r="10" spans="1:23" x14ac:dyDescent="0.35">
      <c r="A10" s="1" t="s">
        <v>245</v>
      </c>
      <c r="B10" s="2">
        <v>1810</v>
      </c>
      <c r="C10" s="2">
        <v>1829</v>
      </c>
      <c r="D10" s="2">
        <v>1845</v>
      </c>
      <c r="E10" s="2">
        <v>1860</v>
      </c>
      <c r="F10" s="2">
        <v>1842</v>
      </c>
      <c r="G10" s="2">
        <v>1855</v>
      </c>
      <c r="H10" s="2">
        <v>1865</v>
      </c>
      <c r="I10" s="2">
        <v>1881</v>
      </c>
      <c r="J10" s="2">
        <v>1868</v>
      </c>
      <c r="K10" s="2">
        <v>1882</v>
      </c>
      <c r="L10" s="2">
        <v>1893</v>
      </c>
      <c r="M10" s="2">
        <v>1907</v>
      </c>
      <c r="N10" s="2">
        <v>1917</v>
      </c>
      <c r="O10" s="2">
        <v>1917</v>
      </c>
      <c r="P10" s="2">
        <v>1882</v>
      </c>
      <c r="Q10" s="2">
        <v>1906</v>
      </c>
      <c r="R10" s="2">
        <v>1906</v>
      </c>
      <c r="S10" s="2">
        <v>1906</v>
      </c>
      <c r="T10" s="2">
        <v>1906</v>
      </c>
      <c r="U10" s="2">
        <v>1906</v>
      </c>
      <c r="V10" s="2">
        <v>1906</v>
      </c>
      <c r="W10" s="2">
        <v>1906</v>
      </c>
    </row>
    <row r="11" spans="1:23" x14ac:dyDescent="0.35">
      <c r="A11" s="1" t="s">
        <v>767</v>
      </c>
      <c r="B11" s="2">
        <v>1783</v>
      </c>
      <c r="C11" s="2">
        <v>1772</v>
      </c>
      <c r="D11" s="2">
        <v>1758</v>
      </c>
      <c r="E11" s="2">
        <v>1772</v>
      </c>
      <c r="F11" s="2">
        <v>1758</v>
      </c>
      <c r="G11" s="2">
        <v>1745</v>
      </c>
      <c r="H11" s="2">
        <v>1760</v>
      </c>
      <c r="I11" s="2">
        <v>1770</v>
      </c>
      <c r="J11" s="2">
        <v>1784</v>
      </c>
      <c r="K11" s="2">
        <v>1800</v>
      </c>
      <c r="L11" s="2">
        <v>1812</v>
      </c>
      <c r="M11" s="2">
        <v>1823</v>
      </c>
      <c r="N11" s="2">
        <v>1835</v>
      </c>
      <c r="O11" s="2">
        <v>1852</v>
      </c>
      <c r="P11" s="2">
        <v>1878</v>
      </c>
      <c r="Q11" s="2">
        <v>1900</v>
      </c>
      <c r="R11" s="2">
        <v>1927</v>
      </c>
      <c r="S11" s="2">
        <v>1904</v>
      </c>
      <c r="T11" s="2">
        <v>1904</v>
      </c>
      <c r="U11" s="2">
        <v>1904</v>
      </c>
      <c r="V11" s="2">
        <v>1904</v>
      </c>
      <c r="W11" s="2">
        <v>1904</v>
      </c>
    </row>
    <row r="12" spans="1:23" x14ac:dyDescent="0.35">
      <c r="A12" s="2" t="s">
        <v>750</v>
      </c>
      <c r="B12" s="2">
        <v>1879</v>
      </c>
      <c r="C12" s="2">
        <v>1886</v>
      </c>
      <c r="D12" s="2">
        <v>1896</v>
      </c>
      <c r="E12" s="2">
        <v>1907</v>
      </c>
      <c r="F12" s="2">
        <v>1918</v>
      </c>
      <c r="G12" s="2">
        <v>1900</v>
      </c>
      <c r="H12" s="2">
        <v>1911</v>
      </c>
      <c r="I12" s="2">
        <v>1895</v>
      </c>
      <c r="J12" s="2">
        <v>1902</v>
      </c>
      <c r="K12" s="2">
        <v>1912</v>
      </c>
      <c r="L12" s="2">
        <v>1927</v>
      </c>
      <c r="M12" s="2">
        <v>1913</v>
      </c>
      <c r="N12" s="2">
        <v>1895</v>
      </c>
      <c r="O12" s="2">
        <v>1895</v>
      </c>
      <c r="P12" s="2">
        <v>1895</v>
      </c>
      <c r="Q12" s="2">
        <v>1895</v>
      </c>
      <c r="R12" s="2">
        <v>1895</v>
      </c>
      <c r="S12" s="2">
        <v>1895</v>
      </c>
      <c r="T12" s="2">
        <v>1895</v>
      </c>
      <c r="U12" s="2">
        <v>1895</v>
      </c>
      <c r="V12" s="2">
        <v>1895</v>
      </c>
      <c r="W12" s="2">
        <v>1895</v>
      </c>
    </row>
    <row r="13" spans="1:23" x14ac:dyDescent="0.35">
      <c r="A13" s="2" t="s">
        <v>242</v>
      </c>
      <c r="B13" s="2">
        <v>1762</v>
      </c>
      <c r="C13" s="2">
        <v>1783</v>
      </c>
      <c r="D13" s="2">
        <v>1801</v>
      </c>
      <c r="E13" s="2">
        <v>1811</v>
      </c>
      <c r="F13" s="2">
        <v>1800</v>
      </c>
      <c r="G13" s="2">
        <v>1823</v>
      </c>
      <c r="H13" s="2">
        <v>1831</v>
      </c>
      <c r="I13" s="2">
        <v>1848</v>
      </c>
      <c r="J13" s="2">
        <v>1834</v>
      </c>
      <c r="K13" s="2">
        <v>1843</v>
      </c>
      <c r="L13" s="2">
        <v>1857</v>
      </c>
      <c r="M13" s="2">
        <v>1873</v>
      </c>
      <c r="N13" s="2">
        <v>1888</v>
      </c>
      <c r="O13" s="2">
        <v>1888</v>
      </c>
      <c r="P13" s="2">
        <v>1888</v>
      </c>
      <c r="Q13" s="2">
        <v>1888</v>
      </c>
      <c r="R13" s="2">
        <v>1888</v>
      </c>
      <c r="S13" s="2">
        <v>1888</v>
      </c>
      <c r="T13" s="2">
        <v>1888</v>
      </c>
      <c r="U13" s="2">
        <v>1888</v>
      </c>
      <c r="V13" s="2">
        <v>1888</v>
      </c>
      <c r="W13" s="2">
        <v>1888</v>
      </c>
    </row>
    <row r="14" spans="1:23" x14ac:dyDescent="0.35">
      <c r="A14" s="2" t="s">
        <v>648</v>
      </c>
      <c r="B14" s="2">
        <v>1878</v>
      </c>
      <c r="C14" s="2">
        <v>1888</v>
      </c>
      <c r="D14" s="2">
        <v>1896</v>
      </c>
      <c r="E14" s="2">
        <v>1877</v>
      </c>
      <c r="F14" s="2">
        <v>1862</v>
      </c>
      <c r="G14" s="2">
        <v>1870</v>
      </c>
      <c r="H14" s="2">
        <v>1881</v>
      </c>
      <c r="I14" s="2">
        <v>1890</v>
      </c>
      <c r="J14" s="2">
        <v>1903</v>
      </c>
      <c r="K14" s="2">
        <v>1913</v>
      </c>
      <c r="L14" s="2">
        <v>1921</v>
      </c>
      <c r="M14" s="2">
        <v>1903</v>
      </c>
      <c r="N14" s="2">
        <v>1881</v>
      </c>
      <c r="O14" s="2">
        <v>1881</v>
      </c>
      <c r="P14" s="2">
        <v>1881</v>
      </c>
      <c r="Q14" s="2">
        <v>1881</v>
      </c>
      <c r="R14" s="2">
        <v>1881</v>
      </c>
      <c r="S14" s="2">
        <v>1881</v>
      </c>
      <c r="T14" s="2">
        <v>1881</v>
      </c>
      <c r="U14" s="2">
        <v>1881</v>
      </c>
      <c r="V14" s="2">
        <v>1881</v>
      </c>
      <c r="W14" s="2">
        <v>1881</v>
      </c>
    </row>
    <row r="15" spans="1:23" x14ac:dyDescent="0.35">
      <c r="A15" t="s">
        <v>1157</v>
      </c>
      <c r="B15" s="2">
        <v>1800</v>
      </c>
      <c r="C15" s="2">
        <v>1813</v>
      </c>
      <c r="D15" s="2">
        <v>1826</v>
      </c>
      <c r="E15" s="2">
        <v>1815</v>
      </c>
      <c r="F15" s="2">
        <v>1829</v>
      </c>
      <c r="G15" s="2">
        <v>1843</v>
      </c>
      <c r="H15" s="2">
        <v>1853</v>
      </c>
      <c r="I15" s="2">
        <v>1865</v>
      </c>
      <c r="J15" s="2">
        <v>1880</v>
      </c>
      <c r="K15" s="2">
        <v>1891</v>
      </c>
      <c r="L15" s="2">
        <v>1904</v>
      </c>
      <c r="M15" s="2">
        <v>1887</v>
      </c>
      <c r="N15" s="2">
        <v>1895</v>
      </c>
      <c r="O15" s="2">
        <v>1871</v>
      </c>
      <c r="P15" s="2">
        <v>1871</v>
      </c>
      <c r="Q15" s="2">
        <v>1871</v>
      </c>
      <c r="R15" s="2">
        <v>1871</v>
      </c>
      <c r="S15" s="2">
        <v>1871</v>
      </c>
      <c r="T15" s="2">
        <v>1871</v>
      </c>
      <c r="U15" s="2">
        <v>1871</v>
      </c>
      <c r="V15" s="2">
        <v>1871</v>
      </c>
      <c r="W15" s="2">
        <v>1871</v>
      </c>
    </row>
    <row r="16" spans="1:23" x14ac:dyDescent="0.35">
      <c r="A16" t="s">
        <v>1165</v>
      </c>
      <c r="B16" s="2">
        <v>1800</v>
      </c>
      <c r="C16" s="2">
        <v>1787</v>
      </c>
      <c r="D16" s="2">
        <v>1776</v>
      </c>
      <c r="E16" s="2">
        <v>1787</v>
      </c>
      <c r="F16" s="2">
        <v>1800</v>
      </c>
      <c r="G16" s="2">
        <v>1808</v>
      </c>
      <c r="H16" s="2">
        <v>1819</v>
      </c>
      <c r="I16" s="2">
        <v>1827</v>
      </c>
      <c r="J16" s="2">
        <v>1839</v>
      </c>
      <c r="K16" s="2">
        <v>1850</v>
      </c>
      <c r="L16" s="2">
        <v>1859</v>
      </c>
      <c r="M16" s="2">
        <v>1847</v>
      </c>
      <c r="N16" s="2">
        <v>1857</v>
      </c>
      <c r="O16" s="2">
        <v>1857</v>
      </c>
      <c r="P16" s="2">
        <v>1857</v>
      </c>
      <c r="Q16" s="2">
        <v>1857</v>
      </c>
      <c r="R16" s="2">
        <v>1857</v>
      </c>
      <c r="S16" s="2">
        <v>1857</v>
      </c>
      <c r="T16" s="2">
        <v>1857</v>
      </c>
      <c r="U16" s="2">
        <v>1857</v>
      </c>
      <c r="V16" s="2">
        <v>1857</v>
      </c>
      <c r="W16" s="2">
        <v>1857</v>
      </c>
    </row>
    <row r="17" spans="1:23" x14ac:dyDescent="0.35">
      <c r="A17" s="2" t="s">
        <v>734</v>
      </c>
      <c r="B17" s="2">
        <v>1792</v>
      </c>
      <c r="C17" s="2">
        <v>1806</v>
      </c>
      <c r="D17" s="2">
        <v>1790</v>
      </c>
      <c r="E17" s="2">
        <v>1809</v>
      </c>
      <c r="F17" s="2">
        <v>1822</v>
      </c>
      <c r="G17" s="2">
        <v>1838</v>
      </c>
      <c r="H17" s="2">
        <v>1832</v>
      </c>
      <c r="I17" s="2">
        <v>1850</v>
      </c>
      <c r="J17" s="2">
        <v>1861</v>
      </c>
      <c r="K17" s="2">
        <v>1842</v>
      </c>
      <c r="L17" s="2">
        <v>1825</v>
      </c>
      <c r="M17" s="2">
        <v>1841</v>
      </c>
      <c r="N17" s="2">
        <v>1853</v>
      </c>
      <c r="O17" s="2">
        <v>1853</v>
      </c>
      <c r="P17" s="2">
        <v>1853</v>
      </c>
      <c r="Q17" s="2">
        <v>1853</v>
      </c>
      <c r="R17" s="2">
        <v>1853</v>
      </c>
      <c r="S17" s="2">
        <v>1853</v>
      </c>
      <c r="T17" s="2">
        <v>1853</v>
      </c>
      <c r="U17" s="2">
        <v>1853</v>
      </c>
      <c r="V17" s="2">
        <v>1853</v>
      </c>
      <c r="W17" s="2">
        <v>1853</v>
      </c>
    </row>
    <row r="18" spans="1:23" x14ac:dyDescent="0.35">
      <c r="A18" t="s">
        <v>1158</v>
      </c>
      <c r="B18" s="2">
        <v>1800</v>
      </c>
      <c r="C18" s="2">
        <v>1787</v>
      </c>
      <c r="D18" s="2">
        <v>1774</v>
      </c>
      <c r="E18" s="2">
        <v>1763</v>
      </c>
      <c r="F18" s="2">
        <v>1776</v>
      </c>
      <c r="G18" s="2">
        <v>1790</v>
      </c>
      <c r="H18" s="2">
        <v>1779</v>
      </c>
      <c r="I18" s="2">
        <v>1794</v>
      </c>
      <c r="J18" s="2">
        <v>1805</v>
      </c>
      <c r="K18" s="2">
        <v>1817</v>
      </c>
      <c r="L18" s="2">
        <v>1830</v>
      </c>
      <c r="M18" s="2">
        <v>1841</v>
      </c>
      <c r="N18" s="2">
        <v>1852</v>
      </c>
      <c r="O18" s="2">
        <v>1852</v>
      </c>
      <c r="P18" s="2">
        <v>1852</v>
      </c>
      <c r="Q18" s="2">
        <v>1852</v>
      </c>
      <c r="R18" s="2">
        <v>1852</v>
      </c>
      <c r="S18" s="2">
        <v>1852</v>
      </c>
      <c r="T18" s="2">
        <v>1852</v>
      </c>
      <c r="U18" s="2">
        <v>1852</v>
      </c>
      <c r="V18" s="2">
        <v>1852</v>
      </c>
      <c r="W18" s="2">
        <v>1852</v>
      </c>
    </row>
    <row r="19" spans="1:23" x14ac:dyDescent="0.35">
      <c r="A19" s="1" t="s">
        <v>720</v>
      </c>
      <c r="B19" s="2">
        <v>1838</v>
      </c>
      <c r="C19" s="2">
        <v>1852</v>
      </c>
      <c r="D19" s="2">
        <v>1861</v>
      </c>
      <c r="E19" s="2">
        <v>1872</v>
      </c>
      <c r="F19" s="2">
        <v>1883</v>
      </c>
      <c r="G19" s="2">
        <v>1894</v>
      </c>
      <c r="H19" s="2">
        <v>1915</v>
      </c>
      <c r="I19" s="2">
        <v>1925</v>
      </c>
      <c r="J19" s="2">
        <v>1934</v>
      </c>
      <c r="K19" s="2">
        <v>1945</v>
      </c>
      <c r="L19" s="2">
        <v>1932</v>
      </c>
      <c r="M19" s="2">
        <v>1915</v>
      </c>
      <c r="N19" s="2">
        <v>1924</v>
      </c>
      <c r="O19" s="2">
        <v>1905</v>
      </c>
      <c r="P19" s="2">
        <v>1905</v>
      </c>
      <c r="Q19" s="2">
        <v>1905</v>
      </c>
      <c r="R19" s="2">
        <v>1878</v>
      </c>
      <c r="S19" s="2">
        <v>1851</v>
      </c>
      <c r="T19" s="2">
        <v>1851</v>
      </c>
      <c r="U19" s="2">
        <v>1851</v>
      </c>
      <c r="V19" s="2">
        <v>1851</v>
      </c>
      <c r="W19" s="2">
        <v>1851</v>
      </c>
    </row>
    <row r="20" spans="1:23" x14ac:dyDescent="0.35">
      <c r="A20" t="s">
        <v>468</v>
      </c>
      <c r="B20" s="2">
        <v>1800</v>
      </c>
      <c r="C20" s="2">
        <v>1811</v>
      </c>
      <c r="D20" s="2">
        <v>1822</v>
      </c>
      <c r="E20" s="2">
        <v>1835</v>
      </c>
      <c r="F20" s="2">
        <v>1821</v>
      </c>
      <c r="G20" s="2">
        <v>1831</v>
      </c>
      <c r="H20" s="2">
        <v>1842</v>
      </c>
      <c r="I20" s="2">
        <v>1852</v>
      </c>
      <c r="J20" s="2">
        <v>1864</v>
      </c>
      <c r="K20" s="2">
        <v>1875</v>
      </c>
      <c r="L20" s="2">
        <v>1881</v>
      </c>
      <c r="M20" s="2">
        <v>1863</v>
      </c>
      <c r="N20" s="2">
        <v>1849</v>
      </c>
      <c r="O20" s="2">
        <v>1849</v>
      </c>
      <c r="P20" s="2">
        <v>1849</v>
      </c>
      <c r="Q20" s="2">
        <v>1849</v>
      </c>
      <c r="R20" s="2">
        <v>1849</v>
      </c>
      <c r="S20" s="2">
        <v>1849</v>
      </c>
      <c r="T20" s="2">
        <v>1849</v>
      </c>
      <c r="U20" s="2">
        <v>1849</v>
      </c>
      <c r="V20" s="2">
        <v>1849</v>
      </c>
      <c r="W20" s="2">
        <v>1849</v>
      </c>
    </row>
    <row r="21" spans="1:23" x14ac:dyDescent="0.35">
      <c r="A21" t="s">
        <v>1164</v>
      </c>
      <c r="B21" s="2">
        <v>1800</v>
      </c>
      <c r="C21" s="2">
        <v>1813</v>
      </c>
      <c r="D21" s="2">
        <v>1826</v>
      </c>
      <c r="E21" s="2">
        <v>1836</v>
      </c>
      <c r="F21" s="2">
        <v>1819</v>
      </c>
      <c r="G21" s="2">
        <v>1834</v>
      </c>
      <c r="H21" s="2">
        <v>1844</v>
      </c>
      <c r="I21" s="2">
        <v>1833</v>
      </c>
      <c r="J21" s="2">
        <v>1821</v>
      </c>
      <c r="K21" s="2">
        <v>1831</v>
      </c>
      <c r="L21" s="2">
        <v>1845</v>
      </c>
      <c r="M21" s="2">
        <v>1863</v>
      </c>
      <c r="N21" s="2">
        <v>1848</v>
      </c>
      <c r="O21" s="2">
        <v>1848</v>
      </c>
      <c r="P21" s="2">
        <v>1848</v>
      </c>
      <c r="Q21" s="2">
        <v>1848</v>
      </c>
      <c r="R21" s="2">
        <v>1848</v>
      </c>
      <c r="S21" s="2">
        <v>1848</v>
      </c>
      <c r="T21" s="2">
        <v>1848</v>
      </c>
      <c r="U21" s="2">
        <v>1848</v>
      </c>
      <c r="V21" s="2">
        <v>1848</v>
      </c>
      <c r="W21" s="2">
        <v>1848</v>
      </c>
    </row>
    <row r="22" spans="1:23" x14ac:dyDescent="0.35">
      <c r="A22" s="2" t="s">
        <v>785</v>
      </c>
      <c r="B22" s="2">
        <v>1751</v>
      </c>
      <c r="C22" s="2">
        <v>1779</v>
      </c>
      <c r="D22" s="2">
        <v>1795</v>
      </c>
      <c r="E22" s="2">
        <v>1812</v>
      </c>
      <c r="F22" s="2">
        <v>1829</v>
      </c>
      <c r="G22" s="2">
        <v>1819</v>
      </c>
      <c r="H22" s="2">
        <v>1829</v>
      </c>
      <c r="I22" s="2">
        <v>1841</v>
      </c>
      <c r="J22" s="2">
        <v>1856</v>
      </c>
      <c r="K22" s="2">
        <v>1864</v>
      </c>
      <c r="L22" s="2">
        <v>1877</v>
      </c>
      <c r="M22" s="2">
        <v>1863</v>
      </c>
      <c r="N22" s="2">
        <v>1845</v>
      </c>
      <c r="O22" s="2">
        <v>1845</v>
      </c>
      <c r="P22" s="2">
        <v>1845</v>
      </c>
      <c r="Q22" s="2">
        <v>1845</v>
      </c>
      <c r="R22" s="2">
        <v>1845</v>
      </c>
      <c r="S22" s="2">
        <v>1845</v>
      </c>
      <c r="T22" s="2">
        <v>1845</v>
      </c>
      <c r="U22" s="2">
        <v>1845</v>
      </c>
      <c r="V22" s="2">
        <v>1845</v>
      </c>
      <c r="W22" s="2">
        <v>1845</v>
      </c>
    </row>
    <row r="23" spans="1:23" x14ac:dyDescent="0.35">
      <c r="A23" s="2" t="s">
        <v>747</v>
      </c>
      <c r="B23" s="2">
        <v>1797</v>
      </c>
      <c r="C23" s="2">
        <v>1782</v>
      </c>
      <c r="D23" s="2">
        <v>1792</v>
      </c>
      <c r="E23" s="2">
        <v>1811</v>
      </c>
      <c r="F23" s="2">
        <v>1824</v>
      </c>
      <c r="G23" s="2">
        <v>1834</v>
      </c>
      <c r="H23" s="2">
        <v>1850</v>
      </c>
      <c r="I23" s="2">
        <v>1859</v>
      </c>
      <c r="J23" s="2">
        <v>1844</v>
      </c>
      <c r="K23" s="2">
        <v>1828</v>
      </c>
      <c r="L23" s="2">
        <v>1842</v>
      </c>
      <c r="M23" s="2">
        <v>1829</v>
      </c>
      <c r="N23" s="2">
        <v>1840</v>
      </c>
      <c r="O23" s="2">
        <v>1840</v>
      </c>
      <c r="P23" s="2">
        <v>1840</v>
      </c>
      <c r="Q23" s="2">
        <v>1840</v>
      </c>
      <c r="R23" s="2">
        <v>1840</v>
      </c>
      <c r="S23" s="2">
        <v>1840</v>
      </c>
      <c r="T23" s="2">
        <v>1840</v>
      </c>
      <c r="U23" s="2">
        <v>1840</v>
      </c>
      <c r="V23" s="2">
        <v>1840</v>
      </c>
      <c r="W23" s="2">
        <v>1840</v>
      </c>
    </row>
    <row r="24" spans="1:23" x14ac:dyDescent="0.35">
      <c r="A24" s="2" t="s">
        <v>649</v>
      </c>
      <c r="B24" s="2">
        <v>1839</v>
      </c>
      <c r="C24" s="2">
        <v>1850</v>
      </c>
      <c r="D24" s="2">
        <v>1843</v>
      </c>
      <c r="E24" s="2">
        <v>1853</v>
      </c>
      <c r="F24" s="2">
        <v>1868</v>
      </c>
      <c r="G24" s="2">
        <v>1855</v>
      </c>
      <c r="H24" s="2">
        <v>1841</v>
      </c>
      <c r="I24" s="2">
        <v>1852</v>
      </c>
      <c r="J24" s="2">
        <v>1863</v>
      </c>
      <c r="K24" s="2">
        <v>1849</v>
      </c>
      <c r="L24" s="2">
        <v>1841</v>
      </c>
      <c r="M24" s="2">
        <v>1829</v>
      </c>
      <c r="N24" s="2">
        <v>1838</v>
      </c>
      <c r="O24" s="2">
        <v>1838</v>
      </c>
      <c r="P24" s="2">
        <v>1838</v>
      </c>
      <c r="Q24" s="2">
        <v>1838</v>
      </c>
      <c r="R24" s="2">
        <v>1838</v>
      </c>
      <c r="S24" s="2">
        <v>1838</v>
      </c>
      <c r="T24" s="2">
        <v>1838</v>
      </c>
      <c r="U24" s="2">
        <v>1838</v>
      </c>
      <c r="V24" s="2">
        <v>1838</v>
      </c>
      <c r="W24" s="2">
        <v>1838</v>
      </c>
    </row>
    <row r="25" spans="1:23" x14ac:dyDescent="0.35">
      <c r="A25" s="2" t="s">
        <v>757</v>
      </c>
      <c r="B25" s="2">
        <v>1839</v>
      </c>
      <c r="C25" s="2">
        <v>1828</v>
      </c>
      <c r="D25" s="2">
        <v>1842</v>
      </c>
      <c r="E25" s="2">
        <v>1832</v>
      </c>
      <c r="F25" s="2">
        <v>1845</v>
      </c>
      <c r="G25" s="2">
        <v>1831</v>
      </c>
      <c r="H25" s="2">
        <v>1846</v>
      </c>
      <c r="I25" s="2">
        <v>1856</v>
      </c>
      <c r="J25" s="2">
        <v>1836</v>
      </c>
      <c r="K25" s="2">
        <v>1849</v>
      </c>
      <c r="L25" s="2">
        <v>1829</v>
      </c>
      <c r="M25" s="2">
        <v>1814</v>
      </c>
      <c r="N25" s="2">
        <v>1836</v>
      </c>
      <c r="O25" s="2">
        <v>1836</v>
      </c>
      <c r="P25" s="2">
        <v>1836</v>
      </c>
      <c r="Q25" s="2">
        <v>1836</v>
      </c>
      <c r="R25" s="2">
        <v>1836</v>
      </c>
      <c r="S25" s="2">
        <v>1836</v>
      </c>
      <c r="T25" s="2">
        <v>1836</v>
      </c>
      <c r="U25" s="2">
        <v>1836</v>
      </c>
      <c r="V25" s="2">
        <v>1836</v>
      </c>
      <c r="W25" s="2">
        <v>1836</v>
      </c>
    </row>
    <row r="26" spans="1:23" x14ac:dyDescent="0.35">
      <c r="A26" s="2" t="s">
        <v>780</v>
      </c>
      <c r="B26" s="2">
        <v>1857</v>
      </c>
      <c r="C26" s="2">
        <v>1865</v>
      </c>
      <c r="D26" s="2">
        <v>1848</v>
      </c>
      <c r="E26" s="2">
        <v>1834</v>
      </c>
      <c r="F26" s="2">
        <v>1843</v>
      </c>
      <c r="G26" s="2">
        <v>1854</v>
      </c>
      <c r="H26" s="2">
        <v>1844</v>
      </c>
      <c r="I26" s="2">
        <v>1853</v>
      </c>
      <c r="J26" s="2">
        <v>1838</v>
      </c>
      <c r="K26" s="2">
        <v>1822</v>
      </c>
      <c r="L26" s="2">
        <v>1810</v>
      </c>
      <c r="M26" s="2">
        <v>1822</v>
      </c>
      <c r="N26" s="2">
        <v>1835</v>
      </c>
      <c r="O26" s="2">
        <v>1835</v>
      </c>
      <c r="P26" s="2">
        <v>1835</v>
      </c>
      <c r="Q26" s="2">
        <v>1835</v>
      </c>
      <c r="R26" s="2">
        <v>1835</v>
      </c>
      <c r="S26" s="2">
        <v>1835</v>
      </c>
      <c r="T26" s="2">
        <v>1835</v>
      </c>
      <c r="U26" s="2">
        <v>1835</v>
      </c>
      <c r="V26" s="2">
        <v>1835</v>
      </c>
      <c r="W26" s="2">
        <v>1835</v>
      </c>
    </row>
    <row r="27" spans="1:23" x14ac:dyDescent="0.35">
      <c r="A27" s="2" t="s">
        <v>642</v>
      </c>
      <c r="B27" s="2">
        <v>1833</v>
      </c>
      <c r="C27" s="2">
        <v>1819</v>
      </c>
      <c r="D27" s="2">
        <v>1829</v>
      </c>
      <c r="E27" s="2">
        <v>1841</v>
      </c>
      <c r="F27" s="2">
        <v>1852</v>
      </c>
      <c r="G27" s="2">
        <v>1834</v>
      </c>
      <c r="H27" s="2">
        <v>1817</v>
      </c>
      <c r="I27" s="2">
        <v>1829</v>
      </c>
      <c r="J27" s="2">
        <v>1839</v>
      </c>
      <c r="K27" s="2">
        <v>1847</v>
      </c>
      <c r="L27" s="2">
        <v>1828</v>
      </c>
      <c r="M27" s="2">
        <v>1813</v>
      </c>
      <c r="N27" s="2">
        <v>1835</v>
      </c>
      <c r="O27" s="2">
        <v>1835</v>
      </c>
      <c r="P27" s="2">
        <v>1835</v>
      </c>
      <c r="Q27" s="2">
        <v>1835</v>
      </c>
      <c r="R27" s="2">
        <v>1835</v>
      </c>
      <c r="S27" s="2">
        <v>1835</v>
      </c>
      <c r="T27" s="2">
        <v>1835</v>
      </c>
      <c r="U27" s="2">
        <v>1835</v>
      </c>
      <c r="V27" s="2">
        <v>1835</v>
      </c>
      <c r="W27" s="2">
        <v>1835</v>
      </c>
    </row>
    <row r="28" spans="1:23" x14ac:dyDescent="0.35">
      <c r="A28" s="2" t="s">
        <v>676</v>
      </c>
      <c r="B28" s="2">
        <v>1833</v>
      </c>
      <c r="C28" s="2">
        <v>1841</v>
      </c>
      <c r="D28" s="2">
        <v>1854</v>
      </c>
      <c r="E28" s="2">
        <v>1863</v>
      </c>
      <c r="F28" s="2">
        <v>1875</v>
      </c>
      <c r="G28" s="2">
        <v>1885</v>
      </c>
      <c r="H28" s="2">
        <v>1868</v>
      </c>
      <c r="I28" s="2">
        <v>1879</v>
      </c>
      <c r="J28" s="2">
        <v>1864</v>
      </c>
      <c r="K28" s="2">
        <v>1850</v>
      </c>
      <c r="L28" s="2">
        <v>1837</v>
      </c>
      <c r="M28" s="2">
        <v>1848</v>
      </c>
      <c r="N28" s="2">
        <v>1834</v>
      </c>
      <c r="O28" s="2">
        <v>1834</v>
      </c>
      <c r="P28" s="2">
        <v>1834</v>
      </c>
      <c r="Q28" s="2">
        <v>1834</v>
      </c>
      <c r="R28" s="2">
        <v>1834</v>
      </c>
      <c r="S28" s="2">
        <v>1834</v>
      </c>
      <c r="T28" s="2">
        <v>1834</v>
      </c>
      <c r="U28" s="2">
        <v>1834</v>
      </c>
      <c r="V28" s="2">
        <v>1834</v>
      </c>
      <c r="W28" s="2">
        <v>1834</v>
      </c>
    </row>
    <row r="29" spans="1:23" x14ac:dyDescent="0.35">
      <c r="A29" s="2" t="s">
        <v>661</v>
      </c>
      <c r="B29" s="2">
        <v>1784</v>
      </c>
      <c r="C29" s="2">
        <v>1770</v>
      </c>
      <c r="D29" s="2">
        <v>1784</v>
      </c>
      <c r="E29" s="2">
        <v>1793</v>
      </c>
      <c r="F29" s="2">
        <v>1786</v>
      </c>
      <c r="G29" s="2">
        <v>1798</v>
      </c>
      <c r="H29" s="2">
        <v>1776</v>
      </c>
      <c r="I29" s="2">
        <v>1787</v>
      </c>
      <c r="J29" s="2">
        <v>1802</v>
      </c>
      <c r="K29" s="2">
        <v>1790</v>
      </c>
      <c r="L29" s="2">
        <v>1809</v>
      </c>
      <c r="M29" s="2">
        <v>1822</v>
      </c>
      <c r="N29" s="2">
        <v>1832</v>
      </c>
      <c r="O29" s="2">
        <v>1832</v>
      </c>
      <c r="P29" s="2">
        <v>1832</v>
      </c>
      <c r="Q29" s="2">
        <v>1832</v>
      </c>
      <c r="R29" s="2">
        <v>1832</v>
      </c>
      <c r="S29" s="2">
        <v>1832</v>
      </c>
      <c r="T29" s="2">
        <v>1832</v>
      </c>
      <c r="U29" s="2">
        <v>1832</v>
      </c>
      <c r="V29" s="2">
        <v>1832</v>
      </c>
      <c r="W29" s="2">
        <v>1832</v>
      </c>
    </row>
    <row r="30" spans="1:23" x14ac:dyDescent="0.35">
      <c r="A30" s="2" t="s">
        <v>778</v>
      </c>
      <c r="B30" s="2">
        <v>1815</v>
      </c>
      <c r="C30" s="2">
        <v>1825</v>
      </c>
      <c r="D30" s="2">
        <v>1836</v>
      </c>
      <c r="E30" s="2">
        <v>1825</v>
      </c>
      <c r="F30" s="2">
        <v>1843</v>
      </c>
      <c r="G30" s="2">
        <v>1826</v>
      </c>
      <c r="H30" s="2">
        <v>1813</v>
      </c>
      <c r="I30" s="2">
        <v>1825</v>
      </c>
      <c r="J30" s="2">
        <v>1806</v>
      </c>
      <c r="K30" s="2">
        <v>1791</v>
      </c>
      <c r="L30" s="2">
        <v>1806</v>
      </c>
      <c r="M30" s="2">
        <v>1815</v>
      </c>
      <c r="N30" s="2">
        <v>1826</v>
      </c>
      <c r="O30" s="2">
        <v>1826</v>
      </c>
      <c r="P30" s="2">
        <v>1826</v>
      </c>
      <c r="Q30" s="2">
        <v>1826</v>
      </c>
      <c r="R30" s="2">
        <v>1826</v>
      </c>
      <c r="S30" s="2">
        <v>1826</v>
      </c>
      <c r="T30" s="2">
        <v>1826</v>
      </c>
      <c r="U30" s="2">
        <v>1826</v>
      </c>
      <c r="V30" s="2">
        <v>1826</v>
      </c>
      <c r="W30" s="2">
        <v>1826</v>
      </c>
    </row>
    <row r="31" spans="1:23" x14ac:dyDescent="0.35">
      <c r="A31" s="2" t="s">
        <v>673</v>
      </c>
      <c r="B31" s="2">
        <v>1899</v>
      </c>
      <c r="C31" s="2">
        <v>1883</v>
      </c>
      <c r="D31" s="2">
        <v>1859</v>
      </c>
      <c r="E31" s="2">
        <v>1873</v>
      </c>
      <c r="F31" s="2">
        <v>1857</v>
      </c>
      <c r="G31" s="2">
        <v>1870</v>
      </c>
      <c r="H31" s="2">
        <v>1855</v>
      </c>
      <c r="I31" s="2">
        <v>1840</v>
      </c>
      <c r="J31" s="2">
        <v>1826</v>
      </c>
      <c r="K31" s="2">
        <v>1813</v>
      </c>
      <c r="L31" s="2">
        <v>1798</v>
      </c>
      <c r="M31" s="2">
        <v>1810</v>
      </c>
      <c r="N31" s="2">
        <v>1823</v>
      </c>
      <c r="O31" s="2">
        <v>1823</v>
      </c>
      <c r="P31" s="2">
        <v>1823</v>
      </c>
      <c r="Q31" s="2">
        <v>1823</v>
      </c>
      <c r="R31" s="2">
        <v>1823</v>
      </c>
      <c r="S31" s="2">
        <v>1823</v>
      </c>
      <c r="T31" s="2">
        <v>1823</v>
      </c>
      <c r="U31" s="2">
        <v>1823</v>
      </c>
      <c r="V31" s="2">
        <v>1823</v>
      </c>
      <c r="W31" s="2">
        <v>1823</v>
      </c>
    </row>
    <row r="32" spans="1:23" x14ac:dyDescent="0.35">
      <c r="A32" s="1" t="s">
        <v>681</v>
      </c>
      <c r="B32" s="2">
        <v>1800</v>
      </c>
      <c r="C32" s="2">
        <v>1813</v>
      </c>
      <c r="D32" s="2">
        <v>1828</v>
      </c>
      <c r="E32" s="2">
        <v>1839</v>
      </c>
      <c r="F32" s="2">
        <v>1852</v>
      </c>
      <c r="G32" s="2">
        <v>1842</v>
      </c>
      <c r="H32" s="2">
        <v>1825</v>
      </c>
      <c r="I32" s="2">
        <v>1816</v>
      </c>
      <c r="J32" s="2">
        <v>1827</v>
      </c>
      <c r="K32" s="2">
        <v>1811</v>
      </c>
      <c r="L32" s="2">
        <v>1796</v>
      </c>
      <c r="M32" s="2">
        <v>1808</v>
      </c>
      <c r="N32" s="2">
        <v>1823</v>
      </c>
      <c r="O32" s="2">
        <v>1847</v>
      </c>
      <c r="P32" s="2">
        <v>1882</v>
      </c>
      <c r="Q32" s="2">
        <v>1858</v>
      </c>
      <c r="R32" s="2">
        <v>1838</v>
      </c>
      <c r="S32" s="2">
        <v>1821</v>
      </c>
      <c r="T32" s="2">
        <v>1821</v>
      </c>
      <c r="U32" s="2">
        <v>1821</v>
      </c>
      <c r="V32" s="2">
        <v>1821</v>
      </c>
      <c r="W32" s="2">
        <v>1821</v>
      </c>
    </row>
    <row r="33" spans="1:23" x14ac:dyDescent="0.35">
      <c r="A33" s="2" t="s">
        <v>784</v>
      </c>
      <c r="B33" s="2">
        <v>1854</v>
      </c>
      <c r="C33" s="2">
        <v>1835</v>
      </c>
      <c r="D33" s="2">
        <v>1820</v>
      </c>
      <c r="E33" s="2">
        <v>1807</v>
      </c>
      <c r="F33" s="2">
        <v>1792</v>
      </c>
      <c r="G33" s="2">
        <v>1780</v>
      </c>
      <c r="H33" s="2">
        <v>1793</v>
      </c>
      <c r="I33" s="2">
        <v>1803</v>
      </c>
      <c r="J33" s="2">
        <v>1818</v>
      </c>
      <c r="K33" s="2">
        <v>1832</v>
      </c>
      <c r="L33" s="2">
        <v>1816</v>
      </c>
      <c r="M33" s="2">
        <v>1829</v>
      </c>
      <c r="N33" s="2">
        <v>1820</v>
      </c>
      <c r="O33" s="2">
        <v>1820</v>
      </c>
      <c r="P33" s="2">
        <v>1820</v>
      </c>
      <c r="Q33" s="2">
        <v>1820</v>
      </c>
      <c r="R33" s="2">
        <v>1820</v>
      </c>
      <c r="S33" s="2">
        <v>1820</v>
      </c>
      <c r="T33" s="2">
        <v>1820</v>
      </c>
      <c r="U33" s="2">
        <v>1820</v>
      </c>
      <c r="V33" s="2">
        <v>1820</v>
      </c>
      <c r="W33" s="2">
        <v>1820</v>
      </c>
    </row>
    <row r="34" spans="1:23" x14ac:dyDescent="0.35">
      <c r="A34" s="2" t="s">
        <v>765</v>
      </c>
      <c r="B34" s="2">
        <v>1812</v>
      </c>
      <c r="C34" s="2">
        <v>1824</v>
      </c>
      <c r="D34" s="2">
        <v>1833</v>
      </c>
      <c r="E34" s="2">
        <v>1822</v>
      </c>
      <c r="F34" s="2">
        <v>1834</v>
      </c>
      <c r="G34" s="2">
        <v>1844</v>
      </c>
      <c r="H34" s="2">
        <v>1829</v>
      </c>
      <c r="I34" s="2">
        <v>1812</v>
      </c>
      <c r="J34" s="2">
        <v>1819</v>
      </c>
      <c r="K34" s="2">
        <v>1804</v>
      </c>
      <c r="L34" s="2">
        <v>1813</v>
      </c>
      <c r="M34" s="2">
        <v>1800</v>
      </c>
      <c r="N34" s="2">
        <v>1819</v>
      </c>
      <c r="O34" s="2">
        <v>1819</v>
      </c>
      <c r="P34" s="2">
        <v>1819</v>
      </c>
      <c r="Q34" s="2">
        <v>1819</v>
      </c>
      <c r="R34" s="2">
        <v>1819</v>
      </c>
      <c r="S34" s="2">
        <v>1819</v>
      </c>
      <c r="T34" s="2">
        <v>1819</v>
      </c>
      <c r="U34" s="2">
        <v>1819</v>
      </c>
      <c r="V34" s="2">
        <v>1819</v>
      </c>
      <c r="W34" s="2">
        <v>1819</v>
      </c>
    </row>
    <row r="35" spans="1:23" x14ac:dyDescent="0.35">
      <c r="A35" s="2" t="s">
        <v>641</v>
      </c>
      <c r="B35" s="2">
        <v>1821</v>
      </c>
      <c r="C35" s="2">
        <v>1833</v>
      </c>
      <c r="D35" s="2">
        <v>1842</v>
      </c>
      <c r="E35" s="2">
        <v>1823</v>
      </c>
      <c r="F35" s="2">
        <v>1811</v>
      </c>
      <c r="G35" s="2">
        <v>1796</v>
      </c>
      <c r="H35" s="2">
        <v>1784</v>
      </c>
      <c r="I35" s="2">
        <v>1773</v>
      </c>
      <c r="J35" s="2">
        <v>1783</v>
      </c>
      <c r="K35" s="2">
        <v>1802</v>
      </c>
      <c r="L35" s="2">
        <v>1787</v>
      </c>
      <c r="M35" s="2">
        <v>1797</v>
      </c>
      <c r="N35" s="2">
        <v>1815</v>
      </c>
      <c r="O35" s="2">
        <v>1815</v>
      </c>
      <c r="P35" s="2">
        <v>1815</v>
      </c>
      <c r="Q35" s="2">
        <v>1815</v>
      </c>
      <c r="R35" s="2">
        <v>1815</v>
      </c>
      <c r="S35" s="2">
        <v>1815</v>
      </c>
      <c r="T35" s="2">
        <v>1815</v>
      </c>
      <c r="U35" s="2">
        <v>1815</v>
      </c>
      <c r="V35" s="2">
        <v>1815</v>
      </c>
      <c r="W35" s="2">
        <v>1815</v>
      </c>
    </row>
    <row r="36" spans="1:23" x14ac:dyDescent="0.35">
      <c r="A36" s="2" t="s">
        <v>692</v>
      </c>
      <c r="B36" s="2">
        <v>1781</v>
      </c>
      <c r="C36" s="2">
        <v>1762</v>
      </c>
      <c r="D36" s="2">
        <v>1779</v>
      </c>
      <c r="E36" s="2">
        <v>1765</v>
      </c>
      <c r="F36" s="2">
        <v>1754</v>
      </c>
      <c r="G36" s="2">
        <v>1744</v>
      </c>
      <c r="H36" s="2">
        <v>1729</v>
      </c>
      <c r="I36" s="2">
        <v>1743</v>
      </c>
      <c r="J36" s="2">
        <v>1756</v>
      </c>
      <c r="K36" s="2">
        <v>1772</v>
      </c>
      <c r="L36" s="2">
        <v>1785</v>
      </c>
      <c r="M36" s="2">
        <v>1800</v>
      </c>
      <c r="N36" s="2">
        <v>1812</v>
      </c>
      <c r="O36" s="2">
        <v>1812</v>
      </c>
      <c r="P36" s="2">
        <v>1812</v>
      </c>
      <c r="Q36" s="2">
        <v>1812</v>
      </c>
      <c r="R36" s="2">
        <v>1812</v>
      </c>
      <c r="S36" s="2">
        <v>1812</v>
      </c>
      <c r="T36" s="2">
        <v>1812</v>
      </c>
      <c r="U36" s="2">
        <v>1812</v>
      </c>
      <c r="V36" s="2">
        <v>1812</v>
      </c>
      <c r="W36" s="2">
        <v>1812</v>
      </c>
    </row>
    <row r="37" spans="1:23" x14ac:dyDescent="0.35">
      <c r="A37" s="2" t="s">
        <v>704</v>
      </c>
      <c r="B37" s="2">
        <v>1828</v>
      </c>
      <c r="C37" s="2">
        <v>1839</v>
      </c>
      <c r="D37" s="2">
        <v>1823</v>
      </c>
      <c r="E37" s="2">
        <v>1809</v>
      </c>
      <c r="F37" s="2">
        <v>1825</v>
      </c>
      <c r="G37" s="2">
        <v>1808</v>
      </c>
      <c r="H37" s="2">
        <v>1794</v>
      </c>
      <c r="I37" s="2">
        <v>1806</v>
      </c>
      <c r="J37" s="2">
        <v>1788</v>
      </c>
      <c r="K37" s="2">
        <v>1800</v>
      </c>
      <c r="L37" s="2">
        <v>1787</v>
      </c>
      <c r="M37" s="2">
        <v>1796</v>
      </c>
      <c r="N37" s="2">
        <v>1810</v>
      </c>
      <c r="O37" s="2">
        <v>1810</v>
      </c>
      <c r="P37" s="2">
        <v>1810</v>
      </c>
      <c r="Q37" s="2">
        <v>1810</v>
      </c>
      <c r="R37" s="2">
        <v>1810</v>
      </c>
      <c r="S37" s="2">
        <v>1810</v>
      </c>
      <c r="T37" s="2">
        <v>1810</v>
      </c>
      <c r="U37" s="2">
        <v>1810</v>
      </c>
      <c r="V37" s="2">
        <v>1810</v>
      </c>
      <c r="W37" s="2">
        <v>1810</v>
      </c>
    </row>
    <row r="38" spans="1:23" x14ac:dyDescent="0.35">
      <c r="A38" t="s">
        <v>666</v>
      </c>
      <c r="B38" s="2">
        <v>1800</v>
      </c>
      <c r="C38" s="2">
        <v>1813</v>
      </c>
      <c r="D38" s="2">
        <v>1826</v>
      </c>
      <c r="E38" s="2">
        <v>1814</v>
      </c>
      <c r="F38" s="2">
        <v>1804</v>
      </c>
      <c r="G38" s="2">
        <v>1819</v>
      </c>
      <c r="H38" s="2">
        <v>1801</v>
      </c>
      <c r="I38" s="2">
        <v>1815</v>
      </c>
      <c r="J38" s="2">
        <v>1803</v>
      </c>
      <c r="K38" s="2">
        <v>1792</v>
      </c>
      <c r="L38" s="2">
        <v>1810</v>
      </c>
      <c r="M38" s="2">
        <v>1822</v>
      </c>
      <c r="N38" s="2">
        <v>1808</v>
      </c>
      <c r="O38" s="2">
        <v>1808</v>
      </c>
      <c r="P38" s="2">
        <v>1808</v>
      </c>
      <c r="Q38" s="2">
        <v>1808</v>
      </c>
      <c r="R38" s="2">
        <v>1808</v>
      </c>
      <c r="S38" s="2">
        <v>1808</v>
      </c>
      <c r="T38" s="2">
        <v>1808</v>
      </c>
      <c r="U38" s="2">
        <v>1808</v>
      </c>
      <c r="V38" s="2">
        <v>1808</v>
      </c>
      <c r="W38" s="2">
        <v>1808</v>
      </c>
    </row>
    <row r="39" spans="1:23" x14ac:dyDescent="0.35">
      <c r="A39" s="2" t="s">
        <v>783</v>
      </c>
      <c r="B39" s="2">
        <v>1794</v>
      </c>
      <c r="C39" s="2">
        <v>1808</v>
      </c>
      <c r="D39" s="2">
        <v>1819</v>
      </c>
      <c r="E39" s="2">
        <v>1812</v>
      </c>
      <c r="F39" s="2">
        <v>1821</v>
      </c>
      <c r="G39" s="2">
        <v>1807</v>
      </c>
      <c r="H39" s="2">
        <v>1820</v>
      </c>
      <c r="I39" s="2">
        <v>1830</v>
      </c>
      <c r="J39" s="2">
        <v>1811</v>
      </c>
      <c r="K39" s="2">
        <v>1823</v>
      </c>
      <c r="L39" s="2">
        <v>1807</v>
      </c>
      <c r="M39" s="2">
        <v>1818</v>
      </c>
      <c r="N39" s="2">
        <v>1807</v>
      </c>
      <c r="O39" s="2">
        <v>1807</v>
      </c>
      <c r="P39" s="2">
        <v>1807</v>
      </c>
      <c r="Q39" s="2">
        <v>1807</v>
      </c>
      <c r="R39" s="2">
        <v>1807</v>
      </c>
      <c r="S39" s="2">
        <v>1807</v>
      </c>
      <c r="T39" s="2">
        <v>1807</v>
      </c>
      <c r="U39" s="2">
        <v>1807</v>
      </c>
      <c r="V39" s="2">
        <v>1807</v>
      </c>
      <c r="W39" s="2">
        <v>1807</v>
      </c>
    </row>
    <row r="40" spans="1:23" x14ac:dyDescent="0.35">
      <c r="A40" s="2" t="s">
        <v>713</v>
      </c>
      <c r="B40" s="2">
        <v>1793</v>
      </c>
      <c r="C40" s="2">
        <v>1812</v>
      </c>
      <c r="D40" s="2">
        <v>1822</v>
      </c>
      <c r="E40" s="2">
        <v>1833</v>
      </c>
      <c r="F40" s="2">
        <v>1842</v>
      </c>
      <c r="G40" s="2">
        <v>1826</v>
      </c>
      <c r="H40" s="2">
        <v>1840</v>
      </c>
      <c r="I40" s="2">
        <v>1825</v>
      </c>
      <c r="J40" s="2">
        <v>1812</v>
      </c>
      <c r="K40" s="2">
        <v>1826</v>
      </c>
      <c r="L40" s="2">
        <v>1835</v>
      </c>
      <c r="M40" s="2">
        <v>1819</v>
      </c>
      <c r="N40" s="2">
        <v>1806</v>
      </c>
      <c r="O40" s="2">
        <v>1806</v>
      </c>
      <c r="P40" s="2">
        <v>1806</v>
      </c>
      <c r="Q40" s="2">
        <v>1806</v>
      </c>
      <c r="R40" s="2">
        <v>1806</v>
      </c>
      <c r="S40" s="2">
        <v>1806</v>
      </c>
      <c r="T40" s="2">
        <v>1806</v>
      </c>
      <c r="U40" s="2">
        <v>1806</v>
      </c>
      <c r="V40" s="2">
        <v>1806</v>
      </c>
      <c r="W40" s="2">
        <v>1806</v>
      </c>
    </row>
    <row r="41" spans="1:23" x14ac:dyDescent="0.35">
      <c r="A41" s="2" t="s">
        <v>743</v>
      </c>
      <c r="B41" s="2">
        <v>1872</v>
      </c>
      <c r="C41" s="2">
        <v>1883</v>
      </c>
      <c r="D41" s="2">
        <v>1866</v>
      </c>
      <c r="E41" s="2">
        <v>1853</v>
      </c>
      <c r="F41" s="2">
        <v>1839</v>
      </c>
      <c r="G41" s="2">
        <v>1816</v>
      </c>
      <c r="H41" s="2">
        <v>1827</v>
      </c>
      <c r="I41" s="2">
        <v>1811</v>
      </c>
      <c r="J41" s="2">
        <v>1796</v>
      </c>
      <c r="K41" s="2">
        <v>1787</v>
      </c>
      <c r="L41" s="2">
        <v>1774</v>
      </c>
      <c r="M41" s="2">
        <v>1787</v>
      </c>
      <c r="N41" s="2">
        <v>1805</v>
      </c>
      <c r="O41" s="2">
        <v>1805</v>
      </c>
      <c r="P41" s="2">
        <v>1805</v>
      </c>
      <c r="Q41" s="2">
        <v>1805</v>
      </c>
      <c r="R41" s="2">
        <v>1805</v>
      </c>
      <c r="S41" s="2">
        <v>1805</v>
      </c>
      <c r="T41" s="2">
        <v>1805</v>
      </c>
      <c r="U41" s="2">
        <v>1805</v>
      </c>
      <c r="V41" s="2">
        <v>1805</v>
      </c>
      <c r="W41" s="2">
        <v>1805</v>
      </c>
    </row>
    <row r="42" spans="1:23" x14ac:dyDescent="0.35">
      <c r="A42" s="2" t="s">
        <v>751</v>
      </c>
      <c r="B42" s="2">
        <v>1875</v>
      </c>
      <c r="C42" s="2">
        <v>1884</v>
      </c>
      <c r="D42" s="2">
        <v>1866</v>
      </c>
      <c r="E42" s="2">
        <v>1849</v>
      </c>
      <c r="F42" s="2">
        <v>1858</v>
      </c>
      <c r="G42" s="2">
        <v>1838</v>
      </c>
      <c r="H42" s="2">
        <v>1850</v>
      </c>
      <c r="I42" s="2">
        <v>1859</v>
      </c>
      <c r="J42" s="2">
        <v>1867</v>
      </c>
      <c r="K42" s="2">
        <v>1856</v>
      </c>
      <c r="L42" s="2">
        <v>1838</v>
      </c>
      <c r="M42" s="2">
        <v>1816</v>
      </c>
      <c r="N42" s="2">
        <v>1804</v>
      </c>
      <c r="O42" s="2">
        <v>1804</v>
      </c>
      <c r="P42" s="2">
        <v>1804</v>
      </c>
      <c r="Q42" s="2">
        <v>1804</v>
      </c>
      <c r="R42" s="2">
        <v>1804</v>
      </c>
      <c r="S42" s="2">
        <v>1804</v>
      </c>
      <c r="T42" s="2">
        <v>1804</v>
      </c>
      <c r="U42" s="2">
        <v>1804</v>
      </c>
      <c r="V42" s="2">
        <v>1804</v>
      </c>
      <c r="W42" s="2">
        <v>1804</v>
      </c>
    </row>
    <row r="43" spans="1:23" x14ac:dyDescent="0.35">
      <c r="A43" s="2" t="s">
        <v>764</v>
      </c>
      <c r="B43" s="2">
        <v>1801</v>
      </c>
      <c r="C43" s="2">
        <v>1786</v>
      </c>
      <c r="D43" s="2">
        <v>1796</v>
      </c>
      <c r="E43" s="2">
        <v>1811</v>
      </c>
      <c r="F43" s="2">
        <v>1823</v>
      </c>
      <c r="G43" s="2">
        <v>1836</v>
      </c>
      <c r="H43" s="2">
        <v>1824</v>
      </c>
      <c r="I43" s="2">
        <v>1835</v>
      </c>
      <c r="J43" s="2">
        <v>1822</v>
      </c>
      <c r="K43" s="2">
        <v>1813</v>
      </c>
      <c r="L43" s="2">
        <v>1827</v>
      </c>
      <c r="M43" s="2">
        <v>1813</v>
      </c>
      <c r="N43" s="2">
        <v>1804</v>
      </c>
      <c r="O43" s="2">
        <v>1804</v>
      </c>
      <c r="P43" s="2">
        <v>1804</v>
      </c>
      <c r="Q43" s="2">
        <v>1804</v>
      </c>
      <c r="R43" s="2">
        <v>1804</v>
      </c>
      <c r="S43" s="2">
        <v>1804</v>
      </c>
      <c r="T43" s="2">
        <v>1804</v>
      </c>
      <c r="U43" s="2">
        <v>1804</v>
      </c>
      <c r="V43" s="2">
        <v>1804</v>
      </c>
      <c r="W43" s="2">
        <v>1804</v>
      </c>
    </row>
    <row r="44" spans="1:23" x14ac:dyDescent="0.35">
      <c r="A44" s="2" t="s">
        <v>776</v>
      </c>
      <c r="B44" s="2">
        <v>1874</v>
      </c>
      <c r="C44" s="2">
        <v>1884</v>
      </c>
      <c r="D44" s="2">
        <v>1896</v>
      </c>
      <c r="E44" s="2">
        <v>1881</v>
      </c>
      <c r="F44" s="2">
        <v>1866</v>
      </c>
      <c r="G44" s="2">
        <v>1853</v>
      </c>
      <c r="H44" s="2">
        <v>1837</v>
      </c>
      <c r="I44" s="2">
        <v>1823</v>
      </c>
      <c r="J44" s="2">
        <v>1834</v>
      </c>
      <c r="K44" s="2">
        <v>1820</v>
      </c>
      <c r="L44" s="2">
        <v>1806</v>
      </c>
      <c r="M44" s="2">
        <v>1814</v>
      </c>
      <c r="N44" s="2">
        <v>1803</v>
      </c>
      <c r="O44" s="2">
        <v>1803</v>
      </c>
      <c r="P44" s="2">
        <v>1803</v>
      </c>
      <c r="Q44" s="2">
        <v>1803</v>
      </c>
      <c r="R44" s="2">
        <v>1803</v>
      </c>
      <c r="S44" s="2">
        <v>1803</v>
      </c>
      <c r="T44" s="2">
        <v>1803</v>
      </c>
      <c r="U44" s="2">
        <v>1803</v>
      </c>
      <c r="V44" s="2">
        <v>1803</v>
      </c>
      <c r="W44" s="2">
        <v>1803</v>
      </c>
    </row>
    <row r="45" spans="1:23" x14ac:dyDescent="0.35">
      <c r="A45" s="2" t="s">
        <v>647</v>
      </c>
      <c r="B45" s="2">
        <v>1790</v>
      </c>
      <c r="C45" s="2">
        <v>1805</v>
      </c>
      <c r="D45" s="2">
        <v>1791</v>
      </c>
      <c r="E45" s="2">
        <v>1779</v>
      </c>
      <c r="F45" s="2">
        <v>1794</v>
      </c>
      <c r="G45" s="2">
        <v>1810</v>
      </c>
      <c r="H45" s="2">
        <v>1821</v>
      </c>
      <c r="I45" s="2">
        <v>1834</v>
      </c>
      <c r="J45" s="2">
        <v>1853</v>
      </c>
      <c r="K45" s="2">
        <v>1861</v>
      </c>
      <c r="L45" s="2">
        <v>1846</v>
      </c>
      <c r="M45" s="2">
        <v>1830</v>
      </c>
      <c r="N45" s="2">
        <v>1815</v>
      </c>
      <c r="O45" s="2">
        <v>1802</v>
      </c>
      <c r="P45" s="2">
        <v>1802</v>
      </c>
      <c r="Q45" s="2">
        <v>1802</v>
      </c>
      <c r="R45" s="2">
        <v>1802</v>
      </c>
      <c r="S45" s="2">
        <v>1802</v>
      </c>
      <c r="T45" s="2">
        <v>1802</v>
      </c>
      <c r="U45" s="2">
        <v>1802</v>
      </c>
      <c r="V45" s="2">
        <v>1802</v>
      </c>
      <c r="W45" s="2">
        <v>1802</v>
      </c>
    </row>
    <row r="46" spans="1:23" x14ac:dyDescent="0.35">
      <c r="A46" s="2" t="s">
        <v>650</v>
      </c>
      <c r="B46" s="2">
        <v>1804</v>
      </c>
      <c r="C46" s="2">
        <v>1792</v>
      </c>
      <c r="D46" s="2">
        <v>1779</v>
      </c>
      <c r="E46" s="2">
        <v>1755</v>
      </c>
      <c r="F46" s="2">
        <v>1770</v>
      </c>
      <c r="G46" s="2">
        <v>1787</v>
      </c>
      <c r="H46" s="2">
        <v>1801</v>
      </c>
      <c r="I46" s="2">
        <v>1817</v>
      </c>
      <c r="J46" s="2">
        <v>1802</v>
      </c>
      <c r="K46" s="2">
        <v>1783</v>
      </c>
      <c r="L46" s="2">
        <v>1795</v>
      </c>
      <c r="M46" s="2">
        <v>1812</v>
      </c>
      <c r="N46" s="2">
        <v>1802</v>
      </c>
      <c r="O46" s="2">
        <v>1802</v>
      </c>
      <c r="P46" s="2">
        <v>1802</v>
      </c>
      <c r="Q46" s="2">
        <v>1802</v>
      </c>
      <c r="R46" s="2">
        <v>1802</v>
      </c>
      <c r="S46" s="2">
        <v>1802</v>
      </c>
      <c r="T46" s="2">
        <v>1802</v>
      </c>
      <c r="U46" s="2">
        <v>1802</v>
      </c>
      <c r="V46" s="2">
        <v>1802</v>
      </c>
      <c r="W46" s="2">
        <v>1802</v>
      </c>
    </row>
    <row r="47" spans="1:23" x14ac:dyDescent="0.35">
      <c r="A47" t="s">
        <v>651</v>
      </c>
      <c r="B47" s="2">
        <v>1800</v>
      </c>
      <c r="C47" s="2">
        <v>1787</v>
      </c>
      <c r="D47" s="2">
        <v>1800</v>
      </c>
      <c r="E47" s="2">
        <v>1789</v>
      </c>
      <c r="F47" s="2">
        <v>1801</v>
      </c>
      <c r="G47" s="2">
        <v>1787</v>
      </c>
      <c r="H47" s="2">
        <v>1799</v>
      </c>
      <c r="I47" s="2">
        <v>1808</v>
      </c>
      <c r="J47" s="2">
        <v>1797</v>
      </c>
      <c r="K47" s="2">
        <v>1808</v>
      </c>
      <c r="L47" s="2">
        <v>1794</v>
      </c>
      <c r="M47" s="2">
        <v>1810</v>
      </c>
      <c r="N47" s="2">
        <v>1800</v>
      </c>
      <c r="O47" s="2">
        <v>1800</v>
      </c>
      <c r="P47" s="2">
        <v>1800</v>
      </c>
      <c r="Q47" s="2">
        <v>1800</v>
      </c>
      <c r="R47" s="2">
        <v>1800</v>
      </c>
      <c r="S47" s="2">
        <v>1800</v>
      </c>
      <c r="T47" s="2">
        <v>1800</v>
      </c>
      <c r="U47" s="2">
        <v>1800</v>
      </c>
      <c r="V47" s="2">
        <v>1800</v>
      </c>
      <c r="W47" s="2">
        <v>1800</v>
      </c>
    </row>
    <row r="48" spans="1:23" x14ac:dyDescent="0.35">
      <c r="A48" s="2" t="s">
        <v>640</v>
      </c>
      <c r="B48" s="2">
        <v>1748</v>
      </c>
      <c r="C48" s="2">
        <v>1737</v>
      </c>
      <c r="D48" s="2">
        <v>1752</v>
      </c>
      <c r="E48" s="2">
        <v>1767</v>
      </c>
      <c r="F48" s="2">
        <v>1758</v>
      </c>
      <c r="G48" s="2">
        <v>1746</v>
      </c>
      <c r="H48" s="2">
        <v>1759</v>
      </c>
      <c r="I48" s="2">
        <v>1746</v>
      </c>
      <c r="J48" s="2">
        <v>1761</v>
      </c>
      <c r="K48" s="2">
        <v>1773</v>
      </c>
      <c r="L48" s="2">
        <v>1785</v>
      </c>
      <c r="M48" s="2">
        <v>1808</v>
      </c>
      <c r="N48" s="2">
        <v>1793</v>
      </c>
      <c r="O48" s="2">
        <v>1793</v>
      </c>
      <c r="P48" s="2">
        <v>1793</v>
      </c>
      <c r="Q48" s="2">
        <v>1793</v>
      </c>
      <c r="R48" s="2">
        <v>1793</v>
      </c>
      <c r="S48" s="2">
        <v>1793</v>
      </c>
      <c r="T48" s="2">
        <v>1793</v>
      </c>
      <c r="U48" s="2">
        <v>1793</v>
      </c>
      <c r="V48" s="2">
        <v>1793</v>
      </c>
      <c r="W48" s="2">
        <v>1793</v>
      </c>
    </row>
    <row r="49" spans="1:23" x14ac:dyDescent="0.35">
      <c r="A49" s="2" t="s">
        <v>738</v>
      </c>
      <c r="B49" s="2">
        <v>1784</v>
      </c>
      <c r="C49" s="2">
        <v>1795</v>
      </c>
      <c r="D49" s="2">
        <v>1785</v>
      </c>
      <c r="E49" s="2">
        <v>1770</v>
      </c>
      <c r="F49" s="2">
        <v>1758</v>
      </c>
      <c r="G49" s="2">
        <v>1776</v>
      </c>
      <c r="H49" s="2">
        <v>1788</v>
      </c>
      <c r="I49" s="2">
        <v>1780</v>
      </c>
      <c r="J49" s="2">
        <v>1794</v>
      </c>
      <c r="K49" s="2">
        <v>1777</v>
      </c>
      <c r="L49" s="2">
        <v>1792</v>
      </c>
      <c r="M49" s="2">
        <v>1806</v>
      </c>
      <c r="N49" s="2">
        <v>1791</v>
      </c>
      <c r="O49" s="2">
        <v>1791</v>
      </c>
      <c r="P49" s="2">
        <v>1791</v>
      </c>
      <c r="Q49" s="2">
        <v>1791</v>
      </c>
      <c r="R49" s="2">
        <v>1791</v>
      </c>
      <c r="S49" s="2">
        <v>1791</v>
      </c>
      <c r="T49" s="2">
        <v>1791</v>
      </c>
      <c r="U49" s="2">
        <v>1791</v>
      </c>
      <c r="V49" s="2">
        <v>1791</v>
      </c>
      <c r="W49" s="2">
        <v>1791</v>
      </c>
    </row>
    <row r="50" spans="1:23" x14ac:dyDescent="0.35">
      <c r="A50" t="s">
        <v>1161</v>
      </c>
      <c r="B50" s="2">
        <v>1800</v>
      </c>
      <c r="C50" s="2">
        <v>1788</v>
      </c>
      <c r="D50" s="2">
        <v>1799</v>
      </c>
      <c r="E50" s="2">
        <v>1811</v>
      </c>
      <c r="F50" s="2">
        <v>1799</v>
      </c>
      <c r="G50" s="2">
        <v>1787</v>
      </c>
      <c r="H50" s="2">
        <v>1777</v>
      </c>
      <c r="I50" s="2">
        <v>1767</v>
      </c>
      <c r="J50" s="2">
        <v>1778</v>
      </c>
      <c r="K50" s="2">
        <v>1794</v>
      </c>
      <c r="L50" s="2">
        <v>1784</v>
      </c>
      <c r="M50" s="2">
        <v>1773</v>
      </c>
      <c r="N50" s="2">
        <v>1791</v>
      </c>
      <c r="O50" s="2">
        <v>1791</v>
      </c>
      <c r="P50" s="2">
        <v>1791</v>
      </c>
      <c r="Q50" s="2">
        <v>1791</v>
      </c>
      <c r="R50" s="2">
        <v>1791</v>
      </c>
      <c r="S50" s="2">
        <v>1791</v>
      </c>
      <c r="T50" s="2">
        <v>1791</v>
      </c>
      <c r="U50" s="2">
        <v>1791</v>
      </c>
      <c r="V50" s="2">
        <v>1791</v>
      </c>
      <c r="W50" s="2">
        <v>1791</v>
      </c>
    </row>
    <row r="51" spans="1:23" x14ac:dyDescent="0.35">
      <c r="A51" s="2" t="s">
        <v>679</v>
      </c>
      <c r="B51" s="2">
        <v>1732</v>
      </c>
      <c r="C51" s="2">
        <v>1724</v>
      </c>
      <c r="D51" s="2">
        <v>1748</v>
      </c>
      <c r="E51" s="2">
        <v>1764</v>
      </c>
      <c r="F51" s="2">
        <v>1752</v>
      </c>
      <c r="G51" s="2">
        <v>1766</v>
      </c>
      <c r="H51" s="2">
        <v>1752</v>
      </c>
      <c r="I51" s="2">
        <v>1741</v>
      </c>
      <c r="J51" s="2">
        <v>1758</v>
      </c>
      <c r="K51" s="2">
        <v>1745</v>
      </c>
      <c r="L51" s="2">
        <v>1758</v>
      </c>
      <c r="M51" s="2">
        <v>1773</v>
      </c>
      <c r="N51" s="2">
        <v>1791</v>
      </c>
      <c r="O51" s="2">
        <v>1791</v>
      </c>
      <c r="P51" s="2">
        <v>1791</v>
      </c>
      <c r="Q51" s="2">
        <v>1791</v>
      </c>
      <c r="R51" s="2">
        <v>1791</v>
      </c>
      <c r="S51" s="2">
        <v>1791</v>
      </c>
      <c r="T51" s="2">
        <v>1791</v>
      </c>
      <c r="U51" s="2">
        <v>1791</v>
      </c>
      <c r="V51" s="2">
        <v>1791</v>
      </c>
      <c r="W51" s="2">
        <v>1791</v>
      </c>
    </row>
    <row r="52" spans="1:23" x14ac:dyDescent="0.35">
      <c r="A52" s="2" t="s">
        <v>755</v>
      </c>
      <c r="B52" s="2">
        <v>1699</v>
      </c>
      <c r="C52" s="2">
        <v>1692</v>
      </c>
      <c r="D52" s="2">
        <v>1716</v>
      </c>
      <c r="E52" s="2">
        <v>1742</v>
      </c>
      <c r="F52" s="2">
        <v>1731</v>
      </c>
      <c r="G52" s="2">
        <v>1744</v>
      </c>
      <c r="H52" s="2">
        <v>1759</v>
      </c>
      <c r="I52" s="2">
        <v>1776</v>
      </c>
      <c r="J52" s="2">
        <v>1791</v>
      </c>
      <c r="K52" s="2">
        <v>1804</v>
      </c>
      <c r="L52" s="2">
        <v>1790</v>
      </c>
      <c r="M52" s="2">
        <v>1805</v>
      </c>
      <c r="N52" s="2">
        <v>1789</v>
      </c>
      <c r="O52" s="2">
        <v>1789</v>
      </c>
      <c r="P52" s="2">
        <v>1789</v>
      </c>
      <c r="Q52" s="2">
        <v>1789</v>
      </c>
      <c r="R52" s="2">
        <v>1789</v>
      </c>
      <c r="S52" s="2">
        <v>1789</v>
      </c>
      <c r="T52" s="2">
        <v>1789</v>
      </c>
      <c r="U52" s="2">
        <v>1789</v>
      </c>
      <c r="V52" s="2">
        <v>1789</v>
      </c>
      <c r="W52" s="2">
        <v>1789</v>
      </c>
    </row>
    <row r="53" spans="1:23" x14ac:dyDescent="0.35">
      <c r="A53" t="s">
        <v>1155</v>
      </c>
      <c r="B53" s="2">
        <v>1800</v>
      </c>
      <c r="C53" s="2">
        <v>1811</v>
      </c>
      <c r="D53" s="2">
        <v>1822</v>
      </c>
      <c r="E53" s="2">
        <v>1833</v>
      </c>
      <c r="F53" s="2">
        <v>1843</v>
      </c>
      <c r="G53" s="2">
        <v>1827</v>
      </c>
      <c r="H53" s="2">
        <v>1811</v>
      </c>
      <c r="I53" s="2">
        <v>1800</v>
      </c>
      <c r="J53" s="2">
        <v>1785</v>
      </c>
      <c r="K53" s="2">
        <v>1774</v>
      </c>
      <c r="L53" s="2">
        <v>1789</v>
      </c>
      <c r="M53" s="2">
        <v>1800</v>
      </c>
      <c r="N53" s="2">
        <v>1789</v>
      </c>
      <c r="O53" s="2">
        <v>1789</v>
      </c>
      <c r="P53" s="2">
        <v>1789</v>
      </c>
      <c r="Q53" s="2">
        <v>1789</v>
      </c>
      <c r="R53" s="2">
        <v>1789</v>
      </c>
      <c r="S53" s="2">
        <v>1789</v>
      </c>
      <c r="T53" s="2">
        <v>1789</v>
      </c>
      <c r="U53" s="2">
        <v>1789</v>
      </c>
      <c r="V53" s="2">
        <v>1789</v>
      </c>
      <c r="W53" s="2">
        <v>1789</v>
      </c>
    </row>
    <row r="54" spans="1:23" x14ac:dyDescent="0.35">
      <c r="A54" s="2" t="s">
        <v>671</v>
      </c>
      <c r="B54" s="2">
        <v>1726</v>
      </c>
      <c r="C54" s="2">
        <v>1718</v>
      </c>
      <c r="D54" s="2">
        <v>1710</v>
      </c>
      <c r="E54" s="2">
        <v>1700</v>
      </c>
      <c r="F54" s="2">
        <v>1683</v>
      </c>
      <c r="G54" s="2">
        <v>1698</v>
      </c>
      <c r="H54" s="2">
        <v>1714</v>
      </c>
      <c r="I54" s="2">
        <v>1729</v>
      </c>
      <c r="J54" s="2">
        <v>1747</v>
      </c>
      <c r="K54" s="2">
        <v>1762</v>
      </c>
      <c r="L54" s="2">
        <v>1777</v>
      </c>
      <c r="M54" s="2">
        <v>1790</v>
      </c>
      <c r="N54" s="2">
        <v>1805</v>
      </c>
      <c r="O54" s="2">
        <v>1788</v>
      </c>
      <c r="P54" s="2">
        <v>1788</v>
      </c>
      <c r="Q54" s="2">
        <v>1788</v>
      </c>
      <c r="R54" s="2">
        <v>1788</v>
      </c>
      <c r="S54" s="2">
        <v>1788</v>
      </c>
      <c r="T54" s="2">
        <v>1788</v>
      </c>
      <c r="U54" s="2">
        <v>1788</v>
      </c>
      <c r="V54" s="2">
        <v>1788</v>
      </c>
      <c r="W54" s="2">
        <v>1788</v>
      </c>
    </row>
    <row r="55" spans="1:23" x14ac:dyDescent="0.35">
      <c r="A55" s="2" t="s">
        <v>732</v>
      </c>
      <c r="B55" s="2">
        <v>1764</v>
      </c>
      <c r="C55" s="2">
        <v>1782</v>
      </c>
      <c r="D55" s="2">
        <v>1794</v>
      </c>
      <c r="E55" s="2">
        <v>1807</v>
      </c>
      <c r="F55" s="2">
        <v>1794</v>
      </c>
      <c r="G55" s="2">
        <v>1779</v>
      </c>
      <c r="H55" s="2">
        <v>1796</v>
      </c>
      <c r="I55" s="2">
        <v>1808</v>
      </c>
      <c r="J55" s="2">
        <v>1792</v>
      </c>
      <c r="K55" s="2">
        <v>1782</v>
      </c>
      <c r="L55" s="2">
        <v>1792</v>
      </c>
      <c r="M55" s="2">
        <v>1777</v>
      </c>
      <c r="N55" s="2">
        <v>1788</v>
      </c>
      <c r="O55" s="2">
        <v>1788</v>
      </c>
      <c r="P55" s="2">
        <v>1788</v>
      </c>
      <c r="Q55" s="2">
        <v>1788</v>
      </c>
      <c r="R55" s="2">
        <v>1788</v>
      </c>
      <c r="S55" s="2">
        <v>1788</v>
      </c>
      <c r="T55" s="2">
        <v>1788</v>
      </c>
      <c r="U55" s="2">
        <v>1788</v>
      </c>
      <c r="V55" s="2">
        <v>1788</v>
      </c>
      <c r="W55" s="2">
        <v>1788</v>
      </c>
    </row>
    <row r="56" spans="1:23" x14ac:dyDescent="0.35">
      <c r="A56" s="2" t="s">
        <v>768</v>
      </c>
      <c r="B56" s="2">
        <v>1758</v>
      </c>
      <c r="C56" s="2">
        <v>1774</v>
      </c>
      <c r="D56" s="2">
        <v>1786</v>
      </c>
      <c r="E56" s="2">
        <v>1770</v>
      </c>
      <c r="F56" s="2">
        <v>1787</v>
      </c>
      <c r="G56" s="2">
        <v>1801</v>
      </c>
      <c r="H56" s="2">
        <v>1812</v>
      </c>
      <c r="I56" s="2">
        <v>1802</v>
      </c>
      <c r="J56" s="2">
        <v>1813</v>
      </c>
      <c r="K56" s="2">
        <v>1827</v>
      </c>
      <c r="L56" s="2">
        <v>1815</v>
      </c>
      <c r="M56" s="2">
        <v>1803</v>
      </c>
      <c r="N56" s="2">
        <v>1785</v>
      </c>
      <c r="O56" s="2">
        <v>1785</v>
      </c>
      <c r="P56" s="2">
        <v>1785</v>
      </c>
      <c r="Q56" s="2">
        <v>1785</v>
      </c>
      <c r="R56" s="2">
        <v>1785</v>
      </c>
      <c r="S56" s="2">
        <v>1785</v>
      </c>
      <c r="T56" s="2">
        <v>1785</v>
      </c>
      <c r="U56" s="2">
        <v>1785</v>
      </c>
      <c r="V56" s="2">
        <v>1785</v>
      </c>
      <c r="W56" s="2">
        <v>1785</v>
      </c>
    </row>
    <row r="57" spans="1:23" x14ac:dyDescent="0.35">
      <c r="A57" s="2" t="s">
        <v>729</v>
      </c>
      <c r="B57" s="2">
        <v>1784</v>
      </c>
      <c r="C57" s="2">
        <v>1800</v>
      </c>
      <c r="D57" s="2">
        <v>1824</v>
      </c>
      <c r="E57" s="2">
        <v>1836</v>
      </c>
      <c r="F57" s="2">
        <v>1848</v>
      </c>
      <c r="G57" s="2">
        <v>1835</v>
      </c>
      <c r="H57" s="2">
        <v>1821</v>
      </c>
      <c r="I57" s="2">
        <v>1815</v>
      </c>
      <c r="J57" s="2">
        <v>1804</v>
      </c>
      <c r="K57" s="2">
        <v>1814</v>
      </c>
      <c r="L57" s="2">
        <v>1806</v>
      </c>
      <c r="M57" s="2">
        <v>1795</v>
      </c>
      <c r="N57" s="2">
        <v>1785</v>
      </c>
      <c r="O57" s="2">
        <v>1785</v>
      </c>
      <c r="P57" s="2">
        <v>1785</v>
      </c>
      <c r="Q57" s="2">
        <v>1785</v>
      </c>
      <c r="R57" s="2">
        <v>1785</v>
      </c>
      <c r="S57" s="2">
        <v>1785</v>
      </c>
      <c r="T57" s="2">
        <v>1785</v>
      </c>
      <c r="U57" s="2">
        <v>1785</v>
      </c>
      <c r="V57" s="2">
        <v>1785</v>
      </c>
      <c r="W57" s="2">
        <v>1785</v>
      </c>
    </row>
    <row r="58" spans="1:23" x14ac:dyDescent="0.35">
      <c r="A58" s="2" t="s">
        <v>763</v>
      </c>
      <c r="B58" s="2">
        <v>1865</v>
      </c>
      <c r="C58" s="2">
        <v>1873</v>
      </c>
      <c r="D58" s="2">
        <v>1886</v>
      </c>
      <c r="E58" s="2">
        <v>1872</v>
      </c>
      <c r="F58" s="2">
        <v>1855</v>
      </c>
      <c r="G58" s="2">
        <v>1838</v>
      </c>
      <c r="H58" s="2">
        <v>1853</v>
      </c>
      <c r="I58" s="2">
        <v>1841</v>
      </c>
      <c r="J58" s="2">
        <v>1830</v>
      </c>
      <c r="K58" s="2">
        <v>1813</v>
      </c>
      <c r="L58" s="2">
        <v>1792</v>
      </c>
      <c r="M58" s="2">
        <v>1806</v>
      </c>
      <c r="N58" s="2">
        <v>1784</v>
      </c>
      <c r="O58" s="2">
        <v>1784</v>
      </c>
      <c r="P58" s="2">
        <v>1784</v>
      </c>
      <c r="Q58" s="2">
        <v>1784</v>
      </c>
      <c r="R58" s="2">
        <v>1784</v>
      </c>
      <c r="S58" s="2">
        <v>1784</v>
      </c>
      <c r="T58" s="2">
        <v>1784</v>
      </c>
      <c r="U58" s="2">
        <v>1784</v>
      </c>
      <c r="V58" s="2">
        <v>1784</v>
      </c>
      <c r="W58" s="2">
        <v>1784</v>
      </c>
    </row>
    <row r="59" spans="1:23" x14ac:dyDescent="0.35">
      <c r="A59" s="1" t="s">
        <v>643</v>
      </c>
      <c r="B59" s="2">
        <v>1749</v>
      </c>
      <c r="C59" s="2">
        <v>1767</v>
      </c>
      <c r="D59" s="2">
        <v>1783</v>
      </c>
      <c r="E59" s="2">
        <v>1766</v>
      </c>
      <c r="F59" s="2">
        <v>1753</v>
      </c>
      <c r="G59" s="2">
        <v>1770</v>
      </c>
      <c r="H59" s="2">
        <v>1784</v>
      </c>
      <c r="I59" s="2">
        <v>1798</v>
      </c>
      <c r="J59" s="2">
        <v>1812</v>
      </c>
      <c r="K59" s="2">
        <v>1823</v>
      </c>
      <c r="L59" s="2">
        <v>1810</v>
      </c>
      <c r="M59" s="2">
        <v>1828</v>
      </c>
      <c r="N59" s="2">
        <v>1846</v>
      </c>
      <c r="O59" s="2">
        <v>1830</v>
      </c>
      <c r="P59" s="2">
        <v>1804</v>
      </c>
      <c r="Q59" s="2">
        <v>1782</v>
      </c>
      <c r="R59" s="2">
        <v>1782</v>
      </c>
      <c r="S59" s="2">
        <v>1782</v>
      </c>
      <c r="T59" s="2">
        <v>1782</v>
      </c>
      <c r="U59" s="2">
        <v>1782</v>
      </c>
      <c r="V59" s="2">
        <v>1782</v>
      </c>
      <c r="W59" s="2">
        <v>1782</v>
      </c>
    </row>
    <row r="60" spans="1:23" x14ac:dyDescent="0.35">
      <c r="A60" t="s">
        <v>664</v>
      </c>
      <c r="B60" s="2">
        <v>1800</v>
      </c>
      <c r="C60" s="2">
        <v>1787</v>
      </c>
      <c r="D60" s="2">
        <v>1774</v>
      </c>
      <c r="E60" s="2">
        <v>1792</v>
      </c>
      <c r="F60" s="2">
        <v>1780</v>
      </c>
      <c r="G60" s="2">
        <v>1768</v>
      </c>
      <c r="H60" s="2">
        <v>1784</v>
      </c>
      <c r="I60" s="2">
        <v>1770</v>
      </c>
      <c r="J60" s="2">
        <v>1780</v>
      </c>
      <c r="K60" s="2">
        <v>1768</v>
      </c>
      <c r="L60" s="2">
        <v>1780</v>
      </c>
      <c r="M60" s="2">
        <v>1768</v>
      </c>
      <c r="N60" s="2">
        <v>1782</v>
      </c>
      <c r="O60" s="2">
        <v>1782</v>
      </c>
      <c r="P60" s="2">
        <v>1782</v>
      </c>
      <c r="Q60" s="2">
        <v>1782</v>
      </c>
      <c r="R60" s="2">
        <v>1782</v>
      </c>
      <c r="S60" s="2">
        <v>1782</v>
      </c>
      <c r="T60" s="2">
        <v>1782</v>
      </c>
      <c r="U60" s="2">
        <v>1782</v>
      </c>
      <c r="V60" s="2">
        <v>1782</v>
      </c>
      <c r="W60" s="2">
        <v>1782</v>
      </c>
    </row>
    <row r="61" spans="1:23" x14ac:dyDescent="0.35">
      <c r="A61" s="2" t="s">
        <v>466</v>
      </c>
      <c r="B61" s="2">
        <v>1748</v>
      </c>
      <c r="C61" s="2">
        <v>1762</v>
      </c>
      <c r="D61" s="2">
        <v>1752</v>
      </c>
      <c r="E61" s="2">
        <v>1726</v>
      </c>
      <c r="F61" s="2">
        <v>1741</v>
      </c>
      <c r="G61" s="2">
        <v>1758</v>
      </c>
      <c r="H61" s="2">
        <v>1744</v>
      </c>
      <c r="I61" s="2">
        <v>1735</v>
      </c>
      <c r="J61" s="2">
        <v>1751</v>
      </c>
      <c r="K61" s="2">
        <v>1740</v>
      </c>
      <c r="L61" s="2">
        <v>1755</v>
      </c>
      <c r="M61" s="2">
        <v>1766</v>
      </c>
      <c r="N61" s="2">
        <v>1782</v>
      </c>
      <c r="O61" s="2">
        <v>1782</v>
      </c>
      <c r="P61" s="2">
        <v>1782</v>
      </c>
      <c r="Q61" s="2">
        <v>1782</v>
      </c>
      <c r="R61" s="2">
        <v>1782</v>
      </c>
      <c r="S61" s="2">
        <v>1782</v>
      </c>
      <c r="T61" s="2">
        <v>1782</v>
      </c>
      <c r="U61" s="2">
        <v>1782</v>
      </c>
      <c r="V61" s="2">
        <v>1782</v>
      </c>
      <c r="W61" s="2">
        <v>1782</v>
      </c>
    </row>
    <row r="62" spans="1:23" x14ac:dyDescent="0.35">
      <c r="A62" s="2" t="s">
        <v>779</v>
      </c>
      <c r="B62" s="2">
        <v>1814</v>
      </c>
      <c r="C62" s="2">
        <v>1799</v>
      </c>
      <c r="D62" s="2">
        <v>1783</v>
      </c>
      <c r="E62" s="2">
        <v>1764</v>
      </c>
      <c r="F62" s="2">
        <v>1780</v>
      </c>
      <c r="G62" s="2">
        <v>1790</v>
      </c>
      <c r="H62" s="2">
        <v>1777</v>
      </c>
      <c r="I62" s="2">
        <v>1764</v>
      </c>
      <c r="J62" s="2">
        <v>1752</v>
      </c>
      <c r="K62" s="2">
        <v>1768</v>
      </c>
      <c r="L62" s="2">
        <v>1755</v>
      </c>
      <c r="M62" s="2">
        <v>1767</v>
      </c>
      <c r="N62" s="2">
        <v>1779</v>
      </c>
      <c r="O62" s="2">
        <v>1779</v>
      </c>
      <c r="P62" s="2">
        <v>1779</v>
      </c>
      <c r="Q62" s="2">
        <v>1779</v>
      </c>
      <c r="R62" s="2">
        <v>1779</v>
      </c>
      <c r="S62" s="2">
        <v>1779</v>
      </c>
      <c r="T62" s="2">
        <v>1779</v>
      </c>
      <c r="U62" s="2">
        <v>1779</v>
      </c>
      <c r="V62" s="2">
        <v>1779</v>
      </c>
      <c r="W62" s="2">
        <v>1779</v>
      </c>
    </row>
    <row r="63" spans="1:23" x14ac:dyDescent="0.35">
      <c r="A63" s="2" t="s">
        <v>758</v>
      </c>
      <c r="B63" s="2">
        <v>1764</v>
      </c>
      <c r="C63" s="2">
        <v>1752</v>
      </c>
      <c r="D63" s="2">
        <v>1743</v>
      </c>
      <c r="E63" s="2">
        <v>1755</v>
      </c>
      <c r="F63" s="2">
        <v>1769</v>
      </c>
      <c r="G63" s="2">
        <v>1760</v>
      </c>
      <c r="H63" s="2">
        <v>1748</v>
      </c>
      <c r="I63" s="2">
        <v>1767</v>
      </c>
      <c r="J63" s="2">
        <v>1761</v>
      </c>
      <c r="K63" s="2">
        <v>1752</v>
      </c>
      <c r="L63" s="2">
        <v>1773</v>
      </c>
      <c r="M63" s="2">
        <v>1762</v>
      </c>
      <c r="N63" s="2">
        <v>1772</v>
      </c>
      <c r="O63" s="2">
        <v>1772</v>
      </c>
      <c r="P63" s="2">
        <v>1772</v>
      </c>
      <c r="Q63" s="2">
        <v>1772</v>
      </c>
      <c r="R63" s="2">
        <v>1772</v>
      </c>
      <c r="S63" s="2">
        <v>1772</v>
      </c>
      <c r="T63" s="2">
        <v>1772</v>
      </c>
      <c r="U63" s="2">
        <v>1772</v>
      </c>
      <c r="V63" s="2">
        <v>1772</v>
      </c>
      <c r="W63" s="2">
        <v>1772</v>
      </c>
    </row>
    <row r="64" spans="1:23" x14ac:dyDescent="0.35">
      <c r="A64" s="2" t="s">
        <v>646</v>
      </c>
      <c r="B64" s="2">
        <v>1802</v>
      </c>
      <c r="C64" s="2">
        <v>1787</v>
      </c>
      <c r="D64" s="2">
        <v>1775</v>
      </c>
      <c r="E64" s="2">
        <v>1769</v>
      </c>
      <c r="F64" s="2">
        <v>1786</v>
      </c>
      <c r="G64" s="2">
        <v>1762</v>
      </c>
      <c r="H64" s="2">
        <v>1779</v>
      </c>
      <c r="I64" s="2">
        <v>1792</v>
      </c>
      <c r="J64" s="2">
        <v>1803</v>
      </c>
      <c r="K64" s="2">
        <v>1791</v>
      </c>
      <c r="L64" s="2">
        <v>1772</v>
      </c>
      <c r="M64" s="2">
        <v>1758</v>
      </c>
      <c r="N64" s="2">
        <v>1771</v>
      </c>
      <c r="O64" s="2">
        <v>1771</v>
      </c>
      <c r="P64" s="2">
        <v>1771</v>
      </c>
      <c r="Q64" s="2">
        <v>1771</v>
      </c>
      <c r="R64" s="2">
        <v>1771</v>
      </c>
      <c r="S64" s="2">
        <v>1771</v>
      </c>
      <c r="T64" s="2">
        <v>1771</v>
      </c>
      <c r="U64" s="2">
        <v>1771</v>
      </c>
      <c r="V64" s="2">
        <v>1771</v>
      </c>
      <c r="W64" s="2">
        <v>1771</v>
      </c>
    </row>
    <row r="65" spans="1:23" x14ac:dyDescent="0.35">
      <c r="A65" s="2" t="s">
        <v>665</v>
      </c>
      <c r="B65" s="2">
        <v>1780</v>
      </c>
      <c r="C65" s="2">
        <v>1766</v>
      </c>
      <c r="D65" s="2">
        <v>1757</v>
      </c>
      <c r="E65" s="2">
        <v>1768</v>
      </c>
      <c r="F65" s="2">
        <v>1760</v>
      </c>
      <c r="G65" s="2">
        <v>1780</v>
      </c>
      <c r="H65" s="2">
        <v>1796</v>
      </c>
      <c r="I65" s="2">
        <v>1784</v>
      </c>
      <c r="J65" s="2">
        <v>1797</v>
      </c>
      <c r="K65" s="2">
        <v>1782</v>
      </c>
      <c r="L65" s="2">
        <v>1769</v>
      </c>
      <c r="M65" s="2">
        <v>1757</v>
      </c>
      <c r="N65" s="2">
        <v>1768</v>
      </c>
      <c r="O65" s="2">
        <v>1768</v>
      </c>
      <c r="P65" s="2">
        <v>1768</v>
      </c>
      <c r="Q65" s="2">
        <v>1768</v>
      </c>
      <c r="R65" s="2">
        <v>1768</v>
      </c>
      <c r="S65" s="2">
        <v>1768</v>
      </c>
      <c r="T65" s="2">
        <v>1768</v>
      </c>
      <c r="U65" s="2">
        <v>1768</v>
      </c>
      <c r="V65" s="2">
        <v>1768</v>
      </c>
      <c r="W65" s="2">
        <v>1768</v>
      </c>
    </row>
    <row r="66" spans="1:23" x14ac:dyDescent="0.35">
      <c r="A66" s="2" t="s">
        <v>722</v>
      </c>
      <c r="B66" s="2">
        <v>1801</v>
      </c>
      <c r="C66" s="2">
        <v>1785</v>
      </c>
      <c r="D66" s="2">
        <v>1773</v>
      </c>
      <c r="E66" s="2">
        <v>1786</v>
      </c>
      <c r="F66" s="2">
        <v>1771</v>
      </c>
      <c r="G66" s="2">
        <v>1783</v>
      </c>
      <c r="H66" s="2">
        <v>1795</v>
      </c>
      <c r="I66" s="2">
        <v>1806</v>
      </c>
      <c r="J66" s="2">
        <v>1791</v>
      </c>
      <c r="K66" s="2">
        <v>1783</v>
      </c>
      <c r="L66" s="2">
        <v>1766</v>
      </c>
      <c r="M66" s="2">
        <v>1776</v>
      </c>
      <c r="N66" s="2">
        <v>1764</v>
      </c>
      <c r="O66" s="2">
        <v>1764</v>
      </c>
      <c r="P66" s="2">
        <v>1764</v>
      </c>
      <c r="Q66" s="2">
        <v>1764</v>
      </c>
      <c r="R66" s="2">
        <v>1764</v>
      </c>
      <c r="S66" s="2">
        <v>1764</v>
      </c>
      <c r="T66" s="2">
        <v>1764</v>
      </c>
      <c r="U66" s="2">
        <v>1764</v>
      </c>
      <c r="V66" s="2">
        <v>1764</v>
      </c>
      <c r="W66" s="2">
        <v>1764</v>
      </c>
    </row>
    <row r="67" spans="1:23" x14ac:dyDescent="0.35">
      <c r="A67" s="2" t="s">
        <v>582</v>
      </c>
      <c r="B67" s="2">
        <v>1804</v>
      </c>
      <c r="C67" s="2">
        <v>1790</v>
      </c>
      <c r="D67" s="2">
        <v>1777</v>
      </c>
      <c r="E67" s="2">
        <v>1766</v>
      </c>
      <c r="F67" s="2">
        <v>1744</v>
      </c>
      <c r="G67" s="2">
        <v>1756</v>
      </c>
      <c r="H67" s="2">
        <v>1745</v>
      </c>
      <c r="I67" s="2">
        <v>1762</v>
      </c>
      <c r="J67" s="2">
        <v>1749</v>
      </c>
      <c r="K67" s="2">
        <v>1741</v>
      </c>
      <c r="L67" s="2">
        <v>1761</v>
      </c>
      <c r="M67" s="2">
        <v>1773</v>
      </c>
      <c r="N67" s="2">
        <v>1762</v>
      </c>
      <c r="O67" s="2">
        <v>1762</v>
      </c>
      <c r="P67" s="2">
        <v>1762</v>
      </c>
      <c r="Q67" s="2">
        <v>1762</v>
      </c>
      <c r="R67" s="2">
        <v>1762</v>
      </c>
      <c r="S67" s="2">
        <v>1762</v>
      </c>
      <c r="T67" s="2">
        <v>1762</v>
      </c>
      <c r="U67" s="2">
        <v>1762</v>
      </c>
      <c r="V67" s="2">
        <v>1762</v>
      </c>
      <c r="W67" s="2">
        <v>1762</v>
      </c>
    </row>
    <row r="68" spans="1:23" x14ac:dyDescent="0.35">
      <c r="A68" s="2" t="s">
        <v>774</v>
      </c>
      <c r="B68" s="2">
        <v>1768</v>
      </c>
      <c r="C68" s="2">
        <v>1758</v>
      </c>
      <c r="D68" s="2">
        <v>1770</v>
      </c>
      <c r="E68" s="2">
        <v>1757</v>
      </c>
      <c r="F68" s="2">
        <v>1749</v>
      </c>
      <c r="G68" s="2">
        <v>1761</v>
      </c>
      <c r="H68" s="2">
        <v>1747</v>
      </c>
      <c r="I68" s="2">
        <v>1739</v>
      </c>
      <c r="J68" s="2">
        <v>1758</v>
      </c>
      <c r="K68" s="2">
        <v>1744</v>
      </c>
      <c r="L68" s="2">
        <v>1758</v>
      </c>
      <c r="M68" s="2">
        <v>1750</v>
      </c>
      <c r="N68" s="2">
        <v>1762</v>
      </c>
      <c r="O68" s="2">
        <v>1762</v>
      </c>
      <c r="P68" s="2">
        <v>1762</v>
      </c>
      <c r="Q68" s="2">
        <v>1762</v>
      </c>
      <c r="R68" s="2">
        <v>1762</v>
      </c>
      <c r="S68" s="2">
        <v>1762</v>
      </c>
      <c r="T68" s="2">
        <v>1762</v>
      </c>
      <c r="U68" s="2">
        <v>1762</v>
      </c>
      <c r="V68" s="2">
        <v>1762</v>
      </c>
      <c r="W68" s="2">
        <v>1762</v>
      </c>
    </row>
    <row r="69" spans="1:23" x14ac:dyDescent="0.35">
      <c r="A69" s="2" t="s">
        <v>660</v>
      </c>
      <c r="B69" s="2">
        <v>1825</v>
      </c>
      <c r="C69" s="2">
        <v>1804</v>
      </c>
      <c r="D69" s="2">
        <v>1788</v>
      </c>
      <c r="E69" s="2">
        <v>1779</v>
      </c>
      <c r="F69" s="2">
        <v>1787</v>
      </c>
      <c r="G69" s="2">
        <v>1772</v>
      </c>
      <c r="H69" s="2">
        <v>1766</v>
      </c>
      <c r="I69" s="2">
        <v>1747</v>
      </c>
      <c r="J69" s="2">
        <v>1733</v>
      </c>
      <c r="K69" s="2">
        <v>1748</v>
      </c>
      <c r="L69" s="2">
        <v>1761</v>
      </c>
      <c r="M69" s="2">
        <v>1773</v>
      </c>
      <c r="N69" s="2">
        <v>1761</v>
      </c>
      <c r="O69" s="2">
        <v>1761</v>
      </c>
      <c r="P69" s="2">
        <v>1761</v>
      </c>
      <c r="Q69" s="2">
        <v>1761</v>
      </c>
      <c r="R69" s="2">
        <v>1761</v>
      </c>
      <c r="S69" s="2">
        <v>1761</v>
      </c>
      <c r="T69" s="2">
        <v>1761</v>
      </c>
      <c r="U69" s="2">
        <v>1761</v>
      </c>
      <c r="V69" s="2">
        <v>1761</v>
      </c>
      <c r="W69" s="2">
        <v>1761</v>
      </c>
    </row>
    <row r="70" spans="1:23" x14ac:dyDescent="0.35">
      <c r="A70" t="s">
        <v>1162</v>
      </c>
      <c r="B70" s="2">
        <v>1800</v>
      </c>
      <c r="C70" s="2">
        <v>1812</v>
      </c>
      <c r="D70" s="2">
        <v>1799</v>
      </c>
      <c r="E70" s="2">
        <v>1786</v>
      </c>
      <c r="F70" s="2">
        <v>1773</v>
      </c>
      <c r="G70" s="2">
        <v>1761</v>
      </c>
      <c r="H70" s="2">
        <v>1750</v>
      </c>
      <c r="I70" s="2">
        <v>1761</v>
      </c>
      <c r="J70" s="2">
        <v>1750</v>
      </c>
      <c r="K70" s="2">
        <v>1739</v>
      </c>
      <c r="L70" s="2">
        <v>1728</v>
      </c>
      <c r="M70" s="2">
        <v>1744</v>
      </c>
      <c r="N70" s="2">
        <v>1760</v>
      </c>
      <c r="O70" s="2">
        <v>1760</v>
      </c>
      <c r="P70" s="2">
        <v>1760</v>
      </c>
      <c r="Q70" s="2">
        <v>1760</v>
      </c>
      <c r="R70" s="2">
        <v>1760</v>
      </c>
      <c r="S70" s="2">
        <v>1760</v>
      </c>
      <c r="T70" s="2">
        <v>1760</v>
      </c>
      <c r="U70" s="2">
        <v>1760</v>
      </c>
      <c r="V70" s="2">
        <v>1760</v>
      </c>
      <c r="W70" s="2">
        <v>1760</v>
      </c>
    </row>
    <row r="71" spans="1:23" x14ac:dyDescent="0.35">
      <c r="A71" s="2" t="s">
        <v>742</v>
      </c>
      <c r="B71" s="2">
        <v>1828</v>
      </c>
      <c r="C71" s="2">
        <v>1842</v>
      </c>
      <c r="D71" s="2">
        <v>1818</v>
      </c>
      <c r="E71" s="2">
        <v>1805</v>
      </c>
      <c r="F71" s="2">
        <v>1790</v>
      </c>
      <c r="G71" s="2">
        <v>1775</v>
      </c>
      <c r="H71" s="2">
        <v>1759</v>
      </c>
      <c r="I71" s="2">
        <v>1770</v>
      </c>
      <c r="J71" s="2">
        <v>1783</v>
      </c>
      <c r="K71" s="2">
        <v>1771</v>
      </c>
      <c r="L71" s="2">
        <v>1758</v>
      </c>
      <c r="M71" s="2">
        <v>1770</v>
      </c>
      <c r="N71" s="2">
        <v>1758</v>
      </c>
      <c r="O71" s="2">
        <v>1758</v>
      </c>
      <c r="P71" s="2">
        <v>1758</v>
      </c>
      <c r="Q71" s="2">
        <v>1758</v>
      </c>
      <c r="R71" s="2">
        <v>1758</v>
      </c>
      <c r="S71" s="2">
        <v>1758</v>
      </c>
      <c r="T71" s="2">
        <v>1758</v>
      </c>
      <c r="U71" s="2">
        <v>1758</v>
      </c>
      <c r="V71" s="2">
        <v>1758</v>
      </c>
      <c r="W71" s="2">
        <v>1758</v>
      </c>
    </row>
    <row r="72" spans="1:23" x14ac:dyDescent="0.35">
      <c r="A72" s="2" t="s">
        <v>712</v>
      </c>
      <c r="B72" s="2">
        <v>1843</v>
      </c>
      <c r="C72" s="2">
        <v>1815</v>
      </c>
      <c r="D72" s="2">
        <v>1826</v>
      </c>
      <c r="E72" s="2">
        <v>1839</v>
      </c>
      <c r="F72" s="2">
        <v>1822</v>
      </c>
      <c r="G72" s="2">
        <v>1829</v>
      </c>
      <c r="H72" s="2">
        <v>1817</v>
      </c>
      <c r="I72" s="2">
        <v>1827</v>
      </c>
      <c r="J72" s="2">
        <v>1810</v>
      </c>
      <c r="K72" s="2">
        <v>1800</v>
      </c>
      <c r="L72" s="2">
        <v>1785</v>
      </c>
      <c r="M72" s="2">
        <v>1769</v>
      </c>
      <c r="N72" s="2">
        <v>1756</v>
      </c>
      <c r="O72" s="2">
        <v>1756</v>
      </c>
      <c r="P72" s="2">
        <v>1756</v>
      </c>
      <c r="Q72" s="2">
        <v>1756</v>
      </c>
      <c r="R72" s="2">
        <v>1756</v>
      </c>
      <c r="S72" s="2">
        <v>1756</v>
      </c>
      <c r="T72" s="2">
        <v>1756</v>
      </c>
      <c r="U72" s="2">
        <v>1756</v>
      </c>
      <c r="V72" s="2">
        <v>1756</v>
      </c>
      <c r="W72" s="2">
        <v>1756</v>
      </c>
    </row>
    <row r="73" spans="1:23" x14ac:dyDescent="0.35">
      <c r="A73" t="s">
        <v>1163</v>
      </c>
      <c r="B73" s="2">
        <v>1800</v>
      </c>
      <c r="C73" s="2">
        <v>1788</v>
      </c>
      <c r="D73" s="2">
        <v>1775</v>
      </c>
      <c r="E73" s="2">
        <v>1786</v>
      </c>
      <c r="F73" s="2">
        <v>1773</v>
      </c>
      <c r="G73" s="2">
        <v>1757</v>
      </c>
      <c r="H73" s="2">
        <v>1774</v>
      </c>
      <c r="I73" s="2">
        <v>1765</v>
      </c>
      <c r="J73" s="2">
        <v>1777</v>
      </c>
      <c r="K73" s="2">
        <v>1767</v>
      </c>
      <c r="L73" s="2">
        <v>1783</v>
      </c>
      <c r="M73" s="2">
        <v>1772</v>
      </c>
      <c r="N73" s="2">
        <v>1754</v>
      </c>
      <c r="O73" s="2">
        <v>1754</v>
      </c>
      <c r="P73" s="2">
        <v>1754</v>
      </c>
      <c r="Q73" s="2">
        <v>1754</v>
      </c>
      <c r="R73" s="2">
        <v>1754</v>
      </c>
      <c r="S73" s="2">
        <v>1754</v>
      </c>
      <c r="T73" s="2">
        <v>1754</v>
      </c>
      <c r="U73" s="2">
        <v>1754</v>
      </c>
      <c r="V73" s="2">
        <v>1754</v>
      </c>
      <c r="W73" s="2">
        <v>1754</v>
      </c>
    </row>
    <row r="74" spans="1:23" x14ac:dyDescent="0.35">
      <c r="A74" s="2" t="s">
        <v>672</v>
      </c>
      <c r="B74" s="2">
        <v>1781</v>
      </c>
      <c r="C74" s="2">
        <v>1769</v>
      </c>
      <c r="D74" s="2">
        <v>1756</v>
      </c>
      <c r="E74" s="2">
        <v>1768</v>
      </c>
      <c r="F74" s="2">
        <v>1783</v>
      </c>
      <c r="G74" s="2">
        <v>1797</v>
      </c>
      <c r="H74" s="2">
        <v>1811</v>
      </c>
      <c r="I74" s="2">
        <v>1793</v>
      </c>
      <c r="J74" s="2">
        <v>1788</v>
      </c>
      <c r="K74" s="2">
        <v>1800</v>
      </c>
      <c r="L74" s="2">
        <v>1780</v>
      </c>
      <c r="M74" s="2">
        <v>1768</v>
      </c>
      <c r="N74" s="2">
        <v>1752</v>
      </c>
      <c r="O74" s="2">
        <v>1752</v>
      </c>
      <c r="P74" s="2">
        <v>1752</v>
      </c>
      <c r="Q74" s="2">
        <v>1752</v>
      </c>
      <c r="R74" s="2">
        <v>1752</v>
      </c>
      <c r="S74" s="2">
        <v>1752</v>
      </c>
      <c r="T74" s="2">
        <v>1752</v>
      </c>
      <c r="U74" s="2">
        <v>1752</v>
      </c>
      <c r="V74" s="2">
        <v>1752</v>
      </c>
      <c r="W74" s="2">
        <v>1752</v>
      </c>
    </row>
    <row r="75" spans="1:23" x14ac:dyDescent="0.35">
      <c r="A75" t="s">
        <v>1160</v>
      </c>
      <c r="B75" s="2">
        <v>1800</v>
      </c>
      <c r="C75" s="2">
        <v>1812</v>
      </c>
      <c r="D75" s="2">
        <v>1797</v>
      </c>
      <c r="E75" s="2">
        <v>1779</v>
      </c>
      <c r="F75" s="2">
        <v>1796</v>
      </c>
      <c r="G75" s="2">
        <v>1809</v>
      </c>
      <c r="H75" s="2">
        <v>1797</v>
      </c>
      <c r="I75" s="2">
        <v>1785</v>
      </c>
      <c r="J75" s="2">
        <v>1773</v>
      </c>
      <c r="K75" s="2">
        <v>1762</v>
      </c>
      <c r="L75" s="2">
        <v>1750</v>
      </c>
      <c r="M75" s="2">
        <v>1767</v>
      </c>
      <c r="N75" s="2">
        <v>1751</v>
      </c>
      <c r="O75" s="2">
        <v>1751</v>
      </c>
      <c r="P75" s="2">
        <v>1751</v>
      </c>
      <c r="Q75" s="2">
        <v>1751</v>
      </c>
      <c r="R75" s="2">
        <v>1751</v>
      </c>
      <c r="S75" s="2">
        <v>1751</v>
      </c>
      <c r="T75" s="2">
        <v>1751</v>
      </c>
      <c r="U75" s="2">
        <v>1751</v>
      </c>
      <c r="V75" s="2">
        <v>1751</v>
      </c>
      <c r="W75" s="2">
        <v>1751</v>
      </c>
    </row>
    <row r="76" spans="1:23" x14ac:dyDescent="0.35">
      <c r="A76" s="2" t="s">
        <v>700</v>
      </c>
      <c r="B76" s="2">
        <v>1759</v>
      </c>
      <c r="C76" s="2">
        <v>1745</v>
      </c>
      <c r="D76" s="2">
        <v>1762</v>
      </c>
      <c r="E76" s="2">
        <v>1750</v>
      </c>
      <c r="F76" s="2">
        <v>1737</v>
      </c>
      <c r="G76" s="2">
        <v>1749</v>
      </c>
      <c r="H76" s="2">
        <v>1738</v>
      </c>
      <c r="I76" s="2">
        <v>1728</v>
      </c>
      <c r="J76" s="2">
        <v>1740</v>
      </c>
      <c r="K76" s="2">
        <v>1753</v>
      </c>
      <c r="L76" s="2">
        <v>1741</v>
      </c>
      <c r="M76" s="2">
        <v>1763</v>
      </c>
      <c r="N76" s="2">
        <v>1747</v>
      </c>
      <c r="O76" s="2">
        <v>1747</v>
      </c>
      <c r="P76" s="2">
        <v>1747</v>
      </c>
      <c r="Q76" s="2">
        <v>1747</v>
      </c>
      <c r="R76" s="2">
        <v>1747</v>
      </c>
      <c r="S76" s="2">
        <v>1747</v>
      </c>
      <c r="T76" s="2">
        <v>1747</v>
      </c>
      <c r="U76" s="2">
        <v>1747</v>
      </c>
      <c r="V76" s="2">
        <v>1747</v>
      </c>
      <c r="W76" s="2">
        <v>1747</v>
      </c>
    </row>
    <row r="77" spans="1:23" x14ac:dyDescent="0.35">
      <c r="A77" s="2" t="s">
        <v>737</v>
      </c>
      <c r="B77" s="2">
        <v>1779</v>
      </c>
      <c r="C77" s="2">
        <v>1768</v>
      </c>
      <c r="D77" s="2">
        <v>1758</v>
      </c>
      <c r="E77" s="2">
        <v>1746</v>
      </c>
      <c r="F77" s="2">
        <v>1760</v>
      </c>
      <c r="G77" s="2">
        <v>1783</v>
      </c>
      <c r="H77" s="2">
        <v>1794</v>
      </c>
      <c r="I77" s="2">
        <v>1782</v>
      </c>
      <c r="J77" s="2">
        <v>1769</v>
      </c>
      <c r="K77" s="2">
        <v>1756</v>
      </c>
      <c r="L77" s="2">
        <v>1769</v>
      </c>
      <c r="M77" s="2">
        <v>1757</v>
      </c>
      <c r="N77" s="2">
        <v>1745</v>
      </c>
      <c r="O77" s="2">
        <v>1745</v>
      </c>
      <c r="P77" s="2">
        <v>1745</v>
      </c>
      <c r="Q77" s="2">
        <v>1745</v>
      </c>
      <c r="R77" s="2">
        <v>1745</v>
      </c>
      <c r="S77" s="2">
        <v>1745</v>
      </c>
      <c r="T77" s="2">
        <v>1745</v>
      </c>
      <c r="U77" s="2">
        <v>1745</v>
      </c>
      <c r="V77" s="2">
        <v>1745</v>
      </c>
      <c r="W77" s="2">
        <v>1745</v>
      </c>
    </row>
    <row r="78" spans="1:23" x14ac:dyDescent="0.35">
      <c r="A78" s="2" t="s">
        <v>756</v>
      </c>
      <c r="B78" s="2">
        <v>1775</v>
      </c>
      <c r="C78" s="2">
        <v>1790</v>
      </c>
      <c r="D78" s="2">
        <v>1783</v>
      </c>
      <c r="E78" s="2">
        <v>1796</v>
      </c>
      <c r="F78" s="2">
        <v>1787</v>
      </c>
      <c r="G78" s="2">
        <v>1804</v>
      </c>
      <c r="H78" s="2">
        <v>1791</v>
      </c>
      <c r="I78" s="2">
        <v>1782</v>
      </c>
      <c r="J78" s="2">
        <v>1773</v>
      </c>
      <c r="K78" s="2">
        <v>1782</v>
      </c>
      <c r="L78" s="2">
        <v>1767</v>
      </c>
      <c r="M78" s="2">
        <v>1754</v>
      </c>
      <c r="N78" s="2">
        <v>1743</v>
      </c>
      <c r="O78" s="2">
        <v>1743</v>
      </c>
      <c r="P78" s="2">
        <v>1743</v>
      </c>
      <c r="Q78" s="2">
        <v>1743</v>
      </c>
      <c r="R78" s="2">
        <v>1743</v>
      </c>
      <c r="S78" s="2">
        <v>1743</v>
      </c>
      <c r="T78" s="2">
        <v>1743</v>
      </c>
      <c r="U78" s="2">
        <v>1743</v>
      </c>
      <c r="V78" s="2">
        <v>1743</v>
      </c>
      <c r="W78" s="2">
        <v>1743</v>
      </c>
    </row>
    <row r="79" spans="1:23" x14ac:dyDescent="0.35">
      <c r="A79" s="2" t="s">
        <v>716</v>
      </c>
      <c r="B79" s="2">
        <v>1792</v>
      </c>
      <c r="C79" s="2">
        <v>1778</v>
      </c>
      <c r="D79" s="2">
        <v>1768</v>
      </c>
      <c r="E79" s="2">
        <v>1779</v>
      </c>
      <c r="F79" s="2">
        <v>1763</v>
      </c>
      <c r="G79" s="2">
        <v>1749</v>
      </c>
      <c r="H79" s="2">
        <v>1734</v>
      </c>
      <c r="I79" s="2">
        <v>1723</v>
      </c>
      <c r="J79" s="2">
        <v>1738</v>
      </c>
      <c r="K79" s="2">
        <v>1725</v>
      </c>
      <c r="L79" s="2">
        <v>1738</v>
      </c>
      <c r="M79" s="2">
        <v>1728</v>
      </c>
      <c r="N79" s="2">
        <v>1743</v>
      </c>
      <c r="O79" s="2">
        <v>1743</v>
      </c>
      <c r="P79" s="2">
        <v>1743</v>
      </c>
      <c r="Q79" s="2">
        <v>1743</v>
      </c>
      <c r="R79" s="2">
        <v>1743</v>
      </c>
      <c r="S79" s="2">
        <v>1743</v>
      </c>
      <c r="T79" s="2">
        <v>1743</v>
      </c>
      <c r="U79" s="2">
        <v>1743</v>
      </c>
      <c r="V79" s="2">
        <v>1743</v>
      </c>
      <c r="W79" s="2">
        <v>1743</v>
      </c>
    </row>
    <row r="80" spans="1:23" x14ac:dyDescent="0.35">
      <c r="A80" s="2" t="s">
        <v>680</v>
      </c>
      <c r="B80" s="2">
        <v>1741</v>
      </c>
      <c r="C80" s="2">
        <v>1732</v>
      </c>
      <c r="D80" s="2">
        <v>1748</v>
      </c>
      <c r="E80" s="2">
        <v>1772</v>
      </c>
      <c r="F80" s="2">
        <v>1760</v>
      </c>
      <c r="G80" s="2">
        <v>1749</v>
      </c>
      <c r="H80" s="2">
        <v>1762</v>
      </c>
      <c r="I80" s="2">
        <v>1745</v>
      </c>
      <c r="J80" s="2">
        <v>1738</v>
      </c>
      <c r="K80" s="2">
        <v>1753</v>
      </c>
      <c r="L80" s="2">
        <v>1741</v>
      </c>
      <c r="M80" s="2">
        <v>1732</v>
      </c>
      <c r="N80" s="2">
        <v>1742</v>
      </c>
      <c r="O80" s="2">
        <v>1742</v>
      </c>
      <c r="P80" s="2">
        <v>1742</v>
      </c>
      <c r="Q80" s="2">
        <v>1742</v>
      </c>
      <c r="R80" s="2">
        <v>1742</v>
      </c>
      <c r="S80" s="2">
        <v>1742</v>
      </c>
      <c r="T80" s="2">
        <v>1742</v>
      </c>
      <c r="U80" s="2">
        <v>1742</v>
      </c>
      <c r="V80" s="2">
        <v>1742</v>
      </c>
      <c r="W80" s="2">
        <v>1742</v>
      </c>
    </row>
    <row r="81" spans="1:23" x14ac:dyDescent="0.35">
      <c r="A81" t="s">
        <v>645</v>
      </c>
      <c r="B81" s="2">
        <v>1800</v>
      </c>
      <c r="C81" s="2">
        <v>1789</v>
      </c>
      <c r="D81" s="2">
        <v>1778</v>
      </c>
      <c r="E81" s="2">
        <v>1767</v>
      </c>
      <c r="F81" s="2">
        <v>1754</v>
      </c>
      <c r="G81" s="2">
        <v>1744</v>
      </c>
      <c r="H81" s="2">
        <v>1734</v>
      </c>
      <c r="I81" s="2">
        <v>1749</v>
      </c>
      <c r="J81" s="2">
        <v>1739</v>
      </c>
      <c r="K81" s="2">
        <v>1751</v>
      </c>
      <c r="L81" s="2">
        <v>1743</v>
      </c>
      <c r="M81" s="2">
        <v>1727</v>
      </c>
      <c r="N81" s="2">
        <v>1741</v>
      </c>
      <c r="O81" s="2">
        <v>1741</v>
      </c>
      <c r="P81" s="2">
        <v>1741</v>
      </c>
      <c r="Q81" s="2">
        <v>1741</v>
      </c>
      <c r="R81" s="2">
        <v>1741</v>
      </c>
      <c r="S81" s="2">
        <v>1741</v>
      </c>
      <c r="T81" s="2">
        <v>1741</v>
      </c>
      <c r="U81" s="2">
        <v>1741</v>
      </c>
      <c r="V81" s="2">
        <v>1741</v>
      </c>
      <c r="W81" s="2">
        <v>1741</v>
      </c>
    </row>
    <row r="82" spans="1:23" x14ac:dyDescent="0.35">
      <c r="A82" s="2" t="s">
        <v>709</v>
      </c>
      <c r="B82" s="2">
        <v>1709</v>
      </c>
      <c r="C82" s="2">
        <v>1699</v>
      </c>
      <c r="D82" s="2">
        <v>1687</v>
      </c>
      <c r="E82" s="2">
        <v>1701</v>
      </c>
      <c r="F82" s="2">
        <v>1723</v>
      </c>
      <c r="G82" s="2">
        <v>1739</v>
      </c>
      <c r="H82" s="2">
        <v>1753</v>
      </c>
      <c r="I82" s="2">
        <v>1742</v>
      </c>
      <c r="J82" s="2">
        <v>1732</v>
      </c>
      <c r="K82" s="2">
        <v>1745</v>
      </c>
      <c r="L82" s="2">
        <v>1762</v>
      </c>
      <c r="M82" s="2">
        <v>1749</v>
      </c>
      <c r="N82" s="2">
        <v>1739</v>
      </c>
      <c r="O82" s="2">
        <v>1739</v>
      </c>
      <c r="P82" s="2">
        <v>1739</v>
      </c>
      <c r="Q82" s="2">
        <v>1739</v>
      </c>
      <c r="R82" s="2">
        <v>1739</v>
      </c>
      <c r="S82" s="2">
        <v>1739</v>
      </c>
      <c r="T82" s="2">
        <v>1739</v>
      </c>
      <c r="U82" s="2">
        <v>1739</v>
      </c>
      <c r="V82" s="2">
        <v>1739</v>
      </c>
      <c r="W82" s="2">
        <v>1739</v>
      </c>
    </row>
    <row r="83" spans="1:23" x14ac:dyDescent="0.35">
      <c r="A83" s="2" t="s">
        <v>701</v>
      </c>
      <c r="B83" s="2">
        <v>1781</v>
      </c>
      <c r="C83" s="2">
        <v>1796</v>
      </c>
      <c r="D83" s="2">
        <v>1784</v>
      </c>
      <c r="E83" s="2">
        <v>1792</v>
      </c>
      <c r="F83" s="2">
        <v>1780</v>
      </c>
      <c r="G83" s="2">
        <v>1798</v>
      </c>
      <c r="H83" s="2">
        <v>1782</v>
      </c>
      <c r="I83" s="2">
        <v>1770</v>
      </c>
      <c r="J83" s="2">
        <v>1783</v>
      </c>
      <c r="K83" s="2">
        <v>1771</v>
      </c>
      <c r="L83" s="2">
        <v>1762</v>
      </c>
      <c r="M83" s="2">
        <v>1751</v>
      </c>
      <c r="N83" s="2">
        <v>1736</v>
      </c>
      <c r="O83" s="2">
        <v>1736</v>
      </c>
      <c r="P83" s="2">
        <v>1736</v>
      </c>
      <c r="Q83" s="2">
        <v>1736</v>
      </c>
      <c r="R83" s="2">
        <v>1736</v>
      </c>
      <c r="S83" s="2">
        <v>1736</v>
      </c>
      <c r="T83" s="2">
        <v>1736</v>
      </c>
      <c r="U83" s="2">
        <v>1736</v>
      </c>
      <c r="V83" s="2">
        <v>1736</v>
      </c>
      <c r="W83" s="2">
        <v>1736</v>
      </c>
    </row>
    <row r="84" spans="1:23" x14ac:dyDescent="0.35">
      <c r="A84" s="2" t="s">
        <v>693</v>
      </c>
      <c r="B84" s="2">
        <v>1746</v>
      </c>
      <c r="C84" s="2">
        <v>1738</v>
      </c>
      <c r="D84" s="2">
        <v>1729</v>
      </c>
      <c r="E84" s="2">
        <v>1710</v>
      </c>
      <c r="F84" s="2">
        <v>1726</v>
      </c>
      <c r="G84" s="2">
        <v>1753</v>
      </c>
      <c r="H84" s="2">
        <v>1742</v>
      </c>
      <c r="I84" s="2">
        <v>1727</v>
      </c>
      <c r="J84" s="2">
        <v>1747</v>
      </c>
      <c r="K84" s="2">
        <v>1736</v>
      </c>
      <c r="L84" s="2">
        <v>1727</v>
      </c>
      <c r="M84" s="2">
        <v>1743</v>
      </c>
      <c r="N84" s="2">
        <v>1734</v>
      </c>
      <c r="O84" s="2">
        <v>1734</v>
      </c>
      <c r="P84" s="2">
        <v>1734</v>
      </c>
      <c r="Q84" s="2">
        <v>1734</v>
      </c>
      <c r="R84" s="2">
        <v>1734</v>
      </c>
      <c r="S84" s="2">
        <v>1734</v>
      </c>
      <c r="T84" s="2">
        <v>1734</v>
      </c>
      <c r="U84" s="2">
        <v>1734</v>
      </c>
      <c r="V84" s="2">
        <v>1734</v>
      </c>
      <c r="W84" s="2">
        <v>1734</v>
      </c>
    </row>
    <row r="85" spans="1:23" x14ac:dyDescent="0.35">
      <c r="A85" s="2" t="s">
        <v>777</v>
      </c>
      <c r="B85" s="2">
        <v>1791</v>
      </c>
      <c r="C85" s="2">
        <v>1773</v>
      </c>
      <c r="D85" s="2">
        <v>1765</v>
      </c>
      <c r="E85" s="2">
        <v>1776</v>
      </c>
      <c r="F85" s="2">
        <v>1765</v>
      </c>
      <c r="G85" s="2">
        <v>1755</v>
      </c>
      <c r="H85" s="2">
        <v>1744</v>
      </c>
      <c r="I85" s="2">
        <v>1736</v>
      </c>
      <c r="J85" s="2">
        <v>1749</v>
      </c>
      <c r="K85" s="2">
        <v>1736</v>
      </c>
      <c r="L85" s="2">
        <v>1755</v>
      </c>
      <c r="M85" s="2">
        <v>1746</v>
      </c>
      <c r="N85" s="2">
        <v>1730</v>
      </c>
      <c r="O85" s="2">
        <v>1730</v>
      </c>
      <c r="P85" s="2">
        <v>1730</v>
      </c>
      <c r="Q85" s="2">
        <v>1730</v>
      </c>
      <c r="R85" s="2">
        <v>1730</v>
      </c>
      <c r="S85" s="2">
        <v>1730</v>
      </c>
      <c r="T85" s="2">
        <v>1730</v>
      </c>
      <c r="U85" s="2">
        <v>1730</v>
      </c>
      <c r="V85" s="2">
        <v>1730</v>
      </c>
      <c r="W85" s="2">
        <v>1730</v>
      </c>
    </row>
    <row r="86" spans="1:23" x14ac:dyDescent="0.35">
      <c r="A86" s="2" t="s">
        <v>771</v>
      </c>
      <c r="B86" s="2">
        <v>1774</v>
      </c>
      <c r="C86" s="2">
        <v>1764</v>
      </c>
      <c r="D86" s="2">
        <v>1754</v>
      </c>
      <c r="E86" s="2">
        <v>1743</v>
      </c>
      <c r="F86" s="2">
        <v>1758</v>
      </c>
      <c r="G86" s="2">
        <v>1750</v>
      </c>
      <c r="H86" s="2">
        <v>1740</v>
      </c>
      <c r="I86" s="2">
        <v>1721</v>
      </c>
      <c r="J86" s="2">
        <v>1710</v>
      </c>
      <c r="K86" s="2">
        <v>1729</v>
      </c>
      <c r="L86" s="2">
        <v>1720</v>
      </c>
      <c r="M86" s="2">
        <v>1742</v>
      </c>
      <c r="N86" s="2">
        <v>1730</v>
      </c>
      <c r="O86" s="2">
        <v>1730</v>
      </c>
      <c r="P86" s="2">
        <v>1730</v>
      </c>
      <c r="Q86" s="2">
        <v>1730</v>
      </c>
      <c r="R86" s="2">
        <v>1730</v>
      </c>
      <c r="S86" s="2">
        <v>1730</v>
      </c>
      <c r="T86" s="2">
        <v>1730</v>
      </c>
      <c r="U86" s="2">
        <v>1730</v>
      </c>
      <c r="V86" s="2">
        <v>1730</v>
      </c>
      <c r="W86" s="2">
        <v>1730</v>
      </c>
    </row>
    <row r="87" spans="1:23" x14ac:dyDescent="0.35">
      <c r="A87" s="2" t="s">
        <v>760</v>
      </c>
      <c r="B87" s="2">
        <v>1882</v>
      </c>
      <c r="C87" s="2">
        <v>1864</v>
      </c>
      <c r="D87" s="2">
        <v>1850</v>
      </c>
      <c r="E87" s="2">
        <v>1837</v>
      </c>
      <c r="F87" s="2">
        <v>1822</v>
      </c>
      <c r="G87" s="2">
        <v>1795</v>
      </c>
      <c r="H87" s="2">
        <v>1780</v>
      </c>
      <c r="I87" s="2">
        <v>1766</v>
      </c>
      <c r="J87" s="2">
        <v>1755</v>
      </c>
      <c r="K87" s="2">
        <v>1772</v>
      </c>
      <c r="L87" s="2">
        <v>1758</v>
      </c>
      <c r="M87" s="2">
        <v>1742</v>
      </c>
      <c r="N87" s="2">
        <v>1729</v>
      </c>
      <c r="O87" s="2">
        <v>1729</v>
      </c>
      <c r="P87" s="2">
        <v>1729</v>
      </c>
      <c r="Q87" s="2">
        <v>1729</v>
      </c>
      <c r="R87" s="2">
        <v>1729</v>
      </c>
      <c r="S87" s="2">
        <v>1729</v>
      </c>
      <c r="T87" s="2">
        <v>1729</v>
      </c>
      <c r="U87" s="2">
        <v>1729</v>
      </c>
      <c r="V87" s="2">
        <v>1729</v>
      </c>
      <c r="W87" s="2">
        <v>1729</v>
      </c>
    </row>
    <row r="88" spans="1:23" x14ac:dyDescent="0.35">
      <c r="A88" s="2" t="s">
        <v>753</v>
      </c>
      <c r="B88" s="2">
        <v>1798</v>
      </c>
      <c r="C88" s="2">
        <v>1809</v>
      </c>
      <c r="D88" s="2">
        <v>1785</v>
      </c>
      <c r="E88" s="2">
        <v>1773</v>
      </c>
      <c r="F88" s="2">
        <v>1786</v>
      </c>
      <c r="G88" s="2">
        <v>1769</v>
      </c>
      <c r="H88" s="2">
        <v>1758</v>
      </c>
      <c r="I88" s="2">
        <v>1777</v>
      </c>
      <c r="J88" s="2">
        <v>1764</v>
      </c>
      <c r="K88" s="2">
        <v>1754</v>
      </c>
      <c r="L88" s="2">
        <v>1739</v>
      </c>
      <c r="M88" s="2">
        <v>1728</v>
      </c>
      <c r="N88" s="2">
        <v>1720</v>
      </c>
      <c r="O88" s="2">
        <v>1720</v>
      </c>
      <c r="P88" s="2">
        <v>1720</v>
      </c>
      <c r="Q88" s="2">
        <v>1720</v>
      </c>
      <c r="R88" s="2">
        <v>1720</v>
      </c>
      <c r="S88" s="2">
        <v>1720</v>
      </c>
      <c r="T88" s="2">
        <v>1720</v>
      </c>
      <c r="U88" s="2">
        <v>1720</v>
      </c>
      <c r="V88" s="2">
        <v>1720</v>
      </c>
      <c r="W88" s="2">
        <v>1720</v>
      </c>
    </row>
    <row r="89" spans="1:23" x14ac:dyDescent="0.35">
      <c r="A89" t="s">
        <v>1156</v>
      </c>
      <c r="B89" s="2">
        <v>1800</v>
      </c>
      <c r="C89" s="2">
        <v>1789</v>
      </c>
      <c r="D89" s="2">
        <v>1778</v>
      </c>
      <c r="E89" s="2">
        <v>1768</v>
      </c>
      <c r="F89" s="2">
        <v>1780</v>
      </c>
      <c r="G89" s="2">
        <v>1770</v>
      </c>
      <c r="H89" s="2">
        <v>1788</v>
      </c>
      <c r="I89" s="2">
        <v>1778</v>
      </c>
      <c r="J89" s="2">
        <v>1767</v>
      </c>
      <c r="K89" s="2">
        <v>1755</v>
      </c>
      <c r="L89" s="2">
        <v>1741</v>
      </c>
      <c r="M89" s="2">
        <v>1725</v>
      </c>
      <c r="N89" s="2">
        <v>1717</v>
      </c>
      <c r="O89" s="2">
        <v>1717</v>
      </c>
      <c r="P89" s="2">
        <v>1717</v>
      </c>
      <c r="Q89" s="2">
        <v>1717</v>
      </c>
      <c r="R89" s="2">
        <v>1717</v>
      </c>
      <c r="S89" s="2">
        <v>1717</v>
      </c>
      <c r="T89" s="2">
        <v>1717</v>
      </c>
      <c r="U89" s="2">
        <v>1717</v>
      </c>
      <c r="V89" s="2">
        <v>1717</v>
      </c>
      <c r="W89" s="2">
        <v>1717</v>
      </c>
    </row>
    <row r="90" spans="1:23" x14ac:dyDescent="0.35">
      <c r="A90" s="2" t="s">
        <v>792</v>
      </c>
      <c r="B90" s="2">
        <v>1735</v>
      </c>
      <c r="C90" s="2">
        <v>1750</v>
      </c>
      <c r="D90" s="2">
        <v>1739</v>
      </c>
      <c r="E90" s="2">
        <v>1729</v>
      </c>
      <c r="F90" s="2">
        <v>1746</v>
      </c>
      <c r="G90" s="2">
        <v>1735</v>
      </c>
      <c r="H90" s="2">
        <v>1725</v>
      </c>
      <c r="I90" s="2">
        <v>1716</v>
      </c>
      <c r="J90" s="2">
        <v>1707</v>
      </c>
      <c r="K90" s="2">
        <v>1720</v>
      </c>
      <c r="L90" s="2">
        <v>1739</v>
      </c>
      <c r="M90" s="2">
        <v>1727</v>
      </c>
      <c r="N90" s="2">
        <v>1714</v>
      </c>
      <c r="O90" s="2">
        <v>1714</v>
      </c>
      <c r="P90" s="2">
        <v>1714</v>
      </c>
      <c r="Q90" s="2">
        <v>1714</v>
      </c>
      <c r="R90" s="2">
        <v>1714</v>
      </c>
      <c r="S90" s="2">
        <v>1714</v>
      </c>
      <c r="T90" s="2">
        <v>1714</v>
      </c>
      <c r="U90" s="2">
        <v>1714</v>
      </c>
      <c r="V90" s="2">
        <v>1714</v>
      </c>
      <c r="W90" s="2">
        <v>1714</v>
      </c>
    </row>
    <row r="91" spans="1:23" x14ac:dyDescent="0.35">
      <c r="A91" s="2" t="s">
        <v>706</v>
      </c>
      <c r="B91" s="2">
        <v>1806</v>
      </c>
      <c r="C91" s="2">
        <v>1787</v>
      </c>
      <c r="D91" s="2">
        <v>1776</v>
      </c>
      <c r="E91" s="2">
        <v>1764</v>
      </c>
      <c r="F91" s="2">
        <v>1748</v>
      </c>
      <c r="G91" s="2">
        <v>1740</v>
      </c>
      <c r="H91" s="2">
        <v>1727</v>
      </c>
      <c r="I91" s="2">
        <v>1716</v>
      </c>
      <c r="J91" s="2">
        <v>1705</v>
      </c>
      <c r="K91" s="2">
        <v>1690</v>
      </c>
      <c r="L91" s="2">
        <v>1708</v>
      </c>
      <c r="M91" s="2">
        <v>1696</v>
      </c>
      <c r="N91" s="2">
        <v>1711</v>
      </c>
      <c r="O91" s="2">
        <v>1711</v>
      </c>
      <c r="P91" s="2">
        <v>1711</v>
      </c>
      <c r="Q91" s="2">
        <v>1711</v>
      </c>
      <c r="R91" s="2">
        <v>1711</v>
      </c>
      <c r="S91" s="2">
        <v>1711</v>
      </c>
      <c r="T91" s="2">
        <v>1711</v>
      </c>
      <c r="U91" s="2">
        <v>1711</v>
      </c>
      <c r="V91" s="2">
        <v>1711</v>
      </c>
      <c r="W91" s="2">
        <v>1711</v>
      </c>
    </row>
    <row r="92" spans="1:23" x14ac:dyDescent="0.35">
      <c r="A92" s="2" t="s">
        <v>678</v>
      </c>
      <c r="B92" s="2">
        <v>1722</v>
      </c>
      <c r="C92" s="2">
        <v>1711</v>
      </c>
      <c r="D92" s="2">
        <v>1699</v>
      </c>
      <c r="E92" s="2">
        <v>1688</v>
      </c>
      <c r="F92" s="2">
        <v>1675</v>
      </c>
      <c r="G92" s="2">
        <v>1690</v>
      </c>
      <c r="H92" s="2">
        <v>1679</v>
      </c>
      <c r="I92" s="2">
        <v>1669</v>
      </c>
      <c r="J92" s="2">
        <v>1662</v>
      </c>
      <c r="K92" s="2">
        <v>1646</v>
      </c>
      <c r="L92" s="2">
        <v>1662</v>
      </c>
      <c r="M92" s="2">
        <v>1680</v>
      </c>
      <c r="N92" s="2">
        <v>1696</v>
      </c>
      <c r="O92" s="2">
        <v>1696</v>
      </c>
      <c r="P92" s="2">
        <v>1696</v>
      </c>
      <c r="Q92" s="2">
        <v>1696</v>
      </c>
      <c r="R92" s="2">
        <v>1696</v>
      </c>
      <c r="S92" s="2">
        <v>1696</v>
      </c>
      <c r="T92" s="2">
        <v>1696</v>
      </c>
      <c r="U92" s="2">
        <v>1696</v>
      </c>
      <c r="V92" s="2">
        <v>1696</v>
      </c>
      <c r="W92" s="2">
        <v>1696</v>
      </c>
    </row>
    <row r="93" spans="1:23" x14ac:dyDescent="0.35">
      <c r="A93" s="2" t="s">
        <v>772</v>
      </c>
      <c r="B93" s="2">
        <v>1699</v>
      </c>
      <c r="C93" s="2">
        <v>1688</v>
      </c>
      <c r="D93" s="2">
        <v>1678</v>
      </c>
      <c r="E93" s="2">
        <v>1697</v>
      </c>
      <c r="F93" s="2">
        <v>1688</v>
      </c>
      <c r="G93" s="2">
        <v>1681</v>
      </c>
      <c r="H93" s="2">
        <v>1695</v>
      </c>
      <c r="I93" s="2">
        <v>1687</v>
      </c>
      <c r="J93" s="2">
        <v>1680</v>
      </c>
      <c r="K93" s="2">
        <v>1672</v>
      </c>
      <c r="L93" s="2">
        <v>1663</v>
      </c>
      <c r="M93" s="2">
        <v>1679</v>
      </c>
      <c r="N93" s="2">
        <v>1692</v>
      </c>
      <c r="O93" s="2">
        <v>1692</v>
      </c>
      <c r="P93" s="2">
        <v>1692</v>
      </c>
      <c r="Q93" s="2">
        <v>1692</v>
      </c>
      <c r="R93" s="2">
        <v>1692</v>
      </c>
      <c r="S93" s="2">
        <v>1692</v>
      </c>
      <c r="T93" s="2">
        <v>1692</v>
      </c>
      <c r="U93" s="2">
        <v>1692</v>
      </c>
      <c r="V93" s="2">
        <v>1692</v>
      </c>
      <c r="W93" s="2">
        <v>1692</v>
      </c>
    </row>
    <row r="94" spans="1:23" x14ac:dyDescent="0.35">
      <c r="A94" s="2" t="s">
        <v>677</v>
      </c>
      <c r="B94" s="2">
        <v>1760</v>
      </c>
      <c r="C94" s="2">
        <v>1753</v>
      </c>
      <c r="D94" s="2">
        <v>1739</v>
      </c>
      <c r="E94" s="2">
        <v>1728</v>
      </c>
      <c r="F94" s="2">
        <v>1715</v>
      </c>
      <c r="G94" s="2">
        <v>1707</v>
      </c>
      <c r="H94" s="2">
        <v>1729</v>
      </c>
      <c r="I94" s="2">
        <v>1718</v>
      </c>
      <c r="J94" s="2">
        <v>1708</v>
      </c>
      <c r="K94" s="2">
        <v>1698</v>
      </c>
      <c r="L94" s="2">
        <v>1688</v>
      </c>
      <c r="M94" s="2">
        <v>1676</v>
      </c>
      <c r="N94" s="2">
        <v>1692</v>
      </c>
      <c r="O94" s="2">
        <v>1692</v>
      </c>
      <c r="P94" s="2">
        <v>1692</v>
      </c>
      <c r="Q94" s="2">
        <v>1692</v>
      </c>
      <c r="R94" s="2">
        <v>1692</v>
      </c>
      <c r="S94" s="2">
        <v>1692</v>
      </c>
      <c r="T94" s="2">
        <v>1692</v>
      </c>
      <c r="U94" s="2">
        <v>1692</v>
      </c>
      <c r="V94" s="2">
        <v>1692</v>
      </c>
      <c r="W94" s="2">
        <v>1692</v>
      </c>
    </row>
    <row r="95" spans="1:23" x14ac:dyDescent="0.35">
      <c r="A95" s="2" t="s">
        <v>465</v>
      </c>
      <c r="B95" s="2">
        <v>1708</v>
      </c>
      <c r="C95" s="2">
        <v>1723</v>
      </c>
      <c r="D95" s="2">
        <v>1712</v>
      </c>
      <c r="E95" s="2">
        <v>1703</v>
      </c>
      <c r="F95" s="2">
        <v>1694</v>
      </c>
      <c r="G95" s="2">
        <v>1684</v>
      </c>
      <c r="H95" s="2">
        <v>1699</v>
      </c>
      <c r="I95" s="2">
        <v>1690</v>
      </c>
      <c r="J95" s="2">
        <v>1677</v>
      </c>
      <c r="K95" s="2">
        <v>1669</v>
      </c>
      <c r="L95" s="2">
        <v>1684</v>
      </c>
      <c r="M95" s="2">
        <v>1674</v>
      </c>
      <c r="N95" s="2">
        <v>1690</v>
      </c>
      <c r="O95" s="2">
        <v>1690</v>
      </c>
      <c r="P95" s="2">
        <v>1690</v>
      </c>
      <c r="Q95" s="2">
        <v>1690</v>
      </c>
      <c r="R95" s="2">
        <v>1690</v>
      </c>
      <c r="S95" s="2">
        <v>1690</v>
      </c>
      <c r="T95" s="2">
        <v>1690</v>
      </c>
      <c r="U95" s="2">
        <v>1690</v>
      </c>
      <c r="V95" s="2">
        <v>1690</v>
      </c>
      <c r="W95" s="2">
        <v>1690</v>
      </c>
    </row>
    <row r="96" spans="1:23" x14ac:dyDescent="0.35">
      <c r="A96" s="2" t="s">
        <v>723</v>
      </c>
      <c r="B96" s="2">
        <v>1674</v>
      </c>
      <c r="C96" s="2">
        <v>1692</v>
      </c>
      <c r="D96" s="2">
        <v>1682</v>
      </c>
      <c r="E96" s="2">
        <v>1674</v>
      </c>
      <c r="F96" s="2">
        <v>1666</v>
      </c>
      <c r="G96" s="2">
        <v>1683</v>
      </c>
      <c r="H96" s="2">
        <v>1675</v>
      </c>
      <c r="I96" s="2">
        <v>1665</v>
      </c>
      <c r="J96" s="2">
        <v>1658</v>
      </c>
      <c r="K96" s="2">
        <v>1675</v>
      </c>
      <c r="L96" s="2">
        <v>1695</v>
      </c>
      <c r="M96" s="2">
        <v>1686</v>
      </c>
      <c r="N96" s="2">
        <v>1676</v>
      </c>
      <c r="O96" s="2">
        <v>1676</v>
      </c>
      <c r="P96" s="2">
        <v>1676</v>
      </c>
      <c r="Q96" s="2">
        <v>1676</v>
      </c>
      <c r="R96" s="2">
        <v>1676</v>
      </c>
      <c r="S96" s="2">
        <v>1676</v>
      </c>
      <c r="T96" s="2">
        <v>1676</v>
      </c>
      <c r="U96" s="2">
        <v>1676</v>
      </c>
      <c r="V96" s="2">
        <v>1676</v>
      </c>
      <c r="W96" s="2">
        <v>1676</v>
      </c>
    </row>
    <row r="97" spans="1:23" x14ac:dyDescent="0.35">
      <c r="A97" s="2" t="s">
        <v>726</v>
      </c>
      <c r="B97" s="2">
        <v>1751</v>
      </c>
      <c r="C97" s="2">
        <v>1743</v>
      </c>
      <c r="D97" s="2">
        <v>1757</v>
      </c>
      <c r="E97" s="2">
        <v>1742</v>
      </c>
      <c r="F97" s="2">
        <v>1731</v>
      </c>
      <c r="G97" s="2">
        <v>1718</v>
      </c>
      <c r="H97" s="2">
        <v>1702</v>
      </c>
      <c r="I97" s="2">
        <v>1690</v>
      </c>
      <c r="J97" s="2">
        <v>1682</v>
      </c>
      <c r="K97" s="2">
        <v>1673</v>
      </c>
      <c r="L97" s="2">
        <v>1667</v>
      </c>
      <c r="M97" s="2">
        <v>1659</v>
      </c>
      <c r="N97" s="2">
        <v>1649</v>
      </c>
      <c r="O97" s="2">
        <v>1649</v>
      </c>
      <c r="P97" s="2">
        <v>1649</v>
      </c>
      <c r="Q97" s="2">
        <v>1649</v>
      </c>
      <c r="R97" s="2">
        <v>1649</v>
      </c>
      <c r="S97" s="2">
        <v>1649</v>
      </c>
      <c r="T97" s="2">
        <v>1649</v>
      </c>
      <c r="U97" s="2">
        <v>1649</v>
      </c>
      <c r="V97" s="2">
        <v>1649</v>
      </c>
      <c r="W97" s="2">
        <v>1649</v>
      </c>
    </row>
  </sheetData>
  <sortState xmlns:xlrd2="http://schemas.microsoft.com/office/spreadsheetml/2017/richdata2" ref="A2:W97">
    <sortCondition descending="1" ref="W2:W9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T617"/>
  <sheetViews>
    <sheetView workbookViewId="0">
      <pane ySplit="1" topLeftCell="A574" activePane="bottomLeft" state="frozen"/>
      <selection pane="bottomLeft" activeCell="E601" sqref="E601:H601"/>
    </sheetView>
  </sheetViews>
  <sheetFormatPr defaultRowHeight="14.5" x14ac:dyDescent="0.35"/>
  <cols>
    <col min="2" max="2" width="7" customWidth="1"/>
    <col min="3" max="3" width="6.453125" customWidth="1"/>
    <col min="4" max="4" width="4.08984375" style="34" customWidth="1"/>
    <col min="5" max="5" width="20.36328125" style="1" customWidth="1"/>
    <col min="6" max="6" width="5.90625" style="34" bestFit="1" customWidth="1"/>
    <col min="7" max="7" width="5.90625" style="46" bestFit="1" customWidth="1"/>
    <col min="8" max="8" width="18.08984375" style="11" customWidth="1"/>
    <col min="9" max="9" width="4.08984375" style="46" customWidth="1"/>
    <col min="10" max="10" width="6.6328125" customWidth="1"/>
    <col min="11" max="11" width="36.08984375" customWidth="1"/>
    <col min="13" max="13" width="20" customWidth="1"/>
    <col min="14" max="15" width="4.90625" customWidth="1"/>
    <col min="16" max="16" width="19.6328125" customWidth="1"/>
  </cols>
  <sheetData>
    <row r="1" spans="1:18" s="1" customFormat="1" x14ac:dyDescent="0.35">
      <c r="D1" s="34" t="s">
        <v>1136</v>
      </c>
      <c r="E1" s="1" t="s">
        <v>694</v>
      </c>
      <c r="F1" s="34" t="s">
        <v>695</v>
      </c>
      <c r="G1" s="34" t="s">
        <v>695</v>
      </c>
      <c r="H1" s="37" t="s">
        <v>696</v>
      </c>
      <c r="I1" s="34" t="s">
        <v>1136</v>
      </c>
      <c r="J1" s="1" t="s">
        <v>697</v>
      </c>
      <c r="K1" s="1" t="s">
        <v>698</v>
      </c>
      <c r="L1" s="36">
        <f>[1]ScoreboardNCAA!I4</f>
        <v>3</v>
      </c>
      <c r="M1" s="1" t="str">
        <f>[1]ScoreboardNCAA!B2</f>
        <v>Resort Area</v>
      </c>
      <c r="N1" s="1">
        <f>[1]ScoreboardNCAA!F6</f>
        <v>0</v>
      </c>
      <c r="O1" s="1">
        <f>[1]ScoreboardNCAA!N6</f>
        <v>4</v>
      </c>
      <c r="P1" s="37" t="str">
        <f>[1]ScoreboardNCAA!N2</f>
        <v>Cinnabar Island</v>
      </c>
      <c r="Q1" s="38">
        <f>[1]ScoreboardNCAA!M4</f>
        <v>1</v>
      </c>
      <c r="R1" s="1" t="str">
        <f>IF(N1&gt;=O1,CONCATENATE("[",COUNTA([1]ScoreboardNCAA!B6:E10),"-",COUNTA([1]ScoreboardNCAA!Q6:T10),"]"),CONCATENATE("[",COUNTA([1]ScoreboardNCAA!Q6:T10),"-",COUNTA([1]ScoreboardNCAA!B6:E10),"]"))</f>
        <v>[2-0]</v>
      </c>
    </row>
    <row r="2" spans="1:18" x14ac:dyDescent="0.35">
      <c r="A2">
        <f>(F2/G2)</f>
        <v>1.2307692307692308</v>
      </c>
      <c r="B2" t="s">
        <v>1098</v>
      </c>
      <c r="C2">
        <v>1</v>
      </c>
      <c r="D2" s="34">
        <v>11</v>
      </c>
      <c r="E2" s="1" t="s">
        <v>750</v>
      </c>
      <c r="F2" s="34">
        <v>16</v>
      </c>
      <c r="G2" s="46">
        <v>13</v>
      </c>
      <c r="H2" s="11" t="s">
        <v>755</v>
      </c>
      <c r="J2" t="s">
        <v>721</v>
      </c>
    </row>
    <row r="3" spans="1:18" x14ac:dyDescent="0.35">
      <c r="A3">
        <f t="shared" ref="A3:A74" si="0">(F3/G3)</f>
        <v>2.1666666666666665</v>
      </c>
      <c r="C3">
        <v>2</v>
      </c>
      <c r="D3" s="34">
        <v>13</v>
      </c>
      <c r="E3" s="1" t="s">
        <v>743</v>
      </c>
      <c r="F3" s="34">
        <v>26</v>
      </c>
      <c r="G3" s="46">
        <v>12</v>
      </c>
      <c r="H3" s="11" t="s">
        <v>678</v>
      </c>
      <c r="J3" t="s">
        <v>793</v>
      </c>
    </row>
    <row r="4" spans="1:18" x14ac:dyDescent="0.35">
      <c r="A4">
        <f t="shared" si="0"/>
        <v>1.05</v>
      </c>
      <c r="C4">
        <v>3</v>
      </c>
      <c r="E4" s="1" t="s">
        <v>670</v>
      </c>
      <c r="F4" s="34">
        <v>21</v>
      </c>
      <c r="G4" s="46">
        <v>20</v>
      </c>
      <c r="H4" s="11" t="s">
        <v>642</v>
      </c>
      <c r="J4" t="s">
        <v>735</v>
      </c>
      <c r="K4" s="41" t="s">
        <v>1137</v>
      </c>
    </row>
    <row r="5" spans="1:18" x14ac:dyDescent="0.35">
      <c r="A5">
        <f t="shared" si="0"/>
        <v>1.2307692307692308</v>
      </c>
      <c r="C5">
        <v>4</v>
      </c>
      <c r="E5" s="1" t="s">
        <v>465</v>
      </c>
      <c r="F5" s="34">
        <v>16</v>
      </c>
      <c r="G5" s="46">
        <v>13</v>
      </c>
      <c r="H5" s="11" t="s">
        <v>779</v>
      </c>
      <c r="I5" s="46">
        <v>25</v>
      </c>
      <c r="J5" t="s">
        <v>724</v>
      </c>
    </row>
    <row r="6" spans="1:18" x14ac:dyDescent="0.35">
      <c r="A6">
        <f t="shared" si="0"/>
        <v>1.0714285714285714</v>
      </c>
      <c r="C6">
        <v>5</v>
      </c>
      <c r="D6" s="34">
        <v>19</v>
      </c>
      <c r="E6" s="1" t="s">
        <v>676</v>
      </c>
      <c r="F6" s="34">
        <v>15</v>
      </c>
      <c r="G6" s="46">
        <v>14</v>
      </c>
      <c r="H6" s="11" t="s">
        <v>671</v>
      </c>
      <c r="J6" t="s">
        <v>705</v>
      </c>
    </row>
    <row r="7" spans="1:18" x14ac:dyDescent="0.35">
      <c r="A7">
        <f t="shared" si="0"/>
        <v>1.2857142857142858</v>
      </c>
      <c r="C7">
        <v>6</v>
      </c>
      <c r="E7" s="1" t="s">
        <v>466</v>
      </c>
      <c r="F7" s="34">
        <v>18</v>
      </c>
      <c r="G7" s="46">
        <v>14</v>
      </c>
      <c r="H7" s="11" t="s">
        <v>582</v>
      </c>
      <c r="J7" t="s">
        <v>796</v>
      </c>
    </row>
    <row r="8" spans="1:18" x14ac:dyDescent="0.35">
      <c r="A8">
        <f t="shared" si="0"/>
        <v>1.1000000000000001</v>
      </c>
      <c r="C8">
        <v>7</v>
      </c>
      <c r="E8" s="1" t="s">
        <v>792</v>
      </c>
      <c r="F8" s="34">
        <v>11</v>
      </c>
      <c r="G8" s="46">
        <v>10</v>
      </c>
      <c r="H8" s="11" t="s">
        <v>718</v>
      </c>
      <c r="I8" s="46">
        <v>10</v>
      </c>
      <c r="J8" t="s">
        <v>762</v>
      </c>
    </row>
    <row r="9" spans="1:18" x14ac:dyDescent="0.35">
      <c r="A9">
        <f t="shared" si="0"/>
        <v>1.1538461538461537</v>
      </c>
      <c r="C9">
        <v>8</v>
      </c>
      <c r="D9" s="34">
        <v>15</v>
      </c>
      <c r="E9" s="1" t="s">
        <v>780</v>
      </c>
      <c r="F9" s="34">
        <v>15</v>
      </c>
      <c r="G9" s="46">
        <v>13</v>
      </c>
      <c r="H9" s="11" t="s">
        <v>679</v>
      </c>
      <c r="J9" t="s">
        <v>707</v>
      </c>
    </row>
    <row r="10" spans="1:18" x14ac:dyDescent="0.35">
      <c r="A10">
        <f t="shared" si="0"/>
        <v>1.8</v>
      </c>
      <c r="C10">
        <v>9</v>
      </c>
      <c r="D10" s="34">
        <v>12</v>
      </c>
      <c r="E10" s="1" t="s">
        <v>751</v>
      </c>
      <c r="F10" s="34">
        <v>18</v>
      </c>
      <c r="G10" s="46">
        <v>10</v>
      </c>
      <c r="H10" s="11" t="s">
        <v>680</v>
      </c>
      <c r="J10" t="s">
        <v>724</v>
      </c>
    </row>
    <row r="11" spans="1:18" x14ac:dyDescent="0.35">
      <c r="A11">
        <f t="shared" si="0"/>
        <v>3.6</v>
      </c>
      <c r="C11">
        <v>10</v>
      </c>
      <c r="E11" s="1" t="s">
        <v>742</v>
      </c>
      <c r="F11" s="34">
        <v>18</v>
      </c>
      <c r="G11" s="46">
        <v>5</v>
      </c>
      <c r="H11" s="11" t="s">
        <v>700</v>
      </c>
      <c r="J11" t="s">
        <v>1138</v>
      </c>
    </row>
    <row r="12" spans="1:18" x14ac:dyDescent="0.35">
      <c r="A12">
        <f t="shared" si="0"/>
        <v>2.7142857142857144</v>
      </c>
      <c r="C12">
        <v>11</v>
      </c>
      <c r="D12" s="34">
        <v>24</v>
      </c>
      <c r="E12" s="1" t="s">
        <v>720</v>
      </c>
      <c r="F12" s="34">
        <v>19</v>
      </c>
      <c r="G12" s="46">
        <v>7</v>
      </c>
      <c r="H12" s="11" t="s">
        <v>665</v>
      </c>
      <c r="J12" t="s">
        <v>748</v>
      </c>
    </row>
    <row r="13" spans="1:18" x14ac:dyDescent="0.35">
      <c r="A13">
        <f t="shared" si="0"/>
        <v>1.7</v>
      </c>
      <c r="C13">
        <v>12</v>
      </c>
      <c r="E13" s="1" t="s">
        <v>704</v>
      </c>
      <c r="F13" s="34">
        <v>17</v>
      </c>
      <c r="G13" s="46">
        <v>10</v>
      </c>
      <c r="H13" s="11" t="s">
        <v>640</v>
      </c>
      <c r="J13" t="s">
        <v>796</v>
      </c>
    </row>
    <row r="14" spans="1:18" x14ac:dyDescent="0.35">
      <c r="A14">
        <f t="shared" si="0"/>
        <v>1.1333333333333333</v>
      </c>
      <c r="C14">
        <v>13</v>
      </c>
      <c r="D14" s="34">
        <v>7</v>
      </c>
      <c r="E14" s="1" t="s">
        <v>763</v>
      </c>
      <c r="F14" s="34">
        <v>17</v>
      </c>
      <c r="G14" s="46">
        <v>15</v>
      </c>
      <c r="H14" s="11" t="s">
        <v>693</v>
      </c>
      <c r="J14" t="s">
        <v>950</v>
      </c>
    </row>
    <row r="15" spans="1:18" x14ac:dyDescent="0.35">
      <c r="A15">
        <f t="shared" si="0"/>
        <v>1.6153846153846154</v>
      </c>
      <c r="C15">
        <v>14</v>
      </c>
      <c r="E15" s="1" t="s">
        <v>701</v>
      </c>
      <c r="F15" s="34">
        <v>21</v>
      </c>
      <c r="G15" s="46">
        <v>13</v>
      </c>
      <c r="H15" s="11" t="s">
        <v>646</v>
      </c>
      <c r="J15" t="s">
        <v>881</v>
      </c>
    </row>
    <row r="16" spans="1:18" x14ac:dyDescent="0.35">
      <c r="A16">
        <f t="shared" si="0"/>
        <v>1.6363636363636365</v>
      </c>
      <c r="C16">
        <v>15</v>
      </c>
      <c r="E16" s="1" t="s">
        <v>756</v>
      </c>
      <c r="F16" s="34">
        <v>18</v>
      </c>
      <c r="G16" s="46">
        <v>11</v>
      </c>
      <c r="H16" s="11" t="s">
        <v>764</v>
      </c>
      <c r="J16" t="s">
        <v>796</v>
      </c>
    </row>
    <row r="17" spans="1:11" x14ac:dyDescent="0.35">
      <c r="A17">
        <f t="shared" si="0"/>
        <v>1.4375</v>
      </c>
      <c r="C17">
        <v>16</v>
      </c>
      <c r="D17" s="34">
        <v>14</v>
      </c>
      <c r="E17" s="1" t="s">
        <v>776</v>
      </c>
      <c r="F17" s="34">
        <v>23</v>
      </c>
      <c r="G17" s="46">
        <v>16</v>
      </c>
      <c r="H17" s="11" t="s">
        <v>774</v>
      </c>
      <c r="J17" t="s">
        <v>818</v>
      </c>
    </row>
    <row r="18" spans="1:11" x14ac:dyDescent="0.35">
      <c r="A18">
        <f t="shared" si="0"/>
        <v>1.6363636363636365</v>
      </c>
      <c r="C18">
        <v>17</v>
      </c>
      <c r="D18" s="34">
        <v>20</v>
      </c>
      <c r="E18" s="1" t="s">
        <v>641</v>
      </c>
      <c r="F18" s="34">
        <v>18</v>
      </c>
      <c r="G18" s="46">
        <v>11</v>
      </c>
      <c r="H18" s="11" t="s">
        <v>672</v>
      </c>
      <c r="J18" t="s">
        <v>773</v>
      </c>
    </row>
    <row r="19" spans="1:11" x14ac:dyDescent="0.35">
      <c r="A19">
        <f t="shared" si="0"/>
        <v>2</v>
      </c>
      <c r="C19">
        <v>18</v>
      </c>
      <c r="E19" s="1" t="s">
        <v>765</v>
      </c>
      <c r="F19" s="34">
        <v>14</v>
      </c>
      <c r="G19" s="46">
        <v>7</v>
      </c>
      <c r="H19" s="11" t="s">
        <v>758</v>
      </c>
      <c r="J19" t="s">
        <v>752</v>
      </c>
    </row>
    <row r="20" spans="1:11" x14ac:dyDescent="0.35">
      <c r="A20">
        <f t="shared" si="0"/>
        <v>5</v>
      </c>
      <c r="C20">
        <v>19</v>
      </c>
      <c r="E20" s="1" t="s">
        <v>785</v>
      </c>
      <c r="F20" s="34">
        <v>30</v>
      </c>
      <c r="G20" s="46">
        <v>6</v>
      </c>
      <c r="H20" s="11" t="s">
        <v>712</v>
      </c>
      <c r="I20" s="46">
        <v>17</v>
      </c>
      <c r="J20" t="s">
        <v>968</v>
      </c>
    </row>
    <row r="21" spans="1:11" x14ac:dyDescent="0.35">
      <c r="A21">
        <f t="shared" si="0"/>
        <v>3.5</v>
      </c>
      <c r="C21">
        <v>20</v>
      </c>
      <c r="E21" s="1" t="s">
        <v>242</v>
      </c>
      <c r="F21" s="34">
        <v>21</v>
      </c>
      <c r="G21" s="46">
        <v>6</v>
      </c>
      <c r="H21" s="11" t="s">
        <v>660</v>
      </c>
      <c r="J21" t="s">
        <v>836</v>
      </c>
    </row>
    <row r="22" spans="1:11" x14ac:dyDescent="0.35">
      <c r="A22">
        <f t="shared" si="0"/>
        <v>1.9285714285714286</v>
      </c>
      <c r="C22">
        <v>21</v>
      </c>
      <c r="E22" s="1" t="s">
        <v>732</v>
      </c>
      <c r="F22" s="34">
        <v>27</v>
      </c>
      <c r="G22" s="46">
        <v>14</v>
      </c>
      <c r="H22" s="11" t="s">
        <v>777</v>
      </c>
      <c r="J22" t="s">
        <v>1139</v>
      </c>
      <c r="K22" t="s">
        <v>1140</v>
      </c>
    </row>
    <row r="23" spans="1:11" x14ac:dyDescent="0.35">
      <c r="A23">
        <f t="shared" si="0"/>
        <v>11.5</v>
      </c>
      <c r="C23">
        <v>22</v>
      </c>
      <c r="D23" s="34">
        <v>23</v>
      </c>
      <c r="E23" s="1" t="s">
        <v>746</v>
      </c>
      <c r="F23" s="34">
        <v>23</v>
      </c>
      <c r="G23" s="46">
        <v>2</v>
      </c>
      <c r="H23" s="11" t="s">
        <v>692</v>
      </c>
      <c r="J23" t="s">
        <v>875</v>
      </c>
    </row>
    <row r="24" spans="1:11" x14ac:dyDescent="0.35">
      <c r="A24">
        <f t="shared" si="0"/>
        <v>1.5</v>
      </c>
      <c r="C24">
        <v>23</v>
      </c>
      <c r="E24" s="1" t="s">
        <v>783</v>
      </c>
      <c r="F24" s="34">
        <v>21</v>
      </c>
      <c r="G24" s="46">
        <v>14</v>
      </c>
      <c r="H24" s="11" t="s">
        <v>716</v>
      </c>
      <c r="J24" t="s">
        <v>866</v>
      </c>
    </row>
    <row r="25" spans="1:11" x14ac:dyDescent="0.35">
      <c r="A25">
        <f t="shared" si="0"/>
        <v>1.3333333333333333</v>
      </c>
      <c r="C25">
        <v>24</v>
      </c>
      <c r="E25" s="1" t="s">
        <v>753</v>
      </c>
      <c r="F25" s="34">
        <v>12</v>
      </c>
      <c r="G25" s="46">
        <v>9</v>
      </c>
      <c r="H25" s="11" t="s">
        <v>737</v>
      </c>
      <c r="J25" t="s">
        <v>832</v>
      </c>
    </row>
    <row r="26" spans="1:11" x14ac:dyDescent="0.35">
      <c r="A26">
        <f t="shared" si="0"/>
        <v>2.1666666666666665</v>
      </c>
      <c r="C26">
        <v>25</v>
      </c>
      <c r="E26" s="1" t="s">
        <v>734</v>
      </c>
      <c r="F26" s="34">
        <v>13</v>
      </c>
      <c r="G26" s="46">
        <v>6</v>
      </c>
      <c r="H26" s="11" t="s">
        <v>661</v>
      </c>
      <c r="J26" t="s">
        <v>933</v>
      </c>
    </row>
    <row r="27" spans="1:11" x14ac:dyDescent="0.35">
      <c r="A27">
        <f t="shared" si="0"/>
        <v>2.125</v>
      </c>
      <c r="C27">
        <v>26</v>
      </c>
      <c r="E27" s="1" t="s">
        <v>729</v>
      </c>
      <c r="F27" s="34">
        <v>17</v>
      </c>
      <c r="G27" s="46">
        <v>8</v>
      </c>
      <c r="H27" s="11" t="s">
        <v>722</v>
      </c>
      <c r="J27" t="s">
        <v>724</v>
      </c>
    </row>
    <row r="28" spans="1:11" x14ac:dyDescent="0.35">
      <c r="A28">
        <f t="shared" si="0"/>
        <v>2.625</v>
      </c>
      <c r="C28">
        <v>27</v>
      </c>
      <c r="E28" s="1" t="s">
        <v>245</v>
      </c>
      <c r="F28" s="34">
        <v>21</v>
      </c>
      <c r="G28" s="46">
        <v>8</v>
      </c>
      <c r="H28" s="11" t="s">
        <v>784</v>
      </c>
      <c r="I28" s="46">
        <v>18</v>
      </c>
      <c r="J28" t="s">
        <v>836</v>
      </c>
    </row>
    <row r="29" spans="1:11" x14ac:dyDescent="0.35">
      <c r="A29">
        <f t="shared" si="0"/>
        <v>1.5714285714285714</v>
      </c>
      <c r="C29">
        <v>28</v>
      </c>
      <c r="E29" s="1" t="s">
        <v>647</v>
      </c>
      <c r="F29" s="34">
        <v>22</v>
      </c>
      <c r="G29" s="46">
        <v>14</v>
      </c>
      <c r="H29" s="11" t="s">
        <v>747</v>
      </c>
      <c r="J29" t="s">
        <v>754</v>
      </c>
    </row>
    <row r="30" spans="1:11" x14ac:dyDescent="0.35">
      <c r="A30">
        <f t="shared" si="0"/>
        <v>1.1666666666666667</v>
      </c>
      <c r="C30">
        <v>29</v>
      </c>
      <c r="E30" s="1" t="s">
        <v>738</v>
      </c>
      <c r="F30" s="34">
        <v>14</v>
      </c>
      <c r="G30" s="46">
        <v>12</v>
      </c>
      <c r="H30" s="11" t="s">
        <v>767</v>
      </c>
      <c r="J30" t="s">
        <v>786</v>
      </c>
    </row>
    <row r="31" spans="1:11" x14ac:dyDescent="0.35">
      <c r="A31">
        <f t="shared" si="0"/>
        <v>1.8823529411764706</v>
      </c>
      <c r="C31">
        <v>30</v>
      </c>
      <c r="E31" s="1" t="s">
        <v>713</v>
      </c>
      <c r="F31" s="34">
        <v>32</v>
      </c>
      <c r="G31" s="46">
        <v>17</v>
      </c>
      <c r="H31" s="11" t="s">
        <v>706</v>
      </c>
      <c r="J31" t="s">
        <v>1141</v>
      </c>
      <c r="K31" t="s">
        <v>1142</v>
      </c>
    </row>
    <row r="32" spans="1:11" x14ac:dyDescent="0.35">
      <c r="A32">
        <f t="shared" si="0"/>
        <v>1.4545454545454546</v>
      </c>
      <c r="C32">
        <v>31</v>
      </c>
      <c r="D32" s="34">
        <v>22</v>
      </c>
      <c r="E32" s="1" t="s">
        <v>663</v>
      </c>
      <c r="F32" s="34">
        <v>16</v>
      </c>
      <c r="G32" s="46">
        <v>11</v>
      </c>
      <c r="H32" s="11" t="s">
        <v>650</v>
      </c>
      <c r="J32" t="s">
        <v>789</v>
      </c>
    </row>
    <row r="33" spans="1:11" x14ac:dyDescent="0.35">
      <c r="A33">
        <f t="shared" si="0"/>
        <v>1.0526315789473684</v>
      </c>
      <c r="C33">
        <v>32</v>
      </c>
      <c r="D33" s="34">
        <v>21</v>
      </c>
      <c r="E33" s="1" t="s">
        <v>649</v>
      </c>
      <c r="F33" s="34">
        <v>20</v>
      </c>
      <c r="G33" s="46">
        <v>19</v>
      </c>
      <c r="H33" s="11" t="s">
        <v>757</v>
      </c>
      <c r="I33" s="46">
        <v>16</v>
      </c>
      <c r="J33" t="s">
        <v>1143</v>
      </c>
      <c r="K33" t="s">
        <v>1144</v>
      </c>
    </row>
    <row r="34" spans="1:11" x14ac:dyDescent="0.35">
      <c r="A34">
        <f t="shared" si="0"/>
        <v>1.1000000000000001</v>
      </c>
      <c r="C34">
        <v>33</v>
      </c>
      <c r="D34" s="34">
        <v>9</v>
      </c>
      <c r="E34" s="1" t="s">
        <v>778</v>
      </c>
      <c r="F34" s="34">
        <v>22</v>
      </c>
      <c r="G34" s="46">
        <v>20</v>
      </c>
      <c r="H34" s="11" t="s">
        <v>771</v>
      </c>
      <c r="J34" t="s">
        <v>915</v>
      </c>
      <c r="K34" t="s">
        <v>1145</v>
      </c>
    </row>
    <row r="35" spans="1:11" x14ac:dyDescent="0.35">
      <c r="A35">
        <f t="shared" si="0"/>
        <v>2.75</v>
      </c>
      <c r="C35">
        <v>34</v>
      </c>
      <c r="D35" s="34">
        <v>8</v>
      </c>
      <c r="E35" s="1" t="s">
        <v>467</v>
      </c>
      <c r="F35" s="34">
        <v>22</v>
      </c>
      <c r="G35" s="46">
        <v>8</v>
      </c>
      <c r="H35" s="11" t="s">
        <v>772</v>
      </c>
      <c r="J35" t="s">
        <v>748</v>
      </c>
    </row>
    <row r="36" spans="1:11" x14ac:dyDescent="0.35">
      <c r="A36">
        <f t="shared" si="0"/>
        <v>1.4166666666666667</v>
      </c>
      <c r="C36">
        <v>35</v>
      </c>
      <c r="E36" s="1" t="s">
        <v>643</v>
      </c>
      <c r="F36" s="34">
        <v>17</v>
      </c>
      <c r="G36" s="46">
        <v>12</v>
      </c>
      <c r="H36" s="11" t="s">
        <v>760</v>
      </c>
      <c r="I36" s="46">
        <v>6</v>
      </c>
      <c r="J36" t="s">
        <v>874</v>
      </c>
    </row>
    <row r="37" spans="1:11" x14ac:dyDescent="0.35">
      <c r="A37">
        <f t="shared" si="0"/>
        <v>2.1538461538461537</v>
      </c>
      <c r="C37">
        <v>36</v>
      </c>
      <c r="D37" s="34">
        <v>5</v>
      </c>
      <c r="E37" s="1" t="s">
        <v>648</v>
      </c>
      <c r="F37" s="34">
        <v>28</v>
      </c>
      <c r="G37" s="46">
        <v>13</v>
      </c>
      <c r="H37" s="11" t="s">
        <v>709</v>
      </c>
      <c r="J37" t="s">
        <v>786</v>
      </c>
    </row>
    <row r="38" spans="1:11" x14ac:dyDescent="0.35">
      <c r="A38">
        <f t="shared" si="0"/>
        <v>1.1428571428571428</v>
      </c>
      <c r="C38">
        <v>37</v>
      </c>
      <c r="E38" s="1" t="s">
        <v>768</v>
      </c>
      <c r="F38" s="34">
        <v>24</v>
      </c>
      <c r="G38" s="46">
        <v>21</v>
      </c>
      <c r="H38" s="11" t="s">
        <v>673</v>
      </c>
      <c r="I38" s="46">
        <v>3</v>
      </c>
      <c r="J38" t="s">
        <v>887</v>
      </c>
      <c r="K38" t="s">
        <v>1146</v>
      </c>
    </row>
    <row r="39" spans="1:11" x14ac:dyDescent="0.35">
      <c r="A39">
        <f t="shared" si="0"/>
        <v>1.4736842105263157</v>
      </c>
      <c r="C39">
        <v>38</v>
      </c>
      <c r="D39" s="34">
        <v>2</v>
      </c>
      <c r="E39" s="1" t="s">
        <v>644</v>
      </c>
      <c r="F39" s="34">
        <v>28</v>
      </c>
      <c r="G39" s="46">
        <v>19</v>
      </c>
      <c r="H39" s="11" t="s">
        <v>726</v>
      </c>
      <c r="J39" t="s">
        <v>987</v>
      </c>
      <c r="K39" t="s">
        <v>1147</v>
      </c>
    </row>
    <row r="40" spans="1:11" x14ac:dyDescent="0.35">
      <c r="A40">
        <f t="shared" si="0"/>
        <v>2.7142857142857144</v>
      </c>
      <c r="C40">
        <v>39</v>
      </c>
      <c r="D40" s="34">
        <v>1</v>
      </c>
      <c r="E40" s="1" t="s">
        <v>731</v>
      </c>
      <c r="F40" s="34">
        <v>19</v>
      </c>
      <c r="G40" s="46">
        <v>7</v>
      </c>
      <c r="H40" s="11" t="s">
        <v>677</v>
      </c>
      <c r="J40" t="s">
        <v>789</v>
      </c>
    </row>
    <row r="41" spans="1:11" ht="15" thickBot="1" x14ac:dyDescent="0.4">
      <c r="A41">
        <f t="shared" si="0"/>
        <v>1.0588235294117647</v>
      </c>
      <c r="C41" s="40">
        <v>40</v>
      </c>
      <c r="D41" s="49"/>
      <c r="E41" s="45" t="s">
        <v>723</v>
      </c>
      <c r="F41" s="49">
        <v>18</v>
      </c>
      <c r="G41" s="50">
        <v>17</v>
      </c>
      <c r="H41" s="51" t="s">
        <v>761</v>
      </c>
      <c r="I41" s="50">
        <v>4</v>
      </c>
      <c r="J41" s="40" t="s">
        <v>759</v>
      </c>
      <c r="K41" s="40"/>
    </row>
    <row r="42" spans="1:11" x14ac:dyDescent="0.35">
      <c r="A42">
        <f t="shared" ref="A42:A49" si="1">(F42/G42)</f>
        <v>1.0833333333333333</v>
      </c>
      <c r="C42" s="41">
        <v>1</v>
      </c>
      <c r="E42" s="1" t="s">
        <v>1155</v>
      </c>
      <c r="F42" s="34">
        <v>13</v>
      </c>
      <c r="G42" s="46">
        <v>12</v>
      </c>
      <c r="H42" s="11" t="s">
        <v>1156</v>
      </c>
      <c r="J42" s="41" t="s">
        <v>789</v>
      </c>
    </row>
    <row r="43" spans="1:11" x14ac:dyDescent="0.35">
      <c r="A43">
        <f t="shared" si="1"/>
        <v>1.3846153846153846</v>
      </c>
      <c r="C43" s="41">
        <v>2</v>
      </c>
      <c r="E43" s="1" t="s">
        <v>1157</v>
      </c>
      <c r="F43" s="34">
        <v>18</v>
      </c>
      <c r="G43" s="46">
        <v>13</v>
      </c>
      <c r="H43" s="11" t="s">
        <v>1158</v>
      </c>
      <c r="J43" s="41" t="s">
        <v>710</v>
      </c>
    </row>
    <row r="44" spans="1:11" x14ac:dyDescent="0.35">
      <c r="A44">
        <f t="shared" si="1"/>
        <v>1.8333333333333333</v>
      </c>
      <c r="C44" s="41">
        <v>3</v>
      </c>
      <c r="E44" s="1" t="s">
        <v>666</v>
      </c>
      <c r="F44" s="34">
        <v>11</v>
      </c>
      <c r="G44" s="46">
        <v>6</v>
      </c>
      <c r="H44" s="11" t="s">
        <v>664</v>
      </c>
      <c r="J44" s="41" t="s">
        <v>1003</v>
      </c>
    </row>
    <row r="45" spans="1:11" x14ac:dyDescent="0.35">
      <c r="A45">
        <f t="shared" si="1"/>
        <v>1.1111111111111112</v>
      </c>
      <c r="C45" s="41">
        <v>4</v>
      </c>
      <c r="E45" s="1" t="s">
        <v>468</v>
      </c>
      <c r="F45" s="34">
        <v>20</v>
      </c>
      <c r="G45" s="46">
        <v>18</v>
      </c>
      <c r="H45" s="11" t="s">
        <v>645</v>
      </c>
      <c r="J45" s="41" t="s">
        <v>952</v>
      </c>
      <c r="K45" t="s">
        <v>1159</v>
      </c>
    </row>
    <row r="46" spans="1:11" x14ac:dyDescent="0.35">
      <c r="A46">
        <f t="shared" si="1"/>
        <v>1.25</v>
      </c>
      <c r="C46" s="41">
        <v>5</v>
      </c>
      <c r="E46" s="1" t="s">
        <v>1160</v>
      </c>
      <c r="F46" s="34">
        <v>20</v>
      </c>
      <c r="G46" s="46">
        <v>16</v>
      </c>
      <c r="H46" s="11" t="s">
        <v>1161</v>
      </c>
      <c r="J46" s="41" t="s">
        <v>910</v>
      </c>
      <c r="K46" t="s">
        <v>1159</v>
      </c>
    </row>
    <row r="47" spans="1:11" x14ac:dyDescent="0.35">
      <c r="A47">
        <f t="shared" si="1"/>
        <v>1.3333333333333333</v>
      </c>
      <c r="C47" s="41">
        <v>6</v>
      </c>
      <c r="E47" s="1" t="s">
        <v>1162</v>
      </c>
      <c r="F47" s="34">
        <v>16</v>
      </c>
      <c r="G47" s="46">
        <v>12</v>
      </c>
      <c r="H47" s="11" t="s">
        <v>1163</v>
      </c>
      <c r="J47" s="41" t="s">
        <v>710</v>
      </c>
    </row>
    <row r="48" spans="1:11" x14ac:dyDescent="0.35">
      <c r="A48">
        <f t="shared" si="1"/>
        <v>1.8571428571428572</v>
      </c>
      <c r="C48" s="41">
        <v>7</v>
      </c>
      <c r="E48" s="1" t="s">
        <v>1164</v>
      </c>
      <c r="F48" s="34">
        <v>13</v>
      </c>
      <c r="G48" s="46">
        <v>7</v>
      </c>
      <c r="H48" s="11" t="s">
        <v>651</v>
      </c>
      <c r="J48" s="41" t="s">
        <v>789</v>
      </c>
    </row>
    <row r="49" spans="1:11" ht="15" thickBot="1" x14ac:dyDescent="0.4">
      <c r="A49">
        <f t="shared" si="1"/>
        <v>1.2941176470588236</v>
      </c>
      <c r="C49" s="42">
        <v>8</v>
      </c>
      <c r="D49" s="49"/>
      <c r="E49" s="45" t="s">
        <v>681</v>
      </c>
      <c r="F49" s="49">
        <v>22</v>
      </c>
      <c r="G49" s="50">
        <v>17</v>
      </c>
      <c r="H49" s="51" t="s">
        <v>1165</v>
      </c>
      <c r="I49" s="50"/>
      <c r="J49" s="42" t="s">
        <v>910</v>
      </c>
      <c r="K49" s="40"/>
    </row>
    <row r="50" spans="1:11" x14ac:dyDescent="0.35">
      <c r="A50">
        <f t="shared" si="0"/>
        <v>1.2105263157894737</v>
      </c>
      <c r="B50" t="s">
        <v>1099</v>
      </c>
      <c r="C50" s="41">
        <v>1</v>
      </c>
      <c r="E50" s="1" t="s">
        <v>692</v>
      </c>
      <c r="F50" s="34">
        <v>23</v>
      </c>
      <c r="G50" s="46">
        <v>19</v>
      </c>
      <c r="H50" s="11" t="s">
        <v>743</v>
      </c>
      <c r="I50" s="46">
        <v>19</v>
      </c>
      <c r="J50" s="41" t="s">
        <v>910</v>
      </c>
    </row>
    <row r="51" spans="1:11" x14ac:dyDescent="0.35">
      <c r="A51">
        <f t="shared" si="0"/>
        <v>1.5833333333333333</v>
      </c>
      <c r="C51" s="41">
        <v>2</v>
      </c>
      <c r="E51" s="1" t="s">
        <v>712</v>
      </c>
      <c r="F51" s="34">
        <v>19</v>
      </c>
      <c r="G51" s="46">
        <v>12</v>
      </c>
      <c r="H51" s="11" t="s">
        <v>465</v>
      </c>
      <c r="J51" s="41" t="s">
        <v>781</v>
      </c>
    </row>
    <row r="52" spans="1:11" x14ac:dyDescent="0.35">
      <c r="A52">
        <f t="shared" si="0"/>
        <v>1.8571428571428572</v>
      </c>
      <c r="C52" s="41">
        <v>3</v>
      </c>
      <c r="E52" s="1" t="s">
        <v>680</v>
      </c>
      <c r="F52" s="34">
        <v>13</v>
      </c>
      <c r="G52" s="46">
        <v>7</v>
      </c>
      <c r="H52" s="11" t="s">
        <v>660</v>
      </c>
      <c r="J52" s="41" t="s">
        <v>821</v>
      </c>
    </row>
    <row r="53" spans="1:11" x14ac:dyDescent="0.35">
      <c r="A53">
        <f t="shared" si="0"/>
        <v>1.5</v>
      </c>
      <c r="C53" s="41">
        <v>4</v>
      </c>
      <c r="E53" s="1" t="s">
        <v>700</v>
      </c>
      <c r="F53" s="34">
        <v>15</v>
      </c>
      <c r="G53" s="46">
        <v>10</v>
      </c>
      <c r="H53" s="11" t="s">
        <v>780</v>
      </c>
      <c r="J53" s="41" t="s">
        <v>775</v>
      </c>
    </row>
    <row r="54" spans="1:11" x14ac:dyDescent="0.35">
      <c r="A54">
        <f t="shared" si="0"/>
        <v>2.25</v>
      </c>
      <c r="C54" s="41">
        <v>5</v>
      </c>
      <c r="E54" s="1" t="s">
        <v>732</v>
      </c>
      <c r="F54" s="34">
        <v>18</v>
      </c>
      <c r="G54" s="46">
        <v>8</v>
      </c>
      <c r="H54" s="11" t="s">
        <v>709</v>
      </c>
      <c r="J54" s="41" t="s">
        <v>796</v>
      </c>
    </row>
    <row r="55" spans="1:11" x14ac:dyDescent="0.35">
      <c r="A55">
        <f t="shared" si="0"/>
        <v>1.0454545454545454</v>
      </c>
      <c r="C55" s="41">
        <v>6</v>
      </c>
      <c r="D55" s="34">
        <v>11</v>
      </c>
      <c r="E55" s="1" t="s">
        <v>648</v>
      </c>
      <c r="F55" s="34">
        <v>23</v>
      </c>
      <c r="G55" s="46">
        <v>22</v>
      </c>
      <c r="H55" s="11" t="s">
        <v>777</v>
      </c>
      <c r="J55" s="41" t="s">
        <v>889</v>
      </c>
      <c r="K55" t="s">
        <v>1148</v>
      </c>
    </row>
    <row r="56" spans="1:11" x14ac:dyDescent="0.35">
      <c r="A56">
        <f t="shared" si="0"/>
        <v>1.0666666666666667</v>
      </c>
      <c r="C56" s="41">
        <v>7</v>
      </c>
      <c r="E56" s="1" t="s">
        <v>765</v>
      </c>
      <c r="F56" s="34">
        <v>16</v>
      </c>
      <c r="G56" s="46">
        <v>15</v>
      </c>
      <c r="H56" s="11" t="s">
        <v>665</v>
      </c>
      <c r="J56" s="41" t="s">
        <v>705</v>
      </c>
      <c r="K56" t="s">
        <v>1149</v>
      </c>
    </row>
    <row r="57" spans="1:11" x14ac:dyDescent="0.35">
      <c r="A57">
        <f t="shared" si="0"/>
        <v>1.7777777777777777</v>
      </c>
      <c r="C57" s="41">
        <v>8</v>
      </c>
      <c r="E57" s="1" t="s">
        <v>747</v>
      </c>
      <c r="F57" s="34">
        <v>16</v>
      </c>
      <c r="G57" s="46">
        <v>9</v>
      </c>
      <c r="H57" s="11" t="s">
        <v>772</v>
      </c>
      <c r="J57" s="41" t="s">
        <v>874</v>
      </c>
    </row>
    <row r="58" spans="1:11" x14ac:dyDescent="0.35">
      <c r="A58">
        <f t="shared" si="0"/>
        <v>1.1052631578947369</v>
      </c>
      <c r="C58" s="41">
        <v>9</v>
      </c>
      <c r="D58" s="34">
        <v>5</v>
      </c>
      <c r="E58" s="1" t="s">
        <v>768</v>
      </c>
      <c r="F58" s="34">
        <v>21</v>
      </c>
      <c r="G58" s="46">
        <v>19</v>
      </c>
      <c r="H58" s="11" t="s">
        <v>722</v>
      </c>
      <c r="J58" s="41" t="s">
        <v>972</v>
      </c>
    </row>
    <row r="59" spans="1:11" x14ac:dyDescent="0.35">
      <c r="A59">
        <f t="shared" si="0"/>
        <v>2.5454545454545454</v>
      </c>
      <c r="C59" s="41">
        <v>10</v>
      </c>
      <c r="D59" s="34">
        <v>4</v>
      </c>
      <c r="E59" s="1" t="s">
        <v>746</v>
      </c>
      <c r="F59" s="34">
        <v>28</v>
      </c>
      <c r="G59" s="46">
        <v>11</v>
      </c>
      <c r="H59" s="11" t="s">
        <v>678</v>
      </c>
      <c r="J59" s="41" t="s">
        <v>759</v>
      </c>
      <c r="K59" t="s">
        <v>1150</v>
      </c>
    </row>
    <row r="60" spans="1:11" x14ac:dyDescent="0.35">
      <c r="A60">
        <f t="shared" si="0"/>
        <v>1.3846153846153846</v>
      </c>
      <c r="C60" s="41">
        <v>11</v>
      </c>
      <c r="E60" s="1" t="s">
        <v>764</v>
      </c>
      <c r="F60" s="34">
        <v>18</v>
      </c>
      <c r="G60" s="46">
        <v>13</v>
      </c>
      <c r="H60" s="11" t="s">
        <v>723</v>
      </c>
      <c r="I60" s="46">
        <v>13</v>
      </c>
      <c r="J60" s="41" t="s">
        <v>790</v>
      </c>
    </row>
    <row r="61" spans="1:11" x14ac:dyDescent="0.35">
      <c r="A61">
        <f t="shared" si="0"/>
        <v>1.1875</v>
      </c>
      <c r="C61" s="41">
        <v>12</v>
      </c>
      <c r="D61" s="34">
        <v>25</v>
      </c>
      <c r="E61" s="1" t="s">
        <v>778</v>
      </c>
      <c r="F61" s="34">
        <v>19</v>
      </c>
      <c r="G61" s="46">
        <v>16</v>
      </c>
      <c r="H61" s="11" t="s">
        <v>706</v>
      </c>
      <c r="J61" s="41" t="s">
        <v>866</v>
      </c>
    </row>
    <row r="62" spans="1:11" x14ac:dyDescent="0.35">
      <c r="A62">
        <f t="shared" si="0"/>
        <v>1.3333333333333333</v>
      </c>
      <c r="C62" s="41">
        <v>13</v>
      </c>
      <c r="E62" s="1" t="s">
        <v>640</v>
      </c>
      <c r="F62" s="34">
        <v>12</v>
      </c>
      <c r="G62" s="46">
        <v>9</v>
      </c>
      <c r="H62" s="11" t="s">
        <v>784</v>
      </c>
      <c r="J62" s="41" t="s">
        <v>789</v>
      </c>
    </row>
    <row r="63" spans="1:11" x14ac:dyDescent="0.35">
      <c r="A63">
        <f t="shared" si="0"/>
        <v>2.5</v>
      </c>
      <c r="C63" s="41">
        <v>14</v>
      </c>
      <c r="E63" s="1" t="s">
        <v>757</v>
      </c>
      <c r="F63" s="34">
        <v>25</v>
      </c>
      <c r="G63" s="46">
        <v>10</v>
      </c>
      <c r="H63" s="11" t="s">
        <v>677</v>
      </c>
      <c r="J63" s="41" t="s">
        <v>759</v>
      </c>
    </row>
    <row r="64" spans="1:11" x14ac:dyDescent="0.35">
      <c r="A64">
        <f t="shared" si="0"/>
        <v>1.125</v>
      </c>
      <c r="C64" s="41">
        <v>15</v>
      </c>
      <c r="E64" s="1" t="s">
        <v>670</v>
      </c>
      <c r="F64" s="34">
        <v>9</v>
      </c>
      <c r="G64" s="46">
        <v>8</v>
      </c>
      <c r="H64" s="11" t="s">
        <v>582</v>
      </c>
      <c r="J64" s="41" t="s">
        <v>770</v>
      </c>
    </row>
    <row r="65" spans="1:11" x14ac:dyDescent="0.35">
      <c r="A65">
        <f t="shared" si="0"/>
        <v>1.3333333333333333</v>
      </c>
      <c r="C65" s="41">
        <v>16</v>
      </c>
      <c r="E65" s="1" t="s">
        <v>718</v>
      </c>
      <c r="F65" s="34">
        <v>16</v>
      </c>
      <c r="G65" s="46">
        <v>12</v>
      </c>
      <c r="H65" s="11" t="s">
        <v>716</v>
      </c>
      <c r="J65" s="41" t="s">
        <v>727</v>
      </c>
      <c r="K65" t="s">
        <v>1151</v>
      </c>
    </row>
    <row r="66" spans="1:11" x14ac:dyDescent="0.35">
      <c r="A66">
        <f t="shared" si="0"/>
        <v>1.1000000000000001</v>
      </c>
      <c r="C66" s="41">
        <v>17</v>
      </c>
      <c r="E66" s="1" t="s">
        <v>774</v>
      </c>
      <c r="F66" s="34">
        <v>11</v>
      </c>
      <c r="G66" s="46">
        <v>10</v>
      </c>
      <c r="H66" s="11" t="s">
        <v>646</v>
      </c>
      <c r="J66" s="41" t="s">
        <v>707</v>
      </c>
    </row>
    <row r="67" spans="1:11" x14ac:dyDescent="0.35">
      <c r="A67">
        <f t="shared" si="0"/>
        <v>1.1875</v>
      </c>
      <c r="C67" s="41">
        <v>18</v>
      </c>
      <c r="E67" s="1" t="s">
        <v>642</v>
      </c>
      <c r="F67" s="34">
        <v>19</v>
      </c>
      <c r="G67" s="46">
        <v>16</v>
      </c>
      <c r="H67" s="11" t="s">
        <v>466</v>
      </c>
      <c r="J67" s="41" t="s">
        <v>754</v>
      </c>
      <c r="K67" t="s">
        <v>1152</v>
      </c>
    </row>
    <row r="68" spans="1:11" x14ac:dyDescent="0.35">
      <c r="A68">
        <f t="shared" si="0"/>
        <v>2.875</v>
      </c>
      <c r="C68" s="41">
        <v>19</v>
      </c>
      <c r="E68" s="1" t="s">
        <v>763</v>
      </c>
      <c r="F68" s="34">
        <v>23</v>
      </c>
      <c r="G68" s="46">
        <v>8</v>
      </c>
      <c r="H68" s="11" t="s">
        <v>672</v>
      </c>
      <c r="J68" s="41" t="s">
        <v>821</v>
      </c>
    </row>
    <row r="69" spans="1:11" x14ac:dyDescent="0.35">
      <c r="A69">
        <f t="shared" si="0"/>
        <v>1.6923076923076923</v>
      </c>
      <c r="C69" s="41">
        <v>20</v>
      </c>
      <c r="D69" s="34">
        <v>1</v>
      </c>
      <c r="E69" s="1" t="s">
        <v>785</v>
      </c>
      <c r="F69" s="34">
        <v>22</v>
      </c>
      <c r="G69" s="46">
        <v>13</v>
      </c>
      <c r="H69" s="11" t="s">
        <v>779</v>
      </c>
      <c r="J69" s="41" t="s">
        <v>866</v>
      </c>
    </row>
    <row r="70" spans="1:11" x14ac:dyDescent="0.35">
      <c r="A70">
        <f t="shared" si="0"/>
        <v>1.4545454545454546</v>
      </c>
      <c r="C70" s="41">
        <v>21</v>
      </c>
      <c r="E70" s="1" t="s">
        <v>726</v>
      </c>
      <c r="F70" s="34">
        <v>16</v>
      </c>
      <c r="G70" s="46">
        <v>11</v>
      </c>
      <c r="H70" s="11" t="s">
        <v>767</v>
      </c>
      <c r="J70" s="41" t="s">
        <v>821</v>
      </c>
      <c r="K70" t="s">
        <v>1153</v>
      </c>
    </row>
    <row r="71" spans="1:11" x14ac:dyDescent="0.35">
      <c r="A71">
        <f t="shared" si="0"/>
        <v>1.1333333333333333</v>
      </c>
      <c r="C71" s="41">
        <v>22</v>
      </c>
      <c r="E71" s="1" t="s">
        <v>661</v>
      </c>
      <c r="F71" s="34">
        <v>17</v>
      </c>
      <c r="G71" s="46">
        <v>15</v>
      </c>
      <c r="H71" s="11" t="s">
        <v>760</v>
      </c>
      <c r="J71" s="41" t="s">
        <v>806</v>
      </c>
    </row>
    <row r="72" spans="1:11" x14ac:dyDescent="0.35">
      <c r="A72">
        <f t="shared" si="0"/>
        <v>1.1538461538461537</v>
      </c>
      <c r="C72" s="41">
        <v>23</v>
      </c>
      <c r="D72" s="34">
        <v>8</v>
      </c>
      <c r="E72" s="1" t="s">
        <v>663</v>
      </c>
      <c r="F72" s="34">
        <v>15</v>
      </c>
      <c r="G72" s="46">
        <v>13</v>
      </c>
      <c r="H72" s="11" t="s">
        <v>671</v>
      </c>
      <c r="J72" s="41" t="s">
        <v>769</v>
      </c>
    </row>
    <row r="73" spans="1:11" x14ac:dyDescent="0.35">
      <c r="A73">
        <f t="shared" si="0"/>
        <v>1.2857142857142858</v>
      </c>
      <c r="C73" s="41">
        <v>24</v>
      </c>
      <c r="D73" s="34">
        <v>24</v>
      </c>
      <c r="E73" s="1" t="s">
        <v>720</v>
      </c>
      <c r="F73" s="34">
        <v>18</v>
      </c>
      <c r="G73" s="46">
        <v>14</v>
      </c>
      <c r="H73" s="11" t="s">
        <v>758</v>
      </c>
      <c r="J73" s="41" t="s">
        <v>898</v>
      </c>
    </row>
    <row r="74" spans="1:11" x14ac:dyDescent="0.35">
      <c r="A74">
        <f t="shared" si="0"/>
        <v>2.6</v>
      </c>
      <c r="C74" s="41">
        <v>25</v>
      </c>
      <c r="E74" s="1" t="s">
        <v>755</v>
      </c>
      <c r="F74" s="34">
        <v>26</v>
      </c>
      <c r="G74" s="46">
        <v>10</v>
      </c>
      <c r="H74" s="11" t="s">
        <v>753</v>
      </c>
      <c r="I74" s="46">
        <v>22</v>
      </c>
      <c r="J74" s="41" t="s">
        <v>1154</v>
      </c>
    </row>
    <row r="75" spans="1:11" x14ac:dyDescent="0.35">
      <c r="A75">
        <f t="shared" ref="A75:A130" si="2">(F75/G75)</f>
        <v>1.4</v>
      </c>
      <c r="C75" s="41">
        <v>26</v>
      </c>
      <c r="D75" s="34">
        <v>18</v>
      </c>
      <c r="E75" s="1" t="s">
        <v>641</v>
      </c>
      <c r="F75" s="34">
        <v>14</v>
      </c>
      <c r="G75" s="46">
        <v>10</v>
      </c>
      <c r="H75" s="11" t="s">
        <v>693</v>
      </c>
      <c r="J75" s="41" t="s">
        <v>839</v>
      </c>
    </row>
    <row r="76" spans="1:11" x14ac:dyDescent="0.35">
      <c r="A76">
        <f t="shared" si="2"/>
        <v>1.7777777777777777</v>
      </c>
      <c r="C76" s="41">
        <v>27</v>
      </c>
      <c r="E76" s="1" t="s">
        <v>750</v>
      </c>
      <c r="F76" s="34">
        <v>16</v>
      </c>
      <c r="G76" s="46">
        <v>9</v>
      </c>
      <c r="H76" s="11" t="s">
        <v>737</v>
      </c>
      <c r="J76" s="41" t="s">
        <v>796</v>
      </c>
    </row>
    <row r="77" spans="1:11" x14ac:dyDescent="0.35">
      <c r="A77">
        <f t="shared" si="2"/>
        <v>2.875</v>
      </c>
      <c r="C77" s="41">
        <v>28</v>
      </c>
      <c r="E77" s="1" t="s">
        <v>679</v>
      </c>
      <c r="F77" s="34">
        <v>23</v>
      </c>
      <c r="G77" s="46">
        <v>8</v>
      </c>
      <c r="H77" s="11" t="s">
        <v>742</v>
      </c>
      <c r="J77" s="41" t="s">
        <v>881</v>
      </c>
    </row>
    <row r="78" spans="1:11" x14ac:dyDescent="0.35">
      <c r="A78">
        <f t="shared" si="2"/>
        <v>1.1333333333333333</v>
      </c>
      <c r="C78" s="41">
        <v>29</v>
      </c>
      <c r="D78" s="34">
        <v>7</v>
      </c>
      <c r="E78" s="1" t="s">
        <v>713</v>
      </c>
      <c r="F78" s="34">
        <v>17</v>
      </c>
      <c r="G78" s="46">
        <v>15</v>
      </c>
      <c r="H78" s="11" t="s">
        <v>771</v>
      </c>
      <c r="J78" s="41" t="s">
        <v>857</v>
      </c>
    </row>
    <row r="79" spans="1:11" x14ac:dyDescent="0.35">
      <c r="A79">
        <f t="shared" si="2"/>
        <v>5.5</v>
      </c>
      <c r="C79" s="41">
        <v>30</v>
      </c>
      <c r="D79" s="34">
        <v>23</v>
      </c>
      <c r="E79" s="1" t="s">
        <v>729</v>
      </c>
      <c r="F79" s="34">
        <v>22</v>
      </c>
      <c r="G79" s="46">
        <v>4</v>
      </c>
      <c r="H79" s="11" t="s">
        <v>673</v>
      </c>
      <c r="J79" s="41" t="s">
        <v>875</v>
      </c>
    </row>
    <row r="80" spans="1:11" x14ac:dyDescent="0.35">
      <c r="A80">
        <f t="shared" si="2"/>
        <v>1.7272727272727273</v>
      </c>
      <c r="C80" s="41">
        <v>31</v>
      </c>
      <c r="E80" s="1" t="s">
        <v>676</v>
      </c>
      <c r="F80" s="34">
        <v>19</v>
      </c>
      <c r="G80" s="46">
        <v>11</v>
      </c>
      <c r="H80" s="11" t="s">
        <v>650</v>
      </c>
      <c r="J80" s="41" t="s">
        <v>724</v>
      </c>
    </row>
    <row r="81" spans="1:11" x14ac:dyDescent="0.35">
      <c r="A81">
        <f t="shared" si="2"/>
        <v>1.1111111111111112</v>
      </c>
      <c r="C81" s="41">
        <v>32</v>
      </c>
      <c r="E81" s="1" t="s">
        <v>761</v>
      </c>
      <c r="F81" s="34">
        <v>10</v>
      </c>
      <c r="G81" s="46">
        <v>9</v>
      </c>
      <c r="H81" s="11" t="s">
        <v>756</v>
      </c>
      <c r="J81" s="41" t="s">
        <v>730</v>
      </c>
    </row>
    <row r="82" spans="1:11" x14ac:dyDescent="0.35">
      <c r="A82">
        <f t="shared" si="2"/>
        <v>1.7857142857142858</v>
      </c>
      <c r="C82" s="41">
        <v>33</v>
      </c>
      <c r="D82" s="34">
        <v>2</v>
      </c>
      <c r="E82" s="1" t="s">
        <v>245</v>
      </c>
      <c r="F82" s="34">
        <v>25</v>
      </c>
      <c r="G82" s="46">
        <v>14</v>
      </c>
      <c r="H82" s="11" t="s">
        <v>704</v>
      </c>
      <c r="J82" s="41" t="s">
        <v>907</v>
      </c>
    </row>
    <row r="83" spans="1:11" x14ac:dyDescent="0.35">
      <c r="A83">
        <f t="shared" si="2"/>
        <v>2.6666666666666665</v>
      </c>
      <c r="C83" s="41">
        <v>34</v>
      </c>
      <c r="D83" s="34">
        <v>12</v>
      </c>
      <c r="E83" s="1" t="s">
        <v>644</v>
      </c>
      <c r="F83" s="34">
        <v>16</v>
      </c>
      <c r="G83" s="46">
        <v>6</v>
      </c>
      <c r="H83" s="11" t="s">
        <v>738</v>
      </c>
      <c r="J83" s="41" t="s">
        <v>730</v>
      </c>
    </row>
    <row r="84" spans="1:11" x14ac:dyDescent="0.35">
      <c r="A84">
        <f t="shared" si="2"/>
        <v>2</v>
      </c>
      <c r="C84" s="41">
        <v>35</v>
      </c>
      <c r="D84" s="34">
        <v>9</v>
      </c>
      <c r="E84" s="1" t="s">
        <v>242</v>
      </c>
      <c r="F84" s="34">
        <v>14</v>
      </c>
      <c r="G84" s="46">
        <v>7</v>
      </c>
      <c r="H84" s="11" t="s">
        <v>751</v>
      </c>
      <c r="J84" s="41" t="s">
        <v>821</v>
      </c>
    </row>
    <row r="85" spans="1:11" x14ac:dyDescent="0.35">
      <c r="A85">
        <f t="shared" si="2"/>
        <v>2</v>
      </c>
      <c r="C85" s="41">
        <v>36</v>
      </c>
      <c r="D85" s="34">
        <v>16</v>
      </c>
      <c r="E85" s="1" t="s">
        <v>776</v>
      </c>
      <c r="F85" s="34">
        <v>20</v>
      </c>
      <c r="G85" s="46">
        <v>10</v>
      </c>
      <c r="H85" s="11" t="s">
        <v>701</v>
      </c>
      <c r="J85" s="41" t="s">
        <v>844</v>
      </c>
    </row>
    <row r="86" spans="1:11" x14ac:dyDescent="0.35">
      <c r="A86">
        <f t="shared" si="2"/>
        <v>2.375</v>
      </c>
      <c r="C86" s="41">
        <v>37</v>
      </c>
      <c r="D86" s="34">
        <v>17</v>
      </c>
      <c r="E86" s="1" t="s">
        <v>467</v>
      </c>
      <c r="F86" s="34">
        <v>19</v>
      </c>
      <c r="G86" s="46">
        <v>8</v>
      </c>
      <c r="H86" s="11" t="s">
        <v>647</v>
      </c>
      <c r="I86" s="46">
        <v>21</v>
      </c>
      <c r="J86" s="41" t="s">
        <v>724</v>
      </c>
    </row>
    <row r="87" spans="1:11" x14ac:dyDescent="0.35">
      <c r="A87">
        <f t="shared" si="2"/>
        <v>2</v>
      </c>
      <c r="C87" s="41">
        <v>38</v>
      </c>
      <c r="D87" s="34">
        <v>6</v>
      </c>
      <c r="E87" s="1" t="s">
        <v>643</v>
      </c>
      <c r="F87" s="34">
        <v>16</v>
      </c>
      <c r="G87" s="46">
        <v>8</v>
      </c>
      <c r="H87" s="11" t="s">
        <v>734</v>
      </c>
      <c r="I87" s="46">
        <v>20</v>
      </c>
      <c r="J87" s="41" t="s">
        <v>721</v>
      </c>
    </row>
    <row r="88" spans="1:11" x14ac:dyDescent="0.35">
      <c r="A88">
        <f t="shared" si="2"/>
        <v>1.4285714285714286</v>
      </c>
      <c r="C88" s="41">
        <v>39</v>
      </c>
      <c r="D88" s="34">
        <v>15</v>
      </c>
      <c r="E88" s="1" t="s">
        <v>783</v>
      </c>
      <c r="F88" s="34">
        <v>20</v>
      </c>
      <c r="G88" s="46">
        <v>14</v>
      </c>
      <c r="H88" s="11" t="s">
        <v>792</v>
      </c>
      <c r="I88" s="46">
        <v>14</v>
      </c>
      <c r="J88" s="41" t="s">
        <v>821</v>
      </c>
    </row>
    <row r="89" spans="1:11" ht="15" thickBot="1" x14ac:dyDescent="0.4">
      <c r="A89">
        <f t="shared" si="2"/>
        <v>1.0769230769230769</v>
      </c>
      <c r="C89" s="42">
        <v>40</v>
      </c>
      <c r="D89" s="49">
        <v>10</v>
      </c>
      <c r="E89" s="45" t="s">
        <v>731</v>
      </c>
      <c r="F89" s="49">
        <v>14</v>
      </c>
      <c r="G89" s="50">
        <v>13</v>
      </c>
      <c r="H89" s="51" t="s">
        <v>649</v>
      </c>
      <c r="I89" s="50">
        <v>3</v>
      </c>
      <c r="J89" s="42" t="s">
        <v>710</v>
      </c>
      <c r="K89" s="40"/>
    </row>
    <row r="90" spans="1:11" x14ac:dyDescent="0.35">
      <c r="A90">
        <f t="shared" si="2"/>
        <v>1.25</v>
      </c>
      <c r="C90" s="41">
        <v>1</v>
      </c>
      <c r="E90" s="1" t="s">
        <v>651</v>
      </c>
      <c r="F90" s="34">
        <v>25</v>
      </c>
      <c r="G90" s="46">
        <v>20</v>
      </c>
      <c r="H90" s="11" t="s">
        <v>1163</v>
      </c>
      <c r="J90" s="41" t="s">
        <v>1166</v>
      </c>
      <c r="K90" t="s">
        <v>1167</v>
      </c>
    </row>
    <row r="91" spans="1:11" x14ac:dyDescent="0.35">
      <c r="A91">
        <f t="shared" si="2"/>
        <v>2</v>
      </c>
      <c r="C91" s="41">
        <v>2</v>
      </c>
      <c r="D91" s="34">
        <v>25</v>
      </c>
      <c r="E91" s="1" t="s">
        <v>1157</v>
      </c>
      <c r="F91" s="34">
        <v>16</v>
      </c>
      <c r="G91" s="46">
        <v>8</v>
      </c>
      <c r="H91" s="11" t="s">
        <v>664</v>
      </c>
      <c r="J91" s="41" t="s">
        <v>710</v>
      </c>
    </row>
    <row r="92" spans="1:11" x14ac:dyDescent="0.35">
      <c r="A92">
        <f t="shared" si="2"/>
        <v>2.3333333333333335</v>
      </c>
      <c r="C92" s="41">
        <v>3</v>
      </c>
      <c r="E92" s="1" t="s">
        <v>666</v>
      </c>
      <c r="F92" s="34">
        <v>14</v>
      </c>
      <c r="G92" s="46">
        <v>6</v>
      </c>
      <c r="H92" s="11" t="s">
        <v>1158</v>
      </c>
      <c r="J92" s="41" t="s">
        <v>741</v>
      </c>
    </row>
    <row r="93" spans="1:11" x14ac:dyDescent="0.35">
      <c r="A93">
        <f t="shared" si="2"/>
        <v>1.2727272727272727</v>
      </c>
      <c r="C93" s="41">
        <v>4</v>
      </c>
      <c r="E93" s="1" t="s">
        <v>1155</v>
      </c>
      <c r="F93" s="34">
        <v>14</v>
      </c>
      <c r="G93" s="46">
        <v>11</v>
      </c>
      <c r="H93" s="11" t="s">
        <v>645</v>
      </c>
      <c r="J93" s="41" t="s">
        <v>898</v>
      </c>
    </row>
    <row r="94" spans="1:11" x14ac:dyDescent="0.35">
      <c r="A94">
        <f t="shared" si="2"/>
        <v>1.0666666666666667</v>
      </c>
      <c r="C94" s="41">
        <v>5</v>
      </c>
      <c r="E94" s="1" t="s">
        <v>1161</v>
      </c>
      <c r="F94" s="34">
        <v>16</v>
      </c>
      <c r="G94" s="46">
        <v>15</v>
      </c>
      <c r="H94" s="11" t="s">
        <v>1165</v>
      </c>
      <c r="J94" s="41" t="s">
        <v>719</v>
      </c>
      <c r="K94" t="s">
        <v>1168</v>
      </c>
    </row>
    <row r="95" spans="1:11" x14ac:dyDescent="0.35">
      <c r="A95">
        <f t="shared" si="2"/>
        <v>1.1111111111111112</v>
      </c>
      <c r="C95" s="41">
        <v>6</v>
      </c>
      <c r="E95" s="1" t="s">
        <v>468</v>
      </c>
      <c r="F95" s="34">
        <v>20</v>
      </c>
      <c r="G95" s="46">
        <v>18</v>
      </c>
      <c r="H95" s="11" t="s">
        <v>1156</v>
      </c>
      <c r="J95" s="41" t="s">
        <v>972</v>
      </c>
    </row>
    <row r="96" spans="1:11" x14ac:dyDescent="0.35">
      <c r="A96">
        <f t="shared" si="2"/>
        <v>1.5</v>
      </c>
      <c r="C96" s="41">
        <v>7</v>
      </c>
      <c r="E96" s="1" t="s">
        <v>1164</v>
      </c>
      <c r="F96" s="34">
        <v>18</v>
      </c>
      <c r="G96" s="46">
        <v>12</v>
      </c>
      <c r="H96" s="11" t="s">
        <v>1162</v>
      </c>
      <c r="J96" s="41" t="s">
        <v>773</v>
      </c>
    </row>
    <row r="97" spans="1:11" ht="15" thickBot="1" x14ac:dyDescent="0.4">
      <c r="A97">
        <f t="shared" si="2"/>
        <v>2.2857142857142856</v>
      </c>
      <c r="C97" s="42">
        <v>8</v>
      </c>
      <c r="D97" s="49"/>
      <c r="E97" s="45" t="s">
        <v>681</v>
      </c>
      <c r="F97" s="49">
        <v>16</v>
      </c>
      <c r="G97" s="50">
        <v>7</v>
      </c>
      <c r="H97" s="51" t="s">
        <v>1160</v>
      </c>
      <c r="I97" s="50"/>
      <c r="J97" s="40" t="s">
        <v>740</v>
      </c>
      <c r="K97" s="40"/>
    </row>
    <row r="98" spans="1:11" x14ac:dyDescent="0.35">
      <c r="A98">
        <f t="shared" si="2"/>
        <v>1.0625</v>
      </c>
      <c r="B98" t="s">
        <v>1100</v>
      </c>
      <c r="C98" s="41">
        <v>1</v>
      </c>
      <c r="E98" s="1" t="s">
        <v>1163</v>
      </c>
      <c r="F98" s="34">
        <v>17</v>
      </c>
      <c r="G98" s="46">
        <v>16</v>
      </c>
      <c r="H98" s="11" t="s">
        <v>645</v>
      </c>
      <c r="J98" s="41" t="s">
        <v>781</v>
      </c>
    </row>
    <row r="99" spans="1:11" x14ac:dyDescent="0.35">
      <c r="A99">
        <f t="shared" si="2"/>
        <v>1.0714285714285714</v>
      </c>
      <c r="C99" s="41">
        <v>2</v>
      </c>
      <c r="E99" s="1" t="s">
        <v>709</v>
      </c>
      <c r="F99" s="34">
        <v>15</v>
      </c>
      <c r="G99" s="46">
        <v>14</v>
      </c>
      <c r="H99" s="11" t="s">
        <v>692</v>
      </c>
      <c r="J99" s="41" t="s">
        <v>831</v>
      </c>
      <c r="K99" t="s">
        <v>1169</v>
      </c>
    </row>
    <row r="100" spans="1:11" x14ac:dyDescent="0.35">
      <c r="A100">
        <f t="shared" si="2"/>
        <v>2.2999999999999998</v>
      </c>
      <c r="C100" s="41">
        <v>3</v>
      </c>
      <c r="E100" s="1" t="s">
        <v>772</v>
      </c>
      <c r="F100" s="34">
        <v>23</v>
      </c>
      <c r="G100" s="46">
        <v>10</v>
      </c>
      <c r="H100" s="11" t="s">
        <v>693</v>
      </c>
      <c r="J100" s="41" t="s">
        <v>823</v>
      </c>
    </row>
    <row r="101" spans="1:11" x14ac:dyDescent="0.35">
      <c r="A101">
        <f t="shared" si="2"/>
        <v>2.2999999999999998</v>
      </c>
      <c r="C101" s="41">
        <v>4</v>
      </c>
      <c r="E101" s="1" t="s">
        <v>664</v>
      </c>
      <c r="F101" s="34">
        <v>23</v>
      </c>
      <c r="G101" s="46">
        <v>10</v>
      </c>
      <c r="H101" s="11" t="s">
        <v>1160</v>
      </c>
      <c r="J101" s="41" t="s">
        <v>796</v>
      </c>
    </row>
    <row r="102" spans="1:11" x14ac:dyDescent="0.35">
      <c r="A102">
        <f t="shared" si="2"/>
        <v>1.1666666666666667</v>
      </c>
      <c r="C102" s="41">
        <v>5</v>
      </c>
      <c r="E102" s="1" t="s">
        <v>716</v>
      </c>
      <c r="F102" s="34">
        <v>14</v>
      </c>
      <c r="G102" s="46">
        <v>12</v>
      </c>
      <c r="H102" s="11" t="s">
        <v>677</v>
      </c>
      <c r="J102" s="41" t="s">
        <v>928</v>
      </c>
      <c r="K102" t="s">
        <v>1170</v>
      </c>
    </row>
    <row r="103" spans="1:11" x14ac:dyDescent="0.35">
      <c r="A103">
        <f t="shared" si="2"/>
        <v>1.1428571428571428</v>
      </c>
      <c r="C103" s="41">
        <v>6</v>
      </c>
      <c r="E103" s="1" t="s">
        <v>1165</v>
      </c>
      <c r="F103" s="34">
        <v>16</v>
      </c>
      <c r="G103" s="46">
        <v>14</v>
      </c>
      <c r="H103" s="11" t="s">
        <v>1158</v>
      </c>
      <c r="J103" s="41" t="s">
        <v>831</v>
      </c>
    </row>
    <row r="104" spans="1:11" x14ac:dyDescent="0.35">
      <c r="A104">
        <f t="shared" si="2"/>
        <v>1.7</v>
      </c>
      <c r="C104" s="41">
        <v>7</v>
      </c>
      <c r="E104" s="1" t="s">
        <v>777</v>
      </c>
      <c r="F104" s="34">
        <v>17</v>
      </c>
      <c r="G104" s="46">
        <v>10</v>
      </c>
      <c r="H104" s="11" t="s">
        <v>678</v>
      </c>
      <c r="J104" s="41" t="s">
        <v>796</v>
      </c>
    </row>
    <row r="105" spans="1:11" x14ac:dyDescent="0.35">
      <c r="A105">
        <f t="shared" si="2"/>
        <v>1.0833333333333333</v>
      </c>
      <c r="C105" s="41">
        <v>8</v>
      </c>
      <c r="D105" s="34">
        <v>18</v>
      </c>
      <c r="E105" s="1" t="s">
        <v>676</v>
      </c>
      <c r="F105" s="34">
        <v>13</v>
      </c>
      <c r="G105" s="46">
        <v>12</v>
      </c>
      <c r="H105" s="11" t="s">
        <v>660</v>
      </c>
      <c r="J105" s="41" t="s">
        <v>814</v>
      </c>
    </row>
    <row r="106" spans="1:11" x14ac:dyDescent="0.35">
      <c r="A106">
        <f t="shared" si="2"/>
        <v>1.1428571428571428</v>
      </c>
      <c r="C106" s="41">
        <v>9</v>
      </c>
      <c r="E106" s="1" t="s">
        <v>672</v>
      </c>
      <c r="F106" s="34">
        <v>8</v>
      </c>
      <c r="G106" s="46">
        <v>7</v>
      </c>
      <c r="H106" s="11" t="s">
        <v>647</v>
      </c>
      <c r="J106" s="41" t="s">
        <v>924</v>
      </c>
    </row>
    <row r="107" spans="1:11" x14ac:dyDescent="0.35">
      <c r="A107">
        <f t="shared" si="2"/>
        <v>1.2</v>
      </c>
      <c r="C107" s="41">
        <v>10</v>
      </c>
      <c r="D107" s="34">
        <v>23</v>
      </c>
      <c r="E107" s="1" t="s">
        <v>1164</v>
      </c>
      <c r="F107" s="34">
        <v>18</v>
      </c>
      <c r="G107" s="46">
        <v>15</v>
      </c>
      <c r="H107" s="11" t="s">
        <v>1156</v>
      </c>
      <c r="J107" s="41" t="s">
        <v>705</v>
      </c>
    </row>
    <row r="108" spans="1:11" x14ac:dyDescent="0.35">
      <c r="A108">
        <f t="shared" si="2"/>
        <v>1.1818181818181819</v>
      </c>
      <c r="C108" s="41">
        <v>11</v>
      </c>
      <c r="E108" s="1" t="s">
        <v>665</v>
      </c>
      <c r="F108" s="34">
        <v>13</v>
      </c>
      <c r="G108" s="46">
        <v>11</v>
      </c>
      <c r="H108" s="11" t="s">
        <v>771</v>
      </c>
      <c r="J108" s="41" t="s">
        <v>773</v>
      </c>
      <c r="K108" t="s">
        <v>1171</v>
      </c>
    </row>
    <row r="109" spans="1:11" x14ac:dyDescent="0.35">
      <c r="A109">
        <f t="shared" si="2"/>
        <v>2.5</v>
      </c>
      <c r="C109" s="41">
        <v>12</v>
      </c>
      <c r="D109" s="34">
        <v>2</v>
      </c>
      <c r="E109" s="1" t="s">
        <v>644</v>
      </c>
      <c r="F109" s="34">
        <v>30</v>
      </c>
      <c r="G109" s="46">
        <v>12</v>
      </c>
      <c r="H109" s="11" t="s">
        <v>784</v>
      </c>
      <c r="J109" s="41" t="s">
        <v>724</v>
      </c>
      <c r="K109" t="s">
        <v>1172</v>
      </c>
    </row>
    <row r="110" spans="1:11" x14ac:dyDescent="0.35">
      <c r="A110">
        <f t="shared" si="2"/>
        <v>1.0555555555555556</v>
      </c>
      <c r="C110" s="41">
        <v>13</v>
      </c>
      <c r="E110" s="1" t="s">
        <v>758</v>
      </c>
      <c r="F110" s="34">
        <v>19</v>
      </c>
      <c r="G110" s="46">
        <v>18</v>
      </c>
      <c r="H110" s="11" t="s">
        <v>706</v>
      </c>
      <c r="J110" s="41" t="s">
        <v>987</v>
      </c>
      <c r="K110" t="s">
        <v>1173</v>
      </c>
    </row>
    <row r="111" spans="1:11" x14ac:dyDescent="0.35">
      <c r="A111">
        <f t="shared" si="2"/>
        <v>1.0909090909090908</v>
      </c>
      <c r="C111" s="41">
        <v>14</v>
      </c>
      <c r="E111" s="1" t="s">
        <v>761</v>
      </c>
      <c r="F111" s="34">
        <v>12</v>
      </c>
      <c r="G111" s="46">
        <v>11</v>
      </c>
      <c r="H111" s="11" t="s">
        <v>646</v>
      </c>
      <c r="J111" s="41" t="s">
        <v>898</v>
      </c>
    </row>
    <row r="112" spans="1:11" x14ac:dyDescent="0.35">
      <c r="A112">
        <f t="shared" si="2"/>
        <v>1.25</v>
      </c>
      <c r="C112" s="41">
        <v>15</v>
      </c>
      <c r="E112" s="1" t="s">
        <v>670</v>
      </c>
      <c r="F112" s="34">
        <v>15</v>
      </c>
      <c r="G112" s="46">
        <v>12</v>
      </c>
      <c r="H112" s="11" t="s">
        <v>737</v>
      </c>
      <c r="J112" s="41" t="s">
        <v>770</v>
      </c>
    </row>
    <row r="113" spans="1:10" x14ac:dyDescent="0.35">
      <c r="A113">
        <f t="shared" si="2"/>
        <v>1.1666666666666667</v>
      </c>
      <c r="C113" s="41">
        <v>16</v>
      </c>
      <c r="E113" s="1" t="s">
        <v>767</v>
      </c>
      <c r="F113" s="34">
        <v>14</v>
      </c>
      <c r="G113" s="46">
        <v>12</v>
      </c>
      <c r="H113" s="11" t="s">
        <v>704</v>
      </c>
      <c r="J113" s="41" t="s">
        <v>710</v>
      </c>
    </row>
    <row r="114" spans="1:10" x14ac:dyDescent="0.35">
      <c r="A114">
        <f t="shared" si="2"/>
        <v>2.3333333333333335</v>
      </c>
      <c r="C114" s="41">
        <v>17</v>
      </c>
      <c r="D114" s="34">
        <v>19</v>
      </c>
      <c r="E114" s="1" t="s">
        <v>750</v>
      </c>
      <c r="F114" s="34">
        <v>21</v>
      </c>
      <c r="G114" s="46">
        <v>9</v>
      </c>
      <c r="H114" s="11" t="s">
        <v>582</v>
      </c>
      <c r="J114" s="41" t="s">
        <v>821</v>
      </c>
    </row>
    <row r="115" spans="1:10" x14ac:dyDescent="0.35">
      <c r="A115">
        <f t="shared" si="2"/>
        <v>1.2727272727272727</v>
      </c>
      <c r="C115" s="41">
        <v>18</v>
      </c>
      <c r="E115" s="1" t="s">
        <v>722</v>
      </c>
      <c r="F115" s="34">
        <v>14</v>
      </c>
      <c r="G115" s="46">
        <v>11</v>
      </c>
      <c r="H115" s="11" t="s">
        <v>742</v>
      </c>
      <c r="J115" s="41" t="s">
        <v>789</v>
      </c>
    </row>
    <row r="116" spans="1:10" x14ac:dyDescent="0.35">
      <c r="A116">
        <f t="shared" si="2"/>
        <v>2.3076923076923075</v>
      </c>
      <c r="C116" s="41">
        <v>19</v>
      </c>
      <c r="E116" s="1" t="s">
        <v>734</v>
      </c>
      <c r="F116" s="34">
        <v>30</v>
      </c>
      <c r="G116" s="46">
        <v>13</v>
      </c>
      <c r="H116" s="11" t="s">
        <v>779</v>
      </c>
      <c r="J116" s="41" t="s">
        <v>834</v>
      </c>
    </row>
    <row r="117" spans="1:10" x14ac:dyDescent="0.35">
      <c r="A117">
        <f t="shared" si="2"/>
        <v>1.2941176470588236</v>
      </c>
      <c r="C117" s="41">
        <v>20</v>
      </c>
      <c r="D117" s="34">
        <v>10</v>
      </c>
      <c r="E117" s="1" t="s">
        <v>242</v>
      </c>
      <c r="F117" s="34">
        <v>22</v>
      </c>
      <c r="G117" s="46">
        <v>17</v>
      </c>
      <c r="H117" s="11" t="s">
        <v>671</v>
      </c>
      <c r="J117" s="41" t="s">
        <v>920</v>
      </c>
    </row>
    <row r="118" spans="1:10" x14ac:dyDescent="0.35">
      <c r="A118">
        <f t="shared" si="2"/>
        <v>4</v>
      </c>
      <c r="C118" s="41">
        <v>21</v>
      </c>
      <c r="E118" s="1" t="s">
        <v>680</v>
      </c>
      <c r="F118" s="34">
        <v>32</v>
      </c>
      <c r="G118" s="46">
        <v>8</v>
      </c>
      <c r="H118" s="11" t="s">
        <v>650</v>
      </c>
      <c r="J118" s="41" t="s">
        <v>1174</v>
      </c>
    </row>
    <row r="119" spans="1:10" x14ac:dyDescent="0.35">
      <c r="A119">
        <f t="shared" si="2"/>
        <v>1.8888888888888888</v>
      </c>
      <c r="C119" s="41">
        <v>22</v>
      </c>
      <c r="E119" s="1" t="s">
        <v>673</v>
      </c>
      <c r="F119" s="34">
        <v>17</v>
      </c>
      <c r="G119" s="46">
        <v>9</v>
      </c>
      <c r="H119" s="11" t="s">
        <v>780</v>
      </c>
      <c r="J119" s="41" t="s">
        <v>874</v>
      </c>
    </row>
    <row r="120" spans="1:10" x14ac:dyDescent="0.35">
      <c r="A120">
        <f t="shared" si="2"/>
        <v>1.1875</v>
      </c>
      <c r="C120" s="41">
        <v>23</v>
      </c>
      <c r="E120" s="1" t="s">
        <v>712</v>
      </c>
      <c r="F120" s="34">
        <v>19</v>
      </c>
      <c r="G120" s="46">
        <v>16</v>
      </c>
      <c r="H120" s="11" t="s">
        <v>760</v>
      </c>
      <c r="J120" s="41" t="s">
        <v>719</v>
      </c>
    </row>
    <row r="121" spans="1:10" x14ac:dyDescent="0.35">
      <c r="A121">
        <f t="shared" si="2"/>
        <v>1.6</v>
      </c>
      <c r="C121" s="41">
        <v>24</v>
      </c>
      <c r="E121" s="1" t="s">
        <v>640</v>
      </c>
      <c r="F121" s="34">
        <v>16</v>
      </c>
      <c r="G121" s="46">
        <v>10</v>
      </c>
      <c r="H121" s="11" t="s">
        <v>738</v>
      </c>
      <c r="J121" s="41" t="s">
        <v>740</v>
      </c>
    </row>
    <row r="122" spans="1:10" x14ac:dyDescent="0.35">
      <c r="A122">
        <f t="shared" si="2"/>
        <v>3.1666666666666665</v>
      </c>
      <c r="C122" s="41">
        <v>25</v>
      </c>
      <c r="E122" s="1" t="s">
        <v>747</v>
      </c>
      <c r="F122" s="34">
        <v>19</v>
      </c>
      <c r="G122" s="46">
        <v>6</v>
      </c>
      <c r="H122" s="11" t="s">
        <v>641</v>
      </c>
      <c r="I122" s="46">
        <v>16</v>
      </c>
      <c r="J122" s="41" t="s">
        <v>1175</v>
      </c>
    </row>
    <row r="123" spans="1:10" x14ac:dyDescent="0.35">
      <c r="A123">
        <f t="shared" si="2"/>
        <v>1.2307692307692308</v>
      </c>
      <c r="C123" s="41">
        <v>26</v>
      </c>
      <c r="E123" s="1" t="s">
        <v>1155</v>
      </c>
      <c r="F123" s="34">
        <v>16</v>
      </c>
      <c r="G123" s="46">
        <v>13</v>
      </c>
      <c r="H123" s="11" t="s">
        <v>651</v>
      </c>
      <c r="J123" s="41" t="s">
        <v>773</v>
      </c>
    </row>
    <row r="124" spans="1:10" x14ac:dyDescent="0.35">
      <c r="A124">
        <f t="shared" si="2"/>
        <v>1.0714285714285714</v>
      </c>
      <c r="C124" s="41">
        <v>27</v>
      </c>
      <c r="E124" s="1" t="s">
        <v>1161</v>
      </c>
      <c r="F124" s="34">
        <v>15</v>
      </c>
      <c r="G124" s="46">
        <v>14</v>
      </c>
      <c r="H124" s="11" t="s">
        <v>666</v>
      </c>
      <c r="J124" s="41" t="s">
        <v>806</v>
      </c>
    </row>
    <row r="125" spans="1:10" x14ac:dyDescent="0.35">
      <c r="A125">
        <f t="shared" si="2"/>
        <v>1.5833333333333333</v>
      </c>
      <c r="C125" s="41">
        <v>28</v>
      </c>
      <c r="E125" s="1" t="s">
        <v>756</v>
      </c>
      <c r="F125" s="34">
        <v>19</v>
      </c>
      <c r="G125" s="46">
        <v>12</v>
      </c>
      <c r="H125" s="11" t="s">
        <v>774</v>
      </c>
      <c r="J125" s="41" t="s">
        <v>790</v>
      </c>
    </row>
    <row r="126" spans="1:10" x14ac:dyDescent="0.35">
      <c r="A126">
        <f t="shared" si="2"/>
        <v>3</v>
      </c>
      <c r="C126" s="41">
        <v>29</v>
      </c>
      <c r="D126" s="34">
        <v>4</v>
      </c>
      <c r="E126" s="1" t="s">
        <v>245</v>
      </c>
      <c r="F126" s="34">
        <v>27</v>
      </c>
      <c r="G126" s="46">
        <v>9</v>
      </c>
      <c r="H126" s="11" t="s">
        <v>726</v>
      </c>
      <c r="J126" s="41" t="s">
        <v>789</v>
      </c>
    </row>
    <row r="127" spans="1:10" x14ac:dyDescent="0.35">
      <c r="A127">
        <f t="shared" si="2"/>
        <v>1.5714285714285714</v>
      </c>
      <c r="C127" s="41">
        <v>30</v>
      </c>
      <c r="D127" s="34">
        <v>11</v>
      </c>
      <c r="E127" s="1" t="s">
        <v>729</v>
      </c>
      <c r="F127" s="34">
        <v>22</v>
      </c>
      <c r="G127" s="46">
        <v>14</v>
      </c>
      <c r="H127" s="11" t="s">
        <v>700</v>
      </c>
      <c r="J127" s="41" t="s">
        <v>754</v>
      </c>
    </row>
    <row r="128" spans="1:10" x14ac:dyDescent="0.35">
      <c r="A128">
        <f t="shared" si="2"/>
        <v>1.0833333333333333</v>
      </c>
      <c r="C128" s="41">
        <v>31</v>
      </c>
      <c r="E128" s="1" t="s">
        <v>661</v>
      </c>
      <c r="F128" s="34">
        <v>13</v>
      </c>
      <c r="G128" s="46">
        <v>12</v>
      </c>
      <c r="H128" s="11" t="s">
        <v>465</v>
      </c>
      <c r="J128" s="41" t="s">
        <v>748</v>
      </c>
    </row>
    <row r="129" spans="1:11" x14ac:dyDescent="0.35">
      <c r="A129">
        <f t="shared" si="2"/>
        <v>1.0666666666666667</v>
      </c>
      <c r="C129" s="41">
        <v>32</v>
      </c>
      <c r="E129" s="1" t="s">
        <v>718</v>
      </c>
      <c r="F129" s="34">
        <v>16</v>
      </c>
      <c r="G129" s="46">
        <v>15</v>
      </c>
      <c r="H129" s="11" t="s">
        <v>757</v>
      </c>
      <c r="J129" s="41" t="s">
        <v>806</v>
      </c>
      <c r="K129" t="s">
        <v>1176</v>
      </c>
    </row>
    <row r="130" spans="1:11" x14ac:dyDescent="0.35">
      <c r="A130">
        <f t="shared" si="2"/>
        <v>1.7</v>
      </c>
      <c r="C130" s="41">
        <v>33</v>
      </c>
      <c r="E130" s="1" t="s">
        <v>468</v>
      </c>
      <c r="F130" s="34">
        <v>17</v>
      </c>
      <c r="G130" s="46">
        <v>10</v>
      </c>
      <c r="H130" s="11" t="s">
        <v>1162</v>
      </c>
      <c r="J130" s="41" t="s">
        <v>727</v>
      </c>
    </row>
    <row r="131" spans="1:11" x14ac:dyDescent="0.35">
      <c r="A131">
        <f t="shared" ref="A131:A194" si="3">(F131/G131)</f>
        <v>7.5</v>
      </c>
      <c r="C131" s="41">
        <v>34</v>
      </c>
      <c r="E131" s="1" t="s">
        <v>755</v>
      </c>
      <c r="F131" s="34">
        <v>30</v>
      </c>
      <c r="G131" s="46">
        <v>4</v>
      </c>
      <c r="H131" s="11" t="s">
        <v>466</v>
      </c>
      <c r="J131" s="41" t="s">
        <v>986</v>
      </c>
    </row>
    <row r="132" spans="1:11" x14ac:dyDescent="0.35">
      <c r="A132">
        <f t="shared" si="3"/>
        <v>1.4285714285714286</v>
      </c>
      <c r="C132" s="41">
        <v>35</v>
      </c>
      <c r="E132" s="1" t="s">
        <v>642</v>
      </c>
      <c r="F132" s="34">
        <v>20</v>
      </c>
      <c r="G132" s="46">
        <v>14</v>
      </c>
      <c r="H132" s="11" t="s">
        <v>753</v>
      </c>
      <c r="J132" s="41" t="s">
        <v>786</v>
      </c>
    </row>
    <row r="133" spans="1:11" x14ac:dyDescent="0.35">
      <c r="A133">
        <f t="shared" si="3"/>
        <v>1.2</v>
      </c>
      <c r="C133" s="41">
        <v>36</v>
      </c>
      <c r="E133" s="1" t="s">
        <v>764</v>
      </c>
      <c r="F133" s="34">
        <v>12</v>
      </c>
      <c r="G133" s="46">
        <v>10</v>
      </c>
      <c r="H133" s="11" t="s">
        <v>776</v>
      </c>
      <c r="I133" s="46">
        <v>9</v>
      </c>
      <c r="J133" s="41" t="s">
        <v>789</v>
      </c>
    </row>
    <row r="134" spans="1:11" x14ac:dyDescent="0.35">
      <c r="A134">
        <f t="shared" si="3"/>
        <v>1.6153846153846154</v>
      </c>
      <c r="C134" s="41">
        <v>37</v>
      </c>
      <c r="E134" s="1" t="s">
        <v>679</v>
      </c>
      <c r="F134" s="34">
        <v>21</v>
      </c>
      <c r="G134" s="46">
        <v>13</v>
      </c>
      <c r="H134" s="11" t="s">
        <v>768</v>
      </c>
      <c r="I134" s="46">
        <v>22</v>
      </c>
      <c r="J134" s="41" t="s">
        <v>789</v>
      </c>
    </row>
    <row r="135" spans="1:11" x14ac:dyDescent="0.35">
      <c r="A135">
        <f t="shared" si="3"/>
        <v>1.0476190476190477</v>
      </c>
      <c r="C135" s="41">
        <v>38</v>
      </c>
      <c r="D135" s="34">
        <v>25</v>
      </c>
      <c r="E135" s="1" t="s">
        <v>732</v>
      </c>
      <c r="F135" s="34">
        <v>22</v>
      </c>
      <c r="G135" s="46">
        <v>21</v>
      </c>
      <c r="H135" s="11" t="s">
        <v>743</v>
      </c>
      <c r="J135" s="41" t="s">
        <v>851</v>
      </c>
    </row>
    <row r="136" spans="1:11" x14ac:dyDescent="0.35">
      <c r="A136">
        <f t="shared" si="3"/>
        <v>1.0666666666666667</v>
      </c>
      <c r="C136" s="41">
        <v>39</v>
      </c>
      <c r="E136" s="1" t="s">
        <v>701</v>
      </c>
      <c r="F136" s="34">
        <v>16</v>
      </c>
      <c r="G136" s="46">
        <v>15</v>
      </c>
      <c r="H136" s="11" t="s">
        <v>723</v>
      </c>
      <c r="J136" s="41" t="s">
        <v>952</v>
      </c>
    </row>
    <row r="137" spans="1:11" x14ac:dyDescent="0.35">
      <c r="A137">
        <f t="shared" si="3"/>
        <v>2.2222222222222223</v>
      </c>
      <c r="C137" s="41">
        <v>40</v>
      </c>
      <c r="E137" s="1" t="s">
        <v>663</v>
      </c>
      <c r="F137" s="34">
        <v>20</v>
      </c>
      <c r="G137" s="46">
        <v>9</v>
      </c>
      <c r="H137" s="11" t="s">
        <v>751</v>
      </c>
      <c r="J137" s="41" t="s">
        <v>790</v>
      </c>
    </row>
    <row r="138" spans="1:11" x14ac:dyDescent="0.35">
      <c r="A138">
        <f t="shared" si="3"/>
        <v>1.3529411764705883</v>
      </c>
      <c r="C138" s="41">
        <v>41</v>
      </c>
      <c r="D138" s="34">
        <v>24</v>
      </c>
      <c r="E138" s="1" t="s">
        <v>649</v>
      </c>
      <c r="F138" s="34">
        <v>23</v>
      </c>
      <c r="G138" s="46">
        <v>17</v>
      </c>
      <c r="H138" s="11" t="s">
        <v>792</v>
      </c>
      <c r="J138" s="41" t="s">
        <v>1177</v>
      </c>
    </row>
    <row r="139" spans="1:11" x14ac:dyDescent="0.35">
      <c r="A139">
        <f t="shared" si="3"/>
        <v>1.25</v>
      </c>
      <c r="C139" s="41">
        <v>42</v>
      </c>
      <c r="D139" s="34">
        <v>21</v>
      </c>
      <c r="E139" s="1" t="s">
        <v>681</v>
      </c>
      <c r="F139" s="34">
        <v>10</v>
      </c>
      <c r="G139" s="46">
        <v>8</v>
      </c>
      <c r="H139" s="11" t="s">
        <v>1157</v>
      </c>
      <c r="J139" s="41" t="s">
        <v>839</v>
      </c>
    </row>
    <row r="140" spans="1:11" x14ac:dyDescent="0.35">
      <c r="A140">
        <f t="shared" si="3"/>
        <v>1.0526315789473684</v>
      </c>
      <c r="C140" s="41">
        <v>43</v>
      </c>
      <c r="D140" s="34">
        <v>13</v>
      </c>
      <c r="E140" s="1" t="s">
        <v>713</v>
      </c>
      <c r="F140" s="34">
        <v>20</v>
      </c>
      <c r="G140" s="46">
        <v>19</v>
      </c>
      <c r="H140" s="11" t="s">
        <v>765</v>
      </c>
      <c r="J140" s="41" t="s">
        <v>915</v>
      </c>
      <c r="K140" t="s">
        <v>1178</v>
      </c>
    </row>
    <row r="141" spans="1:11" x14ac:dyDescent="0.35">
      <c r="A141">
        <f t="shared" si="3"/>
        <v>1.2307692307692308</v>
      </c>
      <c r="C141" s="41">
        <v>44</v>
      </c>
      <c r="D141" s="34">
        <v>17</v>
      </c>
      <c r="E141" s="1" t="s">
        <v>720</v>
      </c>
      <c r="F141" s="34">
        <v>16</v>
      </c>
      <c r="G141" s="46">
        <v>13</v>
      </c>
      <c r="H141" s="11" t="s">
        <v>778</v>
      </c>
      <c r="I141" s="46">
        <v>20</v>
      </c>
      <c r="J141" s="41" t="s">
        <v>724</v>
      </c>
    </row>
    <row r="142" spans="1:11" x14ac:dyDescent="0.35">
      <c r="A142">
        <f t="shared" si="3"/>
        <v>2.2000000000000002</v>
      </c>
      <c r="C142" s="41">
        <v>45</v>
      </c>
      <c r="D142" s="34">
        <v>8</v>
      </c>
      <c r="E142" s="1" t="s">
        <v>746</v>
      </c>
      <c r="F142" s="34">
        <v>22</v>
      </c>
      <c r="G142" s="46">
        <v>10</v>
      </c>
      <c r="H142" s="11" t="s">
        <v>648</v>
      </c>
      <c r="I142" s="46">
        <v>15</v>
      </c>
      <c r="J142" s="41" t="s">
        <v>844</v>
      </c>
    </row>
    <row r="143" spans="1:11" x14ac:dyDescent="0.35">
      <c r="A143">
        <f t="shared" si="3"/>
        <v>1.4615384615384615</v>
      </c>
      <c r="C143" s="41">
        <v>46</v>
      </c>
      <c r="D143" s="34">
        <v>3</v>
      </c>
      <c r="E143" s="1" t="s">
        <v>467</v>
      </c>
      <c r="F143" s="34">
        <v>19</v>
      </c>
      <c r="G143" s="46">
        <v>13</v>
      </c>
      <c r="H143" s="11" t="s">
        <v>763</v>
      </c>
      <c r="I143" s="46">
        <v>12</v>
      </c>
      <c r="J143" s="41" t="s">
        <v>910</v>
      </c>
    </row>
    <row r="144" spans="1:11" x14ac:dyDescent="0.35">
      <c r="A144">
        <f t="shared" si="3"/>
        <v>1.625</v>
      </c>
      <c r="C144" s="41">
        <v>47</v>
      </c>
      <c r="D144" s="34">
        <v>1</v>
      </c>
      <c r="E144" s="1" t="s">
        <v>731</v>
      </c>
      <c r="F144" s="34">
        <v>13</v>
      </c>
      <c r="G144" s="46">
        <v>8</v>
      </c>
      <c r="H144" s="11" t="s">
        <v>783</v>
      </c>
      <c r="I144" s="46">
        <v>7</v>
      </c>
      <c r="J144" s="41" t="s">
        <v>741</v>
      </c>
    </row>
    <row r="145" spans="1:11" ht="15" thickBot="1" x14ac:dyDescent="0.4">
      <c r="A145">
        <f t="shared" si="3"/>
        <v>2.0769230769230771</v>
      </c>
      <c r="C145" s="42">
        <v>48</v>
      </c>
      <c r="D145" s="49">
        <v>5</v>
      </c>
      <c r="E145" s="45" t="s">
        <v>785</v>
      </c>
      <c r="F145" s="49">
        <v>27</v>
      </c>
      <c r="G145" s="50">
        <v>13</v>
      </c>
      <c r="H145" s="51" t="s">
        <v>643</v>
      </c>
      <c r="I145" s="50">
        <v>6</v>
      </c>
      <c r="J145" s="42" t="s">
        <v>1179</v>
      </c>
      <c r="K145" s="40"/>
    </row>
    <row r="146" spans="1:11" x14ac:dyDescent="0.35">
      <c r="A146">
        <f t="shared" si="3"/>
        <v>3.4</v>
      </c>
      <c r="B146" t="s">
        <v>1101</v>
      </c>
      <c r="C146" s="41">
        <v>1</v>
      </c>
      <c r="E146" s="1" t="s">
        <v>753</v>
      </c>
      <c r="F146" s="34">
        <v>17</v>
      </c>
      <c r="G146" s="46">
        <v>5</v>
      </c>
      <c r="H146" s="11" t="s">
        <v>678</v>
      </c>
      <c r="J146" s="41" t="s">
        <v>821</v>
      </c>
    </row>
    <row r="147" spans="1:11" x14ac:dyDescent="0.35">
      <c r="A147">
        <f t="shared" si="3"/>
        <v>1.25</v>
      </c>
      <c r="C147" s="41">
        <v>2</v>
      </c>
      <c r="E147" s="1" t="s">
        <v>1158</v>
      </c>
      <c r="F147" s="34">
        <v>20</v>
      </c>
      <c r="G147" s="46">
        <v>16</v>
      </c>
      <c r="H147" s="11" t="s">
        <v>645</v>
      </c>
      <c r="J147" s="41" t="s">
        <v>754</v>
      </c>
    </row>
    <row r="148" spans="1:11" x14ac:dyDescent="0.35">
      <c r="A148">
        <f t="shared" si="3"/>
        <v>1.9285714285714286</v>
      </c>
      <c r="C148" s="41">
        <v>3</v>
      </c>
      <c r="D148" s="34">
        <v>20</v>
      </c>
      <c r="E148" s="1" t="s">
        <v>734</v>
      </c>
      <c r="F148" s="34">
        <v>27</v>
      </c>
      <c r="G148" s="46">
        <v>14</v>
      </c>
      <c r="H148" s="11" t="s">
        <v>677</v>
      </c>
      <c r="J148" s="41" t="s">
        <v>781</v>
      </c>
    </row>
    <row r="149" spans="1:11" x14ac:dyDescent="0.35">
      <c r="A149">
        <f t="shared" si="3"/>
        <v>1.0714285714285714</v>
      </c>
      <c r="C149" s="41">
        <v>4</v>
      </c>
      <c r="E149" s="1" t="s">
        <v>693</v>
      </c>
      <c r="F149" s="34">
        <v>15</v>
      </c>
      <c r="G149" s="46">
        <v>14</v>
      </c>
      <c r="H149" s="11" t="s">
        <v>673</v>
      </c>
      <c r="J149" s="41" t="s">
        <v>702</v>
      </c>
    </row>
    <row r="150" spans="1:11" x14ac:dyDescent="0.35">
      <c r="A150">
        <f t="shared" si="3"/>
        <v>1.1111111111111112</v>
      </c>
      <c r="C150" s="41">
        <v>5</v>
      </c>
      <c r="E150" s="1" t="s">
        <v>650</v>
      </c>
      <c r="F150" s="34">
        <v>20</v>
      </c>
      <c r="G150" s="46">
        <v>18</v>
      </c>
      <c r="H150" s="11" t="s">
        <v>776</v>
      </c>
      <c r="I150" s="46">
        <v>25</v>
      </c>
      <c r="J150" s="41" t="s">
        <v>806</v>
      </c>
      <c r="K150" t="s">
        <v>1180</v>
      </c>
    </row>
    <row r="151" spans="1:11" x14ac:dyDescent="0.35">
      <c r="A151">
        <f t="shared" si="3"/>
        <v>3.5</v>
      </c>
      <c r="C151" s="41">
        <v>6</v>
      </c>
      <c r="E151" s="1" t="s">
        <v>704</v>
      </c>
      <c r="F151" s="34">
        <v>21</v>
      </c>
      <c r="G151" s="46">
        <v>6</v>
      </c>
      <c r="H151" s="11" t="s">
        <v>706</v>
      </c>
      <c r="J151" s="41" t="s">
        <v>740</v>
      </c>
    </row>
    <row r="152" spans="1:11" x14ac:dyDescent="0.35">
      <c r="A152">
        <f t="shared" si="3"/>
        <v>2.4285714285714284</v>
      </c>
      <c r="C152" s="41">
        <v>7</v>
      </c>
      <c r="E152" s="1" t="s">
        <v>779</v>
      </c>
      <c r="F152" s="34">
        <v>17</v>
      </c>
      <c r="G152" s="46">
        <v>7</v>
      </c>
      <c r="H152" s="11" t="s">
        <v>716</v>
      </c>
      <c r="J152" s="41" t="s">
        <v>739</v>
      </c>
    </row>
    <row r="153" spans="1:11" x14ac:dyDescent="0.35">
      <c r="A153">
        <f t="shared" si="3"/>
        <v>1.0625</v>
      </c>
      <c r="C153" s="41">
        <v>8</v>
      </c>
      <c r="E153" s="1" t="s">
        <v>1156</v>
      </c>
      <c r="F153" s="34">
        <v>17</v>
      </c>
      <c r="G153" s="46">
        <v>16</v>
      </c>
      <c r="H153" s="11" t="s">
        <v>664</v>
      </c>
      <c r="J153" s="41" t="s">
        <v>806</v>
      </c>
    </row>
    <row r="154" spans="1:11" x14ac:dyDescent="0.35">
      <c r="A154">
        <f t="shared" si="3"/>
        <v>1.2</v>
      </c>
      <c r="C154" s="41">
        <v>9</v>
      </c>
      <c r="E154" s="1" t="s">
        <v>660</v>
      </c>
      <c r="F154" s="34">
        <v>12</v>
      </c>
      <c r="G154" s="46">
        <v>10</v>
      </c>
      <c r="H154" s="11" t="s">
        <v>723</v>
      </c>
      <c r="J154" s="41" t="s">
        <v>721</v>
      </c>
    </row>
    <row r="155" spans="1:11" x14ac:dyDescent="0.35">
      <c r="A155">
        <f t="shared" si="3"/>
        <v>1.625</v>
      </c>
      <c r="C155" s="41">
        <v>10</v>
      </c>
      <c r="E155" s="1" t="s">
        <v>771</v>
      </c>
      <c r="F155" s="34">
        <v>13</v>
      </c>
      <c r="G155" s="46">
        <v>8</v>
      </c>
      <c r="H155" s="11" t="s">
        <v>784</v>
      </c>
      <c r="J155" s="41" t="s">
        <v>789</v>
      </c>
    </row>
    <row r="156" spans="1:11" x14ac:dyDescent="0.35">
      <c r="A156">
        <f t="shared" si="3"/>
        <v>3.625</v>
      </c>
      <c r="C156" s="41">
        <v>11</v>
      </c>
      <c r="E156" s="1" t="s">
        <v>646</v>
      </c>
      <c r="F156" s="34">
        <v>29</v>
      </c>
      <c r="G156" s="46">
        <v>8</v>
      </c>
      <c r="H156" s="11" t="s">
        <v>671</v>
      </c>
      <c r="J156" s="41" t="s">
        <v>881</v>
      </c>
    </row>
    <row r="157" spans="1:11" x14ac:dyDescent="0.35">
      <c r="A157">
        <f t="shared" si="3"/>
        <v>2.2307692307692308</v>
      </c>
      <c r="C157" s="41">
        <v>12</v>
      </c>
      <c r="E157" s="1" t="s">
        <v>709</v>
      </c>
      <c r="F157" s="34">
        <v>29</v>
      </c>
      <c r="G157" s="46">
        <v>13</v>
      </c>
      <c r="H157" s="11" t="s">
        <v>582</v>
      </c>
      <c r="J157" s="41" t="s">
        <v>847</v>
      </c>
    </row>
    <row r="158" spans="1:11" x14ac:dyDescent="0.35">
      <c r="A158">
        <f t="shared" si="3"/>
        <v>1.0769230769230769</v>
      </c>
      <c r="C158" s="41">
        <v>13</v>
      </c>
      <c r="E158" s="1" t="s">
        <v>737</v>
      </c>
      <c r="F158" s="34">
        <v>14</v>
      </c>
      <c r="G158" s="46">
        <v>13</v>
      </c>
      <c r="H158" s="11" t="s">
        <v>743</v>
      </c>
      <c r="J158" s="41" t="s">
        <v>781</v>
      </c>
    </row>
    <row r="159" spans="1:11" x14ac:dyDescent="0.35">
      <c r="A159">
        <f t="shared" si="3"/>
        <v>1.4166666666666667</v>
      </c>
      <c r="C159" s="41">
        <v>14</v>
      </c>
      <c r="E159" s="1" t="s">
        <v>1165</v>
      </c>
      <c r="F159" s="34">
        <v>17</v>
      </c>
      <c r="G159" s="46">
        <v>12</v>
      </c>
      <c r="H159" s="11" t="s">
        <v>1163</v>
      </c>
      <c r="J159" s="41" t="s">
        <v>806</v>
      </c>
    </row>
    <row r="160" spans="1:11" x14ac:dyDescent="0.35">
      <c r="A160">
        <f t="shared" si="3"/>
        <v>1.8461538461538463</v>
      </c>
      <c r="C160" s="41">
        <v>15</v>
      </c>
      <c r="D160" s="34">
        <v>12</v>
      </c>
      <c r="E160" s="1" t="s">
        <v>649</v>
      </c>
      <c r="F160" s="34">
        <v>24</v>
      </c>
      <c r="G160" s="46">
        <v>13</v>
      </c>
      <c r="H160" s="11" t="s">
        <v>760</v>
      </c>
      <c r="J160" s="41" t="s">
        <v>910</v>
      </c>
    </row>
    <row r="161" spans="1:11" x14ac:dyDescent="0.35">
      <c r="A161">
        <f t="shared" si="3"/>
        <v>1.6428571428571428</v>
      </c>
      <c r="C161" s="41">
        <v>16</v>
      </c>
      <c r="E161" s="1" t="s">
        <v>1160</v>
      </c>
      <c r="F161" s="34">
        <v>23</v>
      </c>
      <c r="G161" s="46">
        <v>14</v>
      </c>
      <c r="H161" s="11" t="s">
        <v>1164</v>
      </c>
      <c r="I161" s="46">
        <v>19</v>
      </c>
      <c r="J161" s="41" t="s">
        <v>820</v>
      </c>
    </row>
    <row r="162" spans="1:11" x14ac:dyDescent="0.35">
      <c r="A162">
        <f t="shared" si="3"/>
        <v>1.1052631578947369</v>
      </c>
      <c r="C162" s="41">
        <v>17</v>
      </c>
      <c r="E162" s="1" t="s">
        <v>651</v>
      </c>
      <c r="F162" s="34">
        <v>21</v>
      </c>
      <c r="G162" s="46">
        <v>19</v>
      </c>
      <c r="H162" s="11" t="s">
        <v>1161</v>
      </c>
      <c r="J162" s="41" t="s">
        <v>915</v>
      </c>
      <c r="K162" t="s">
        <v>1181</v>
      </c>
    </row>
    <row r="163" spans="1:11" x14ac:dyDescent="0.35">
      <c r="A163">
        <f t="shared" si="3"/>
        <v>2.1818181818181817</v>
      </c>
      <c r="C163" s="41">
        <v>18</v>
      </c>
      <c r="D163" s="34">
        <v>8</v>
      </c>
      <c r="E163" s="1" t="s">
        <v>720</v>
      </c>
      <c r="F163" s="34">
        <v>24</v>
      </c>
      <c r="G163" s="46">
        <v>11</v>
      </c>
      <c r="H163" s="11" t="s">
        <v>726</v>
      </c>
      <c r="J163" s="41" t="s">
        <v>789</v>
      </c>
    </row>
    <row r="164" spans="1:11" x14ac:dyDescent="0.35">
      <c r="A164">
        <f t="shared" si="3"/>
        <v>1.0666666666666667</v>
      </c>
      <c r="C164" s="41">
        <v>19</v>
      </c>
      <c r="E164" s="1" t="s">
        <v>466</v>
      </c>
      <c r="F164" s="34">
        <v>16</v>
      </c>
      <c r="G164" s="46">
        <v>15</v>
      </c>
      <c r="H164" s="11" t="s">
        <v>648</v>
      </c>
      <c r="J164" s="41" t="s">
        <v>796</v>
      </c>
    </row>
    <row r="165" spans="1:11" x14ac:dyDescent="0.35">
      <c r="A165">
        <f t="shared" si="3"/>
        <v>1.0869565217391304</v>
      </c>
      <c r="C165" s="41">
        <v>20</v>
      </c>
      <c r="D165" s="34">
        <v>7</v>
      </c>
      <c r="E165" s="1" t="s">
        <v>663</v>
      </c>
      <c r="F165" s="34">
        <v>25</v>
      </c>
      <c r="G165" s="46">
        <v>23</v>
      </c>
      <c r="H165" s="11" t="s">
        <v>774</v>
      </c>
      <c r="J165" s="41" t="s">
        <v>1000</v>
      </c>
      <c r="K165" t="s">
        <v>1182</v>
      </c>
    </row>
    <row r="166" spans="1:11" x14ac:dyDescent="0.35">
      <c r="A166">
        <f t="shared" si="3"/>
        <v>1.2857142857142858</v>
      </c>
      <c r="C166" s="41">
        <v>21</v>
      </c>
      <c r="E166" s="1" t="s">
        <v>642</v>
      </c>
      <c r="F166" s="34">
        <v>27</v>
      </c>
      <c r="G166" s="46">
        <v>21</v>
      </c>
      <c r="H166" s="11" t="s">
        <v>777</v>
      </c>
      <c r="J166" s="41" t="s">
        <v>1141</v>
      </c>
      <c r="K166" t="s">
        <v>1183</v>
      </c>
    </row>
    <row r="167" spans="1:11" x14ac:dyDescent="0.35">
      <c r="A167">
        <f t="shared" si="3"/>
        <v>1.5</v>
      </c>
      <c r="C167" s="41">
        <v>22</v>
      </c>
      <c r="E167" s="1" t="s">
        <v>780</v>
      </c>
      <c r="F167" s="34">
        <v>18</v>
      </c>
      <c r="G167" s="46">
        <v>12</v>
      </c>
      <c r="H167" s="11" t="s">
        <v>772</v>
      </c>
      <c r="J167" s="41" t="s">
        <v>727</v>
      </c>
    </row>
    <row r="168" spans="1:11" x14ac:dyDescent="0.35">
      <c r="A168">
        <f t="shared" si="3"/>
        <v>2.1111111111111112</v>
      </c>
      <c r="C168" s="41">
        <v>23</v>
      </c>
      <c r="E168" s="1" t="s">
        <v>747</v>
      </c>
      <c r="F168" s="34">
        <v>19</v>
      </c>
      <c r="G168" s="46">
        <v>9</v>
      </c>
      <c r="H168" s="11" t="s">
        <v>700</v>
      </c>
      <c r="J168" s="41" t="s">
        <v>721</v>
      </c>
    </row>
    <row r="169" spans="1:11" x14ac:dyDescent="0.35">
      <c r="A169">
        <f t="shared" si="3"/>
        <v>1.5</v>
      </c>
      <c r="C169" s="41">
        <v>24</v>
      </c>
      <c r="E169" s="1" t="s">
        <v>758</v>
      </c>
      <c r="F169" s="34">
        <v>18</v>
      </c>
      <c r="G169" s="46">
        <v>12</v>
      </c>
      <c r="H169" s="11" t="s">
        <v>767</v>
      </c>
      <c r="J169" s="41" t="s">
        <v>773</v>
      </c>
    </row>
    <row r="170" spans="1:11" x14ac:dyDescent="0.35">
      <c r="A170">
        <f t="shared" si="3"/>
        <v>1.7692307692307692</v>
      </c>
      <c r="C170" s="41">
        <v>25</v>
      </c>
      <c r="D170" s="34">
        <v>5</v>
      </c>
      <c r="E170" s="1" t="s">
        <v>644</v>
      </c>
      <c r="F170" s="34">
        <v>23</v>
      </c>
      <c r="G170" s="46">
        <v>13</v>
      </c>
      <c r="H170" s="11" t="s">
        <v>665</v>
      </c>
      <c r="J170" s="41" t="s">
        <v>821</v>
      </c>
    </row>
    <row r="171" spans="1:11" x14ac:dyDescent="0.35">
      <c r="A171">
        <f t="shared" si="3"/>
        <v>2.125</v>
      </c>
      <c r="C171" s="41">
        <v>26</v>
      </c>
      <c r="D171" s="34">
        <v>14</v>
      </c>
      <c r="E171" s="1" t="s">
        <v>681</v>
      </c>
      <c r="F171" s="34">
        <v>17</v>
      </c>
      <c r="G171" s="46">
        <v>8</v>
      </c>
      <c r="H171" s="11" t="s">
        <v>1162</v>
      </c>
      <c r="J171" s="41" t="s">
        <v>773</v>
      </c>
    </row>
    <row r="172" spans="1:11" x14ac:dyDescent="0.35">
      <c r="A172">
        <f t="shared" si="3"/>
        <v>1.5833333333333333</v>
      </c>
      <c r="C172" s="41">
        <v>27</v>
      </c>
      <c r="E172" s="1" t="s">
        <v>647</v>
      </c>
      <c r="F172" s="34">
        <v>19</v>
      </c>
      <c r="G172" s="46">
        <v>12</v>
      </c>
      <c r="H172" s="11" t="s">
        <v>742</v>
      </c>
      <c r="J172" s="41" t="s">
        <v>773</v>
      </c>
    </row>
    <row r="173" spans="1:11" x14ac:dyDescent="0.35">
      <c r="A173">
        <f t="shared" si="3"/>
        <v>1.2857142857142858</v>
      </c>
      <c r="C173" s="41">
        <v>28</v>
      </c>
      <c r="D173" s="34">
        <v>17</v>
      </c>
      <c r="E173" s="1" t="s">
        <v>783</v>
      </c>
      <c r="F173" s="34">
        <v>18</v>
      </c>
      <c r="G173" s="46">
        <v>14</v>
      </c>
      <c r="H173" s="11" t="s">
        <v>465</v>
      </c>
      <c r="J173" s="41" t="s">
        <v>727</v>
      </c>
    </row>
    <row r="174" spans="1:11" x14ac:dyDescent="0.35">
      <c r="A174">
        <f t="shared" si="3"/>
        <v>2.4</v>
      </c>
      <c r="C174" s="41">
        <v>29</v>
      </c>
      <c r="D174" s="34">
        <v>13</v>
      </c>
      <c r="E174" s="1" t="s">
        <v>750</v>
      </c>
      <c r="F174" s="34">
        <v>24</v>
      </c>
      <c r="G174" s="46">
        <v>10</v>
      </c>
      <c r="H174" s="11" t="s">
        <v>692</v>
      </c>
      <c r="J174" s="41" t="s">
        <v>796</v>
      </c>
    </row>
    <row r="175" spans="1:11" x14ac:dyDescent="0.35">
      <c r="A175">
        <f t="shared" si="3"/>
        <v>1.875</v>
      </c>
      <c r="C175" s="41">
        <v>30</v>
      </c>
      <c r="E175" s="1" t="s">
        <v>672</v>
      </c>
      <c r="F175" s="34">
        <v>15</v>
      </c>
      <c r="G175" s="46">
        <v>8</v>
      </c>
      <c r="H175" s="11" t="s">
        <v>722</v>
      </c>
      <c r="J175" s="41" t="s">
        <v>789</v>
      </c>
    </row>
    <row r="176" spans="1:11" x14ac:dyDescent="0.35">
      <c r="A176">
        <f t="shared" si="3"/>
        <v>1.7692307692307692</v>
      </c>
      <c r="C176" s="41">
        <v>31</v>
      </c>
      <c r="E176" s="1" t="s">
        <v>757</v>
      </c>
      <c r="F176" s="34">
        <v>23</v>
      </c>
      <c r="G176" s="46">
        <v>13</v>
      </c>
      <c r="H176" s="11" t="s">
        <v>643</v>
      </c>
      <c r="I176" s="46">
        <v>23</v>
      </c>
      <c r="J176" s="41" t="s">
        <v>910</v>
      </c>
    </row>
    <row r="177" spans="1:11" x14ac:dyDescent="0.35">
      <c r="A177">
        <f t="shared" si="3"/>
        <v>1.4285714285714286</v>
      </c>
      <c r="C177" s="41">
        <v>32</v>
      </c>
      <c r="E177" s="1" t="s">
        <v>765</v>
      </c>
      <c r="F177" s="34">
        <v>20</v>
      </c>
      <c r="G177" s="46">
        <v>14</v>
      </c>
      <c r="H177" s="11" t="s">
        <v>738</v>
      </c>
      <c r="J177" s="41" t="s">
        <v>952</v>
      </c>
    </row>
    <row r="178" spans="1:11" x14ac:dyDescent="0.35">
      <c r="A178">
        <f t="shared" si="3"/>
        <v>1.0526315789473684</v>
      </c>
      <c r="C178" s="41">
        <v>33</v>
      </c>
      <c r="E178" s="1" t="s">
        <v>751</v>
      </c>
      <c r="F178" s="34">
        <v>20</v>
      </c>
      <c r="G178" s="46">
        <v>19</v>
      </c>
      <c r="H178" s="11" t="s">
        <v>756</v>
      </c>
      <c r="J178" s="41" t="s">
        <v>915</v>
      </c>
    </row>
    <row r="179" spans="1:11" x14ac:dyDescent="0.35">
      <c r="A179">
        <f t="shared" si="3"/>
        <v>1.1666666666666667</v>
      </c>
      <c r="C179" s="41">
        <v>34</v>
      </c>
      <c r="D179" s="34">
        <v>9</v>
      </c>
      <c r="E179" s="1" t="s">
        <v>713</v>
      </c>
      <c r="F179" s="34">
        <v>14</v>
      </c>
      <c r="G179" s="46">
        <v>12</v>
      </c>
      <c r="H179" s="11" t="s">
        <v>640</v>
      </c>
      <c r="J179" s="41" t="s">
        <v>839</v>
      </c>
    </row>
    <row r="180" spans="1:11" x14ac:dyDescent="0.35">
      <c r="A180">
        <f t="shared" si="3"/>
        <v>1.0909090909090908</v>
      </c>
      <c r="C180" s="41">
        <v>35</v>
      </c>
      <c r="E180" s="1" t="s">
        <v>1155</v>
      </c>
      <c r="F180" s="34">
        <v>12</v>
      </c>
      <c r="G180" s="46">
        <v>11</v>
      </c>
      <c r="H180" s="11" t="s">
        <v>666</v>
      </c>
      <c r="J180" s="41" t="s">
        <v>721</v>
      </c>
    </row>
    <row r="181" spans="1:11" x14ac:dyDescent="0.35">
      <c r="A181">
        <f t="shared" si="3"/>
        <v>1.3571428571428572</v>
      </c>
      <c r="C181" s="41">
        <v>36</v>
      </c>
      <c r="E181" s="1" t="s">
        <v>764</v>
      </c>
      <c r="F181" s="34">
        <v>19</v>
      </c>
      <c r="G181" s="46">
        <v>14</v>
      </c>
      <c r="H181" s="11" t="s">
        <v>680</v>
      </c>
      <c r="J181" s="41" t="s">
        <v>910</v>
      </c>
    </row>
    <row r="182" spans="1:11" x14ac:dyDescent="0.35">
      <c r="A182">
        <f t="shared" si="3"/>
        <v>1.5454545454545454</v>
      </c>
      <c r="C182" s="41">
        <v>37</v>
      </c>
      <c r="E182" s="1" t="s">
        <v>1157</v>
      </c>
      <c r="F182" s="34">
        <v>17</v>
      </c>
      <c r="G182" s="46">
        <v>11</v>
      </c>
      <c r="H182" s="11" t="s">
        <v>468</v>
      </c>
      <c r="I182" s="46">
        <v>21</v>
      </c>
      <c r="J182" s="41" t="s">
        <v>741</v>
      </c>
    </row>
    <row r="183" spans="1:11" x14ac:dyDescent="0.35">
      <c r="A183">
        <f t="shared" si="3"/>
        <v>1.9090909090909092</v>
      </c>
      <c r="C183" s="41">
        <v>38</v>
      </c>
      <c r="D183" s="34">
        <v>1</v>
      </c>
      <c r="E183" s="1" t="s">
        <v>731</v>
      </c>
      <c r="F183" s="34">
        <v>21</v>
      </c>
      <c r="G183" s="46">
        <v>11</v>
      </c>
      <c r="H183" s="11" t="s">
        <v>661</v>
      </c>
      <c r="J183" s="41" t="s">
        <v>773</v>
      </c>
    </row>
    <row r="184" spans="1:11" x14ac:dyDescent="0.35">
      <c r="A184">
        <f t="shared" si="3"/>
        <v>1.5</v>
      </c>
      <c r="C184" s="41">
        <v>39</v>
      </c>
      <c r="E184" s="1" t="s">
        <v>768</v>
      </c>
      <c r="F184" s="34">
        <v>15</v>
      </c>
      <c r="G184" s="46">
        <v>10</v>
      </c>
      <c r="H184" s="11" t="s">
        <v>763</v>
      </c>
      <c r="I184" s="46">
        <v>24</v>
      </c>
      <c r="J184" s="41" t="s">
        <v>724</v>
      </c>
    </row>
    <row r="185" spans="1:11" x14ac:dyDescent="0.35">
      <c r="A185">
        <f t="shared" si="3"/>
        <v>1.3846153846153846</v>
      </c>
      <c r="C185" s="41">
        <v>40</v>
      </c>
      <c r="E185" s="1" t="s">
        <v>792</v>
      </c>
      <c r="F185" s="34">
        <v>18</v>
      </c>
      <c r="G185" s="46">
        <v>13</v>
      </c>
      <c r="H185" s="11" t="s">
        <v>712</v>
      </c>
      <c r="J185" s="41" t="s">
        <v>702</v>
      </c>
    </row>
    <row r="186" spans="1:11" x14ac:dyDescent="0.35">
      <c r="A186">
        <f t="shared" si="3"/>
        <v>1.5</v>
      </c>
      <c r="C186" s="41">
        <v>41</v>
      </c>
      <c r="D186" s="34">
        <v>4</v>
      </c>
      <c r="E186" s="1" t="s">
        <v>785</v>
      </c>
      <c r="F186" s="34">
        <v>21</v>
      </c>
      <c r="G186" s="46">
        <v>14</v>
      </c>
      <c r="H186" s="11" t="s">
        <v>718</v>
      </c>
      <c r="J186" s="41" t="s">
        <v>987</v>
      </c>
    </row>
    <row r="187" spans="1:11" x14ac:dyDescent="0.35">
      <c r="A187">
        <f t="shared" si="3"/>
        <v>1.2352941176470589</v>
      </c>
      <c r="C187" s="41">
        <v>42</v>
      </c>
      <c r="D187" s="34">
        <v>10</v>
      </c>
      <c r="E187" s="1" t="s">
        <v>729</v>
      </c>
      <c r="F187" s="34">
        <v>21</v>
      </c>
      <c r="G187" s="46">
        <v>17</v>
      </c>
      <c r="H187" s="11" t="s">
        <v>641</v>
      </c>
      <c r="J187" s="41" t="s">
        <v>1143</v>
      </c>
      <c r="K187" t="s">
        <v>1184</v>
      </c>
    </row>
    <row r="188" spans="1:11" x14ac:dyDescent="0.35">
      <c r="A188">
        <f t="shared" si="3"/>
        <v>2.3333333333333335</v>
      </c>
      <c r="C188" s="41">
        <v>43</v>
      </c>
      <c r="E188" s="1" t="s">
        <v>778</v>
      </c>
      <c r="F188" s="34">
        <v>21</v>
      </c>
      <c r="G188" s="46">
        <v>9</v>
      </c>
      <c r="H188" s="11" t="s">
        <v>245</v>
      </c>
      <c r="I188" s="46">
        <v>6</v>
      </c>
      <c r="J188" s="41" t="s">
        <v>775</v>
      </c>
    </row>
    <row r="189" spans="1:11" x14ac:dyDescent="0.35">
      <c r="A189">
        <f t="shared" si="3"/>
        <v>3</v>
      </c>
      <c r="C189" s="41">
        <v>44</v>
      </c>
      <c r="E189" s="1" t="s">
        <v>761</v>
      </c>
      <c r="F189" s="34">
        <v>21</v>
      </c>
      <c r="G189" s="46">
        <v>7</v>
      </c>
      <c r="H189" s="11" t="s">
        <v>242</v>
      </c>
      <c r="I189" s="46">
        <v>11</v>
      </c>
      <c r="J189" s="41" t="s">
        <v>899</v>
      </c>
    </row>
    <row r="190" spans="1:11" x14ac:dyDescent="0.35">
      <c r="A190">
        <f t="shared" si="3"/>
        <v>1.1333333333333333</v>
      </c>
      <c r="C190" s="41">
        <v>45</v>
      </c>
      <c r="E190" s="1" t="s">
        <v>670</v>
      </c>
      <c r="F190" s="34">
        <v>17</v>
      </c>
      <c r="G190" s="46">
        <v>15</v>
      </c>
      <c r="H190" s="11" t="s">
        <v>732</v>
      </c>
      <c r="I190" s="46">
        <v>16</v>
      </c>
      <c r="J190" s="41" t="s">
        <v>831</v>
      </c>
      <c r="K190" t="s">
        <v>1185</v>
      </c>
    </row>
    <row r="191" spans="1:11" x14ac:dyDescent="0.35">
      <c r="A191">
        <f t="shared" si="3"/>
        <v>1.9090909090909092</v>
      </c>
      <c r="C191" s="41">
        <v>46</v>
      </c>
      <c r="D191" s="34">
        <v>15</v>
      </c>
      <c r="E191" s="1" t="s">
        <v>676</v>
      </c>
      <c r="F191" s="34">
        <v>21</v>
      </c>
      <c r="G191" s="46">
        <v>11</v>
      </c>
      <c r="H191" s="11" t="s">
        <v>701</v>
      </c>
      <c r="J191" s="41" t="s">
        <v>705</v>
      </c>
    </row>
    <row r="192" spans="1:11" x14ac:dyDescent="0.35">
      <c r="A192">
        <f t="shared" si="3"/>
        <v>2.875</v>
      </c>
      <c r="C192" s="41">
        <v>47</v>
      </c>
      <c r="D192" s="34">
        <v>2</v>
      </c>
      <c r="E192" s="1" t="s">
        <v>467</v>
      </c>
      <c r="F192" s="34">
        <v>23</v>
      </c>
      <c r="G192" s="46">
        <v>8</v>
      </c>
      <c r="H192" s="11" t="s">
        <v>679</v>
      </c>
      <c r="I192" s="46">
        <v>22</v>
      </c>
      <c r="J192" s="41" t="s">
        <v>836</v>
      </c>
    </row>
    <row r="193" spans="1:11" ht="15" thickBot="1" x14ac:dyDescent="0.4">
      <c r="A193">
        <f t="shared" si="3"/>
        <v>2.8571428571428572</v>
      </c>
      <c r="C193" s="42">
        <v>48</v>
      </c>
      <c r="D193" s="49">
        <v>3</v>
      </c>
      <c r="E193" s="45" t="s">
        <v>746</v>
      </c>
      <c r="F193" s="49">
        <v>20</v>
      </c>
      <c r="G193" s="50">
        <v>7</v>
      </c>
      <c r="H193" s="51" t="s">
        <v>755</v>
      </c>
      <c r="I193" s="50">
        <v>18</v>
      </c>
      <c r="J193" s="40" t="s">
        <v>724</v>
      </c>
      <c r="K193" s="40"/>
    </row>
    <row r="194" spans="1:11" x14ac:dyDescent="0.35">
      <c r="A194">
        <f t="shared" si="3"/>
        <v>1.1538461538461537</v>
      </c>
      <c r="B194" t="s">
        <v>1102</v>
      </c>
      <c r="C194" s="41">
        <v>1</v>
      </c>
      <c r="E194" s="1" t="s">
        <v>678</v>
      </c>
      <c r="F194" s="34">
        <v>15</v>
      </c>
      <c r="G194" s="46">
        <v>13</v>
      </c>
      <c r="H194" s="11" t="s">
        <v>660</v>
      </c>
      <c r="J194" s="41" t="s">
        <v>910</v>
      </c>
    </row>
    <row r="195" spans="1:11" x14ac:dyDescent="0.35">
      <c r="A195">
        <f t="shared" ref="A195:A258" si="4">(F195/G195)</f>
        <v>1.0714285714285714</v>
      </c>
      <c r="C195" s="41">
        <v>2</v>
      </c>
      <c r="E195" s="1" t="s">
        <v>779</v>
      </c>
      <c r="F195" s="34">
        <v>15</v>
      </c>
      <c r="G195" s="46">
        <v>14</v>
      </c>
      <c r="H195" s="11" t="s">
        <v>645</v>
      </c>
      <c r="J195" s="41" t="s">
        <v>770</v>
      </c>
    </row>
    <row r="196" spans="1:11" x14ac:dyDescent="0.35">
      <c r="A196">
        <f t="shared" si="4"/>
        <v>1.0666666666666667</v>
      </c>
      <c r="C196" s="41">
        <v>3</v>
      </c>
      <c r="E196" s="1" t="s">
        <v>1165</v>
      </c>
      <c r="F196" s="34">
        <v>16</v>
      </c>
      <c r="G196" s="46">
        <v>15</v>
      </c>
      <c r="H196" s="11" t="s">
        <v>677</v>
      </c>
      <c r="J196" s="41" t="s">
        <v>705</v>
      </c>
    </row>
    <row r="197" spans="1:11" x14ac:dyDescent="0.35">
      <c r="A197">
        <f t="shared" si="4"/>
        <v>1.1111111111111112</v>
      </c>
      <c r="C197" s="41">
        <v>4</v>
      </c>
      <c r="E197" s="1" t="s">
        <v>648</v>
      </c>
      <c r="F197" s="34">
        <v>20</v>
      </c>
      <c r="G197" s="46">
        <v>18</v>
      </c>
      <c r="H197" s="11" t="s">
        <v>706</v>
      </c>
      <c r="J197" s="41" t="s">
        <v>991</v>
      </c>
      <c r="K197" t="s">
        <v>1186</v>
      </c>
    </row>
    <row r="198" spans="1:11" x14ac:dyDescent="0.35">
      <c r="A198">
        <f t="shared" si="4"/>
        <v>1.1428571428571428</v>
      </c>
      <c r="C198" s="41">
        <v>5</v>
      </c>
      <c r="E198" s="1" t="s">
        <v>671</v>
      </c>
      <c r="F198" s="34">
        <v>16</v>
      </c>
      <c r="G198" s="46">
        <v>14</v>
      </c>
      <c r="H198" s="11" t="s">
        <v>732</v>
      </c>
      <c r="J198" s="41" t="s">
        <v>910</v>
      </c>
    </row>
    <row r="199" spans="1:11" x14ac:dyDescent="0.35">
      <c r="A199">
        <f t="shared" si="4"/>
        <v>1.2857142857142858</v>
      </c>
      <c r="C199" s="41">
        <v>6</v>
      </c>
      <c r="E199" s="1" t="s">
        <v>582</v>
      </c>
      <c r="F199" s="34">
        <v>9</v>
      </c>
      <c r="G199" s="46">
        <v>7</v>
      </c>
      <c r="H199" s="11" t="s">
        <v>640</v>
      </c>
      <c r="J199" s="41" t="s">
        <v>842</v>
      </c>
    </row>
    <row r="200" spans="1:11" x14ac:dyDescent="0.35">
      <c r="A200">
        <f t="shared" si="4"/>
        <v>1.0909090909090908</v>
      </c>
      <c r="C200" s="41">
        <v>7</v>
      </c>
      <c r="E200" s="1" t="s">
        <v>774</v>
      </c>
      <c r="F200" s="34">
        <v>12</v>
      </c>
      <c r="G200" s="46">
        <v>11</v>
      </c>
      <c r="H200" s="11" t="s">
        <v>784</v>
      </c>
      <c r="J200" s="41" t="s">
        <v>702</v>
      </c>
    </row>
    <row r="201" spans="1:11" x14ac:dyDescent="0.35">
      <c r="A201">
        <f t="shared" si="4"/>
        <v>2.2142857142857144</v>
      </c>
      <c r="C201" s="41">
        <v>8</v>
      </c>
      <c r="D201" s="34">
        <v>18</v>
      </c>
      <c r="E201" s="1" t="s">
        <v>734</v>
      </c>
      <c r="F201" s="34">
        <v>31</v>
      </c>
      <c r="G201" s="46">
        <v>14</v>
      </c>
      <c r="H201" s="11" t="s">
        <v>1163</v>
      </c>
      <c r="J201" s="41" t="s">
        <v>754</v>
      </c>
    </row>
    <row r="202" spans="1:11" x14ac:dyDescent="0.35">
      <c r="A202">
        <f t="shared" si="4"/>
        <v>2</v>
      </c>
      <c r="C202" s="41">
        <v>9</v>
      </c>
      <c r="E202" s="1" t="s">
        <v>1158</v>
      </c>
      <c r="F202" s="34">
        <v>18</v>
      </c>
      <c r="G202" s="46">
        <v>9</v>
      </c>
      <c r="H202" s="11" t="s">
        <v>716</v>
      </c>
      <c r="J202" s="41" t="s">
        <v>820</v>
      </c>
    </row>
    <row r="203" spans="1:11" x14ac:dyDescent="0.35">
      <c r="A203">
        <f t="shared" si="4"/>
        <v>4</v>
      </c>
      <c r="C203" s="41">
        <v>10</v>
      </c>
      <c r="E203" s="1" t="s">
        <v>693</v>
      </c>
      <c r="F203" s="34">
        <v>28</v>
      </c>
      <c r="G203" s="46">
        <v>7</v>
      </c>
      <c r="H203" s="11" t="s">
        <v>760</v>
      </c>
      <c r="J203" s="41" t="s">
        <v>790</v>
      </c>
    </row>
    <row r="204" spans="1:11" x14ac:dyDescent="0.35">
      <c r="A204">
        <f t="shared" si="4"/>
        <v>1.0833333333333333</v>
      </c>
      <c r="C204" s="41">
        <v>11</v>
      </c>
      <c r="E204" s="1" t="s">
        <v>712</v>
      </c>
      <c r="F204" s="34">
        <v>13</v>
      </c>
      <c r="G204" s="46">
        <v>12</v>
      </c>
      <c r="H204" s="11" t="s">
        <v>772</v>
      </c>
      <c r="J204" s="41" t="s">
        <v>705</v>
      </c>
      <c r="K204" t="s">
        <v>1187</v>
      </c>
    </row>
    <row r="205" spans="1:11" x14ac:dyDescent="0.35">
      <c r="A205">
        <f t="shared" si="4"/>
        <v>2</v>
      </c>
      <c r="C205" s="41">
        <v>12</v>
      </c>
      <c r="D205" s="34">
        <v>19</v>
      </c>
      <c r="E205" s="1" t="s">
        <v>764</v>
      </c>
      <c r="F205" s="34">
        <v>26</v>
      </c>
      <c r="G205" s="46">
        <v>13</v>
      </c>
      <c r="H205" s="11" t="s">
        <v>726</v>
      </c>
      <c r="J205" s="41" t="s">
        <v>744</v>
      </c>
    </row>
    <row r="206" spans="1:11" x14ac:dyDescent="0.35">
      <c r="A206">
        <f t="shared" si="4"/>
        <v>1.4615384615384615</v>
      </c>
      <c r="C206" s="41">
        <v>13</v>
      </c>
      <c r="D206" s="34">
        <v>11</v>
      </c>
      <c r="E206" s="1" t="s">
        <v>676</v>
      </c>
      <c r="F206" s="34">
        <v>19</v>
      </c>
      <c r="G206" s="46">
        <v>13</v>
      </c>
      <c r="H206" s="11" t="s">
        <v>777</v>
      </c>
      <c r="J206" s="41" t="s">
        <v>789</v>
      </c>
    </row>
    <row r="207" spans="1:11" x14ac:dyDescent="0.35">
      <c r="A207">
        <f t="shared" si="4"/>
        <v>1.0769230769230769</v>
      </c>
      <c r="C207" s="41">
        <v>14</v>
      </c>
      <c r="E207" s="1" t="s">
        <v>700</v>
      </c>
      <c r="F207" s="34">
        <v>14</v>
      </c>
      <c r="G207" s="46">
        <v>13</v>
      </c>
      <c r="H207" s="11" t="s">
        <v>664</v>
      </c>
      <c r="J207" s="41" t="s">
        <v>710</v>
      </c>
    </row>
    <row r="208" spans="1:11" x14ac:dyDescent="0.35">
      <c r="A208">
        <f t="shared" si="4"/>
        <v>1.0909090909090908</v>
      </c>
      <c r="C208" s="41">
        <v>15</v>
      </c>
      <c r="D208" s="34">
        <v>21</v>
      </c>
      <c r="E208" s="1" t="s">
        <v>747</v>
      </c>
      <c r="F208" s="34">
        <v>12</v>
      </c>
      <c r="G208" s="46">
        <v>11</v>
      </c>
      <c r="H208" s="11" t="s">
        <v>1156</v>
      </c>
      <c r="J208" s="41" t="s">
        <v>826</v>
      </c>
    </row>
    <row r="209" spans="1:11" x14ac:dyDescent="0.35">
      <c r="A209">
        <f t="shared" si="4"/>
        <v>1.2</v>
      </c>
      <c r="C209" s="41">
        <v>16</v>
      </c>
      <c r="D209" s="34">
        <v>8</v>
      </c>
      <c r="E209" s="1" t="s">
        <v>663</v>
      </c>
      <c r="F209" s="34">
        <v>18</v>
      </c>
      <c r="G209" s="46">
        <v>15</v>
      </c>
      <c r="H209" s="11" t="s">
        <v>771</v>
      </c>
      <c r="J209" s="41" t="s">
        <v>857</v>
      </c>
    </row>
    <row r="210" spans="1:11" x14ac:dyDescent="0.35">
      <c r="A210">
        <f t="shared" si="4"/>
        <v>1.1578947368421053</v>
      </c>
      <c r="C210" s="41">
        <v>17</v>
      </c>
      <c r="E210" s="1" t="s">
        <v>661</v>
      </c>
      <c r="F210" s="34">
        <v>22</v>
      </c>
      <c r="G210" s="46">
        <v>19</v>
      </c>
      <c r="H210" s="11" t="s">
        <v>1162</v>
      </c>
      <c r="J210" s="41" t="s">
        <v>972</v>
      </c>
    </row>
    <row r="211" spans="1:11" x14ac:dyDescent="0.35">
      <c r="A211">
        <f t="shared" si="4"/>
        <v>1.8333333333333333</v>
      </c>
      <c r="C211" s="41">
        <v>18</v>
      </c>
      <c r="E211" s="1" t="s">
        <v>666</v>
      </c>
      <c r="F211" s="34">
        <v>22</v>
      </c>
      <c r="G211" s="46">
        <v>12</v>
      </c>
      <c r="H211" s="11" t="s">
        <v>742</v>
      </c>
      <c r="J211" s="41" t="s">
        <v>699</v>
      </c>
    </row>
    <row r="212" spans="1:11" x14ac:dyDescent="0.35">
      <c r="A212">
        <f t="shared" si="4"/>
        <v>1.625</v>
      </c>
      <c r="C212" s="41">
        <v>19</v>
      </c>
      <c r="E212" s="1" t="s">
        <v>665</v>
      </c>
      <c r="F212" s="34">
        <v>26</v>
      </c>
      <c r="G212" s="46">
        <v>16</v>
      </c>
      <c r="H212" s="11" t="s">
        <v>751</v>
      </c>
      <c r="J212" s="41" t="s">
        <v>1188</v>
      </c>
    </row>
    <row r="213" spans="1:11" x14ac:dyDescent="0.35">
      <c r="A213">
        <f t="shared" si="4"/>
        <v>4.25</v>
      </c>
      <c r="C213" s="41">
        <v>20</v>
      </c>
      <c r="D213" s="34">
        <v>20</v>
      </c>
      <c r="E213" s="1" t="s">
        <v>670</v>
      </c>
      <c r="F213" s="34">
        <v>34</v>
      </c>
      <c r="G213" s="46">
        <v>8</v>
      </c>
      <c r="H213" s="11" t="s">
        <v>646</v>
      </c>
      <c r="J213" s="41" t="s">
        <v>823</v>
      </c>
      <c r="K213" t="s">
        <v>1189</v>
      </c>
    </row>
    <row r="214" spans="1:11" x14ac:dyDescent="0.35">
      <c r="A214">
        <f t="shared" si="4"/>
        <v>1.4444444444444444</v>
      </c>
      <c r="C214" s="41">
        <v>21</v>
      </c>
      <c r="D214" s="34">
        <v>25</v>
      </c>
      <c r="E214" s="1" t="s">
        <v>765</v>
      </c>
      <c r="F214" s="34">
        <v>13</v>
      </c>
      <c r="G214" s="46">
        <v>9</v>
      </c>
      <c r="H214" s="11" t="s">
        <v>692</v>
      </c>
      <c r="J214" s="41" t="s">
        <v>1190</v>
      </c>
    </row>
    <row r="215" spans="1:11" x14ac:dyDescent="0.35">
      <c r="A215">
        <f t="shared" si="4"/>
        <v>2</v>
      </c>
      <c r="C215" s="41">
        <v>22</v>
      </c>
      <c r="E215" s="1" t="s">
        <v>468</v>
      </c>
      <c r="F215" s="34">
        <v>18</v>
      </c>
      <c r="G215" s="46">
        <v>9</v>
      </c>
      <c r="H215" s="11" t="s">
        <v>465</v>
      </c>
      <c r="J215" s="41" t="s">
        <v>724</v>
      </c>
    </row>
    <row r="216" spans="1:11" x14ac:dyDescent="0.35">
      <c r="A216">
        <f t="shared" si="4"/>
        <v>1.625</v>
      </c>
      <c r="C216" s="41">
        <v>23</v>
      </c>
      <c r="E216" s="1" t="s">
        <v>737</v>
      </c>
      <c r="F216" s="34">
        <v>26</v>
      </c>
      <c r="G216" s="46">
        <v>16</v>
      </c>
      <c r="H216" s="11" t="s">
        <v>761</v>
      </c>
      <c r="I216" s="46">
        <v>13</v>
      </c>
      <c r="J216" s="41" t="s">
        <v>790</v>
      </c>
    </row>
    <row r="217" spans="1:11" x14ac:dyDescent="0.35">
      <c r="A217">
        <f t="shared" si="4"/>
        <v>1.1333333333333333</v>
      </c>
      <c r="C217" s="41">
        <v>24</v>
      </c>
      <c r="E217" s="1" t="s">
        <v>722</v>
      </c>
      <c r="F217" s="34">
        <v>17</v>
      </c>
      <c r="G217" s="46">
        <v>15</v>
      </c>
      <c r="H217" s="11" t="s">
        <v>1161</v>
      </c>
      <c r="J217" s="41" t="s">
        <v>719</v>
      </c>
    </row>
    <row r="218" spans="1:11" x14ac:dyDescent="0.35">
      <c r="A218">
        <f t="shared" si="4"/>
        <v>1.3846153846153846</v>
      </c>
      <c r="C218" s="41">
        <v>25</v>
      </c>
      <c r="E218" s="1" t="s">
        <v>723</v>
      </c>
      <c r="F218" s="34">
        <v>18</v>
      </c>
      <c r="G218" s="46">
        <v>13</v>
      </c>
      <c r="H218" s="11" t="s">
        <v>753</v>
      </c>
      <c r="J218" s="41" t="s">
        <v>699</v>
      </c>
    </row>
    <row r="219" spans="1:11" x14ac:dyDescent="0.35">
      <c r="A219">
        <f t="shared" si="4"/>
        <v>5</v>
      </c>
      <c r="C219" s="41">
        <v>26</v>
      </c>
      <c r="D219" s="34">
        <v>23</v>
      </c>
      <c r="E219" s="1" t="s">
        <v>242</v>
      </c>
      <c r="F219" s="34">
        <v>25</v>
      </c>
      <c r="G219" s="46">
        <v>5</v>
      </c>
      <c r="H219" s="11" t="s">
        <v>743</v>
      </c>
      <c r="J219" s="41" t="s">
        <v>740</v>
      </c>
      <c r="K219" t="s">
        <v>1191</v>
      </c>
    </row>
    <row r="220" spans="1:11" x14ac:dyDescent="0.35">
      <c r="A220">
        <f t="shared" si="4"/>
        <v>1.5</v>
      </c>
      <c r="C220" s="41">
        <v>27</v>
      </c>
      <c r="E220" s="1" t="s">
        <v>755</v>
      </c>
      <c r="F220" s="34">
        <v>12</v>
      </c>
      <c r="G220" s="46">
        <v>8</v>
      </c>
      <c r="H220" s="11" t="s">
        <v>767</v>
      </c>
      <c r="J220" s="41" t="s">
        <v>721</v>
      </c>
    </row>
    <row r="221" spans="1:11" x14ac:dyDescent="0.35">
      <c r="A221">
        <f t="shared" si="4"/>
        <v>1.2941176470588236</v>
      </c>
      <c r="C221" s="41">
        <v>28</v>
      </c>
      <c r="E221" s="1" t="s">
        <v>738</v>
      </c>
      <c r="F221" s="34">
        <v>22</v>
      </c>
      <c r="G221" s="46">
        <v>17</v>
      </c>
      <c r="H221" s="11" t="s">
        <v>750</v>
      </c>
      <c r="I221" s="46">
        <v>10</v>
      </c>
      <c r="J221" s="41" t="s">
        <v>790</v>
      </c>
    </row>
    <row r="222" spans="1:11" x14ac:dyDescent="0.35">
      <c r="A222">
        <f t="shared" si="4"/>
        <v>1.5</v>
      </c>
      <c r="C222" s="41">
        <v>29</v>
      </c>
      <c r="E222" s="1" t="s">
        <v>672</v>
      </c>
      <c r="F222" s="34">
        <v>18</v>
      </c>
      <c r="G222" s="46">
        <v>12</v>
      </c>
      <c r="H222" s="11" t="s">
        <v>651</v>
      </c>
      <c r="J222" s="41" t="s">
        <v>910</v>
      </c>
    </row>
    <row r="223" spans="1:11" x14ac:dyDescent="0.35">
      <c r="A223">
        <f t="shared" si="4"/>
        <v>1.6666666666666667</v>
      </c>
      <c r="C223" s="41">
        <v>30</v>
      </c>
      <c r="E223" s="1" t="s">
        <v>650</v>
      </c>
      <c r="F223" s="34">
        <v>20</v>
      </c>
      <c r="G223" s="46">
        <v>12</v>
      </c>
      <c r="H223" s="11" t="s">
        <v>778</v>
      </c>
      <c r="I223" s="46">
        <v>14</v>
      </c>
      <c r="J223" s="41" t="s">
        <v>844</v>
      </c>
    </row>
    <row r="224" spans="1:11" x14ac:dyDescent="0.35">
      <c r="A224">
        <f t="shared" si="4"/>
        <v>1.2857142857142858</v>
      </c>
      <c r="C224" s="41">
        <v>31</v>
      </c>
      <c r="E224" s="1" t="s">
        <v>709</v>
      </c>
      <c r="F224" s="34">
        <v>18</v>
      </c>
      <c r="G224" s="46">
        <v>14</v>
      </c>
      <c r="H224" s="11" t="s">
        <v>713</v>
      </c>
      <c r="I224" s="46">
        <v>7</v>
      </c>
      <c r="J224" s="41" t="s">
        <v>752</v>
      </c>
    </row>
    <row r="225" spans="1:11" x14ac:dyDescent="0.35">
      <c r="A225">
        <f t="shared" si="4"/>
        <v>2.4</v>
      </c>
      <c r="C225" s="41">
        <v>32</v>
      </c>
      <c r="E225" s="1" t="s">
        <v>466</v>
      </c>
      <c r="F225" s="34">
        <v>12</v>
      </c>
      <c r="G225" s="46">
        <v>5</v>
      </c>
      <c r="H225" s="11" t="s">
        <v>704</v>
      </c>
      <c r="J225" s="41" t="s">
        <v>870</v>
      </c>
    </row>
    <row r="226" spans="1:11" x14ac:dyDescent="0.35">
      <c r="A226">
        <f t="shared" si="4"/>
        <v>2.625</v>
      </c>
      <c r="C226" s="41">
        <v>33</v>
      </c>
      <c r="D226" s="34">
        <v>6</v>
      </c>
      <c r="E226" s="1" t="s">
        <v>720</v>
      </c>
      <c r="F226" s="34">
        <v>21</v>
      </c>
      <c r="G226" s="46">
        <v>8</v>
      </c>
      <c r="H226" s="11" t="s">
        <v>680</v>
      </c>
      <c r="J226" s="41" t="s">
        <v>844</v>
      </c>
    </row>
    <row r="227" spans="1:11" x14ac:dyDescent="0.35">
      <c r="A227">
        <f t="shared" si="4"/>
        <v>1.1111111111111112</v>
      </c>
      <c r="C227" s="41">
        <v>34</v>
      </c>
      <c r="E227" s="1" t="s">
        <v>1160</v>
      </c>
      <c r="F227" s="34">
        <v>20</v>
      </c>
      <c r="G227" s="46">
        <v>18</v>
      </c>
      <c r="H227" s="11" t="s">
        <v>729</v>
      </c>
      <c r="I227" s="46">
        <v>9</v>
      </c>
      <c r="J227" s="41" t="s">
        <v>781</v>
      </c>
      <c r="K227" t="s">
        <v>1192</v>
      </c>
    </row>
    <row r="228" spans="1:11" x14ac:dyDescent="0.35">
      <c r="A228">
        <f t="shared" si="4"/>
        <v>1.2352941176470589</v>
      </c>
      <c r="C228" s="41">
        <v>35</v>
      </c>
      <c r="E228" s="1" t="s">
        <v>673</v>
      </c>
      <c r="F228" s="34">
        <v>21</v>
      </c>
      <c r="G228" s="46">
        <v>17</v>
      </c>
      <c r="H228" s="11" t="s">
        <v>649</v>
      </c>
      <c r="I228" s="46">
        <v>12</v>
      </c>
      <c r="J228" s="41" t="s">
        <v>806</v>
      </c>
    </row>
    <row r="229" spans="1:11" x14ac:dyDescent="0.35">
      <c r="A229">
        <f t="shared" si="4"/>
        <v>1.5454545454545454</v>
      </c>
      <c r="C229" s="41">
        <v>36</v>
      </c>
      <c r="D229" s="34">
        <v>3</v>
      </c>
      <c r="E229" s="1" t="s">
        <v>746</v>
      </c>
      <c r="F229" s="34">
        <v>17</v>
      </c>
      <c r="G229" s="46">
        <v>11</v>
      </c>
      <c r="H229" s="11" t="s">
        <v>758</v>
      </c>
      <c r="J229" s="41" t="s">
        <v>826</v>
      </c>
    </row>
    <row r="230" spans="1:11" x14ac:dyDescent="0.35">
      <c r="A230">
        <f t="shared" si="4"/>
        <v>1.8181818181818181</v>
      </c>
      <c r="C230" s="41">
        <v>37</v>
      </c>
      <c r="E230" s="1" t="s">
        <v>1164</v>
      </c>
      <c r="F230" s="34">
        <v>20</v>
      </c>
      <c r="G230" s="46">
        <v>11</v>
      </c>
      <c r="H230" s="11" t="s">
        <v>641</v>
      </c>
      <c r="J230" s="41" t="s">
        <v>823</v>
      </c>
    </row>
    <row r="231" spans="1:11" x14ac:dyDescent="0.35">
      <c r="A231">
        <f t="shared" si="4"/>
        <v>1.5333333333333334</v>
      </c>
      <c r="C231" s="41">
        <v>38</v>
      </c>
      <c r="E231" s="1" t="s">
        <v>780</v>
      </c>
      <c r="F231" s="34">
        <v>23</v>
      </c>
      <c r="G231" s="46">
        <v>15</v>
      </c>
      <c r="H231" s="11" t="s">
        <v>792</v>
      </c>
      <c r="J231" s="41" t="s">
        <v>744</v>
      </c>
    </row>
    <row r="232" spans="1:11" x14ac:dyDescent="0.35">
      <c r="A232">
        <f t="shared" si="4"/>
        <v>1.0625</v>
      </c>
      <c r="C232" s="41">
        <v>39</v>
      </c>
      <c r="E232" s="1" t="s">
        <v>679</v>
      </c>
      <c r="F232" s="34">
        <v>17</v>
      </c>
      <c r="G232" s="46">
        <v>16</v>
      </c>
      <c r="H232" s="11" t="s">
        <v>718</v>
      </c>
      <c r="J232" s="41" t="s">
        <v>910</v>
      </c>
    </row>
    <row r="233" spans="1:11" x14ac:dyDescent="0.35">
      <c r="A233">
        <f t="shared" si="4"/>
        <v>1.1875</v>
      </c>
      <c r="C233" s="41">
        <v>40</v>
      </c>
      <c r="E233" s="1" t="s">
        <v>756</v>
      </c>
      <c r="F233" s="34">
        <v>19</v>
      </c>
      <c r="G233" s="46">
        <v>16</v>
      </c>
      <c r="H233" s="11" t="s">
        <v>644</v>
      </c>
      <c r="I233" s="46">
        <v>4</v>
      </c>
      <c r="J233" s="41" t="s">
        <v>806</v>
      </c>
    </row>
    <row r="234" spans="1:11" x14ac:dyDescent="0.35">
      <c r="A234">
        <f t="shared" si="4"/>
        <v>1.875</v>
      </c>
      <c r="C234" s="41">
        <v>41</v>
      </c>
      <c r="E234" s="1" t="s">
        <v>647</v>
      </c>
      <c r="F234" s="34">
        <v>15</v>
      </c>
      <c r="G234" s="46">
        <v>8</v>
      </c>
      <c r="H234" s="11" t="s">
        <v>1155</v>
      </c>
      <c r="I234" s="46">
        <v>22</v>
      </c>
      <c r="J234" s="41" t="s">
        <v>836</v>
      </c>
    </row>
    <row r="235" spans="1:11" x14ac:dyDescent="0.35">
      <c r="A235">
        <f t="shared" si="4"/>
        <v>1.6923076923076923</v>
      </c>
      <c r="C235" s="41">
        <v>42</v>
      </c>
      <c r="E235" s="1" t="s">
        <v>701</v>
      </c>
      <c r="F235" s="34">
        <v>22</v>
      </c>
      <c r="G235" s="46">
        <v>13</v>
      </c>
      <c r="H235" s="11" t="s">
        <v>642</v>
      </c>
      <c r="J235" s="41" t="s">
        <v>806</v>
      </c>
    </row>
    <row r="236" spans="1:11" x14ac:dyDescent="0.35">
      <c r="A236">
        <f t="shared" si="4"/>
        <v>1.25</v>
      </c>
      <c r="C236" s="41">
        <v>43</v>
      </c>
      <c r="E236" s="1" t="s">
        <v>643</v>
      </c>
      <c r="F236" s="34">
        <v>25</v>
      </c>
      <c r="G236" s="46">
        <v>20</v>
      </c>
      <c r="H236" s="11" t="s">
        <v>763</v>
      </c>
      <c r="J236" s="41" t="s">
        <v>987</v>
      </c>
    </row>
    <row r="237" spans="1:11" x14ac:dyDescent="0.35">
      <c r="A237">
        <f t="shared" si="4"/>
        <v>1.1875</v>
      </c>
      <c r="C237" s="41">
        <v>44</v>
      </c>
      <c r="D237" s="34">
        <v>16</v>
      </c>
      <c r="E237" s="1" t="s">
        <v>245</v>
      </c>
      <c r="F237" s="34">
        <v>19</v>
      </c>
      <c r="G237" s="46">
        <v>16</v>
      </c>
      <c r="H237" s="11" t="s">
        <v>776</v>
      </c>
      <c r="J237" s="41" t="s">
        <v>972</v>
      </c>
      <c r="K237" t="s">
        <v>1193</v>
      </c>
    </row>
    <row r="238" spans="1:11" x14ac:dyDescent="0.35">
      <c r="A238">
        <f t="shared" si="4"/>
        <v>1.5384615384615385</v>
      </c>
      <c r="C238" s="41">
        <v>45</v>
      </c>
      <c r="E238" s="1" t="s">
        <v>1157</v>
      </c>
      <c r="F238" s="34">
        <v>20</v>
      </c>
      <c r="G238" s="46">
        <v>13</v>
      </c>
      <c r="H238" s="11" t="s">
        <v>783</v>
      </c>
      <c r="I238" s="46">
        <v>17</v>
      </c>
      <c r="J238" s="41" t="s">
        <v>836</v>
      </c>
    </row>
    <row r="239" spans="1:11" x14ac:dyDescent="0.35">
      <c r="A239">
        <f t="shared" si="4"/>
        <v>1.2142857142857142</v>
      </c>
      <c r="C239" s="41">
        <v>46</v>
      </c>
      <c r="E239" s="1" t="s">
        <v>768</v>
      </c>
      <c r="F239" s="34">
        <v>17</v>
      </c>
      <c r="G239" s="46">
        <v>14</v>
      </c>
      <c r="H239" s="11" t="s">
        <v>757</v>
      </c>
      <c r="I239" s="46">
        <v>24</v>
      </c>
      <c r="J239" s="41" t="s">
        <v>793</v>
      </c>
    </row>
    <row r="240" spans="1:11" x14ac:dyDescent="0.35">
      <c r="A240">
        <f t="shared" si="4"/>
        <v>1.8571428571428572</v>
      </c>
      <c r="C240" s="41">
        <v>47</v>
      </c>
      <c r="D240" s="34">
        <v>1</v>
      </c>
      <c r="E240" s="1" t="s">
        <v>731</v>
      </c>
      <c r="F240" s="34">
        <v>26</v>
      </c>
      <c r="G240" s="46">
        <v>14</v>
      </c>
      <c r="H240" s="11" t="s">
        <v>681</v>
      </c>
      <c r="I240" s="46">
        <v>15</v>
      </c>
      <c r="J240" s="41" t="s">
        <v>847</v>
      </c>
    </row>
    <row r="241" spans="1:11" ht="15" thickBot="1" x14ac:dyDescent="0.4">
      <c r="A241">
        <f t="shared" si="4"/>
        <v>1.2727272727272727</v>
      </c>
      <c r="C241" s="42">
        <v>48</v>
      </c>
      <c r="D241" s="49">
        <v>2</v>
      </c>
      <c r="E241" s="45" t="s">
        <v>467</v>
      </c>
      <c r="F241" s="49">
        <v>14</v>
      </c>
      <c r="G241" s="50">
        <v>11</v>
      </c>
      <c r="H241" s="51" t="s">
        <v>785</v>
      </c>
      <c r="I241" s="50">
        <v>5</v>
      </c>
      <c r="J241" s="40" t="s">
        <v>724</v>
      </c>
      <c r="K241" s="40" t="s">
        <v>1194</v>
      </c>
    </row>
    <row r="242" spans="1:11" x14ac:dyDescent="0.35">
      <c r="A242">
        <f t="shared" si="4"/>
        <v>2.3636363636363638</v>
      </c>
      <c r="B242" t="s">
        <v>1103</v>
      </c>
      <c r="C242" s="41">
        <v>1</v>
      </c>
      <c r="E242" s="1" t="s">
        <v>677</v>
      </c>
      <c r="F242" s="34">
        <v>26</v>
      </c>
      <c r="G242" s="46">
        <v>11</v>
      </c>
      <c r="H242" s="11" t="s">
        <v>661</v>
      </c>
      <c r="J242" s="41" t="s">
        <v>1174</v>
      </c>
    </row>
    <row r="243" spans="1:11" x14ac:dyDescent="0.35">
      <c r="A243">
        <f t="shared" si="4"/>
        <v>1.3333333333333333</v>
      </c>
      <c r="C243" s="41">
        <v>2</v>
      </c>
      <c r="D243" s="34">
        <v>17</v>
      </c>
      <c r="E243" s="1" t="s">
        <v>1157</v>
      </c>
      <c r="F243" s="34">
        <v>24</v>
      </c>
      <c r="G243" s="46">
        <v>18</v>
      </c>
      <c r="H243" s="11" t="s">
        <v>645</v>
      </c>
      <c r="J243" s="41" t="s">
        <v>910</v>
      </c>
    </row>
    <row r="244" spans="1:11" x14ac:dyDescent="0.35">
      <c r="A244">
        <f t="shared" si="4"/>
        <v>1.1428571428571428</v>
      </c>
      <c r="C244" s="41">
        <v>3</v>
      </c>
      <c r="E244" s="1" t="s">
        <v>784</v>
      </c>
      <c r="F244" s="34">
        <v>16</v>
      </c>
      <c r="G244" s="46">
        <v>14</v>
      </c>
      <c r="H244" s="11" t="s">
        <v>778</v>
      </c>
      <c r="I244" s="46">
        <v>24</v>
      </c>
      <c r="J244" s="41" t="s">
        <v>821</v>
      </c>
      <c r="K244" t="s">
        <v>1195</v>
      </c>
    </row>
    <row r="245" spans="1:11" x14ac:dyDescent="0.35">
      <c r="A245">
        <f t="shared" si="4"/>
        <v>2</v>
      </c>
      <c r="C245" s="41">
        <v>4</v>
      </c>
      <c r="E245" s="1" t="s">
        <v>640</v>
      </c>
      <c r="F245" s="34">
        <v>12</v>
      </c>
      <c r="G245" s="46">
        <v>6</v>
      </c>
      <c r="H245" s="11" t="s">
        <v>706</v>
      </c>
      <c r="J245" s="41" t="s">
        <v>842</v>
      </c>
    </row>
    <row r="246" spans="1:11" x14ac:dyDescent="0.35">
      <c r="A246">
        <f t="shared" si="4"/>
        <v>4.25</v>
      </c>
      <c r="C246" s="41">
        <v>5</v>
      </c>
      <c r="E246" s="1" t="s">
        <v>757</v>
      </c>
      <c r="F246" s="34">
        <v>17</v>
      </c>
      <c r="G246" s="46">
        <v>4</v>
      </c>
      <c r="H246" s="11" t="s">
        <v>760</v>
      </c>
      <c r="J246" s="41" t="s">
        <v>739</v>
      </c>
    </row>
    <row r="247" spans="1:11" x14ac:dyDescent="0.35">
      <c r="A247">
        <f t="shared" si="4"/>
        <v>1.9</v>
      </c>
      <c r="C247" s="41">
        <v>6</v>
      </c>
      <c r="E247" s="1" t="s">
        <v>737</v>
      </c>
      <c r="F247" s="34">
        <v>19</v>
      </c>
      <c r="G247" s="46">
        <v>10</v>
      </c>
      <c r="H247" s="11" t="s">
        <v>678</v>
      </c>
      <c r="J247" s="41" t="s">
        <v>910</v>
      </c>
    </row>
    <row r="248" spans="1:11" x14ac:dyDescent="0.35">
      <c r="A248">
        <f t="shared" si="4"/>
        <v>1.5</v>
      </c>
      <c r="C248" s="41">
        <v>7</v>
      </c>
      <c r="E248" s="1" t="s">
        <v>1163</v>
      </c>
      <c r="F248" s="34">
        <v>18</v>
      </c>
      <c r="G248" s="46">
        <v>12</v>
      </c>
      <c r="H248" s="11" t="s">
        <v>681</v>
      </c>
      <c r="I248" s="46">
        <v>15</v>
      </c>
      <c r="J248" s="41" t="s">
        <v>836</v>
      </c>
    </row>
    <row r="249" spans="1:11" x14ac:dyDescent="0.35">
      <c r="A249">
        <f t="shared" si="4"/>
        <v>1.4545454545454546</v>
      </c>
      <c r="C249" s="41">
        <v>8</v>
      </c>
      <c r="E249" s="1" t="s">
        <v>465</v>
      </c>
      <c r="F249" s="34">
        <v>16</v>
      </c>
      <c r="G249" s="46">
        <v>11</v>
      </c>
      <c r="H249" s="11" t="s">
        <v>716</v>
      </c>
      <c r="J249" s="41" t="s">
        <v>769</v>
      </c>
    </row>
    <row r="250" spans="1:11" x14ac:dyDescent="0.35">
      <c r="A250">
        <f t="shared" si="4"/>
        <v>1.5</v>
      </c>
      <c r="C250" s="41">
        <v>9</v>
      </c>
      <c r="E250" s="1" t="s">
        <v>468</v>
      </c>
      <c r="F250" s="34">
        <v>12</v>
      </c>
      <c r="G250" s="46">
        <v>8</v>
      </c>
      <c r="H250" s="11" t="s">
        <v>1158</v>
      </c>
      <c r="J250" s="41" t="s">
        <v>1196</v>
      </c>
    </row>
    <row r="251" spans="1:11" x14ac:dyDescent="0.35">
      <c r="A251">
        <f t="shared" si="4"/>
        <v>1.0833333333333333</v>
      </c>
      <c r="C251" s="41">
        <v>10</v>
      </c>
      <c r="E251" s="1" t="s">
        <v>772</v>
      </c>
      <c r="F251" s="34">
        <v>13</v>
      </c>
      <c r="G251" s="46">
        <v>12</v>
      </c>
      <c r="H251" s="11" t="s">
        <v>679</v>
      </c>
      <c r="J251" s="41" t="s">
        <v>826</v>
      </c>
    </row>
    <row r="252" spans="1:11" x14ac:dyDescent="0.35">
      <c r="A252">
        <f t="shared" si="4"/>
        <v>5.25</v>
      </c>
      <c r="C252" s="41">
        <v>11</v>
      </c>
      <c r="E252" s="1" t="s">
        <v>665</v>
      </c>
      <c r="F252" s="34">
        <v>21</v>
      </c>
      <c r="G252" s="46">
        <v>4</v>
      </c>
      <c r="H252" s="11" t="s">
        <v>726</v>
      </c>
      <c r="J252" s="41" t="s">
        <v>905</v>
      </c>
    </row>
    <row r="253" spans="1:11" x14ac:dyDescent="0.35">
      <c r="A253">
        <f t="shared" si="4"/>
        <v>2</v>
      </c>
      <c r="C253" s="41">
        <v>12</v>
      </c>
      <c r="E253" s="1" t="s">
        <v>648</v>
      </c>
      <c r="F253" s="34">
        <v>20</v>
      </c>
      <c r="G253" s="46">
        <v>10</v>
      </c>
      <c r="H253" s="11" t="s">
        <v>582</v>
      </c>
      <c r="J253" s="41" t="s">
        <v>699</v>
      </c>
    </row>
    <row r="254" spans="1:11" x14ac:dyDescent="0.35">
      <c r="A254">
        <f t="shared" si="4"/>
        <v>1.25</v>
      </c>
      <c r="C254" s="41">
        <v>13</v>
      </c>
      <c r="D254" s="34">
        <v>11</v>
      </c>
      <c r="E254" s="1" t="s">
        <v>670</v>
      </c>
      <c r="F254" s="34">
        <v>20</v>
      </c>
      <c r="G254" s="46">
        <v>16</v>
      </c>
      <c r="H254" s="11" t="s">
        <v>777</v>
      </c>
      <c r="J254" s="41" t="s">
        <v>831</v>
      </c>
    </row>
    <row r="255" spans="1:11" x14ac:dyDescent="0.35">
      <c r="A255">
        <f t="shared" si="4"/>
        <v>3.125</v>
      </c>
      <c r="C255" s="41">
        <v>14</v>
      </c>
      <c r="D255" s="34">
        <v>25</v>
      </c>
      <c r="E255" s="1" t="s">
        <v>747</v>
      </c>
      <c r="F255" s="34">
        <v>25</v>
      </c>
      <c r="G255" s="46">
        <v>8</v>
      </c>
      <c r="H255" s="11" t="s">
        <v>742</v>
      </c>
      <c r="J255" s="41" t="s">
        <v>748</v>
      </c>
    </row>
    <row r="256" spans="1:11" x14ac:dyDescent="0.35">
      <c r="A256">
        <f t="shared" si="4"/>
        <v>1.2222222222222223</v>
      </c>
      <c r="C256" s="41">
        <v>15</v>
      </c>
      <c r="E256" s="1" t="s">
        <v>646</v>
      </c>
      <c r="F256" s="34">
        <v>22</v>
      </c>
      <c r="G256" s="46">
        <v>18</v>
      </c>
      <c r="H256" s="11" t="s">
        <v>676</v>
      </c>
      <c r="I256" s="46">
        <v>8</v>
      </c>
      <c r="J256" s="41" t="s">
        <v>719</v>
      </c>
    </row>
    <row r="257" spans="1:11" x14ac:dyDescent="0.35">
      <c r="A257">
        <f t="shared" si="4"/>
        <v>1.4285714285714286</v>
      </c>
      <c r="C257" s="41">
        <v>16</v>
      </c>
      <c r="E257" s="1" t="s">
        <v>664</v>
      </c>
      <c r="F257" s="34">
        <v>20</v>
      </c>
      <c r="G257" s="46">
        <v>14</v>
      </c>
      <c r="H257" s="11" t="s">
        <v>1155</v>
      </c>
      <c r="J257" s="41" t="s">
        <v>702</v>
      </c>
    </row>
    <row r="258" spans="1:11" x14ac:dyDescent="0.35">
      <c r="A258">
        <f t="shared" si="4"/>
        <v>1.875</v>
      </c>
      <c r="C258" s="41">
        <v>17</v>
      </c>
      <c r="D258" s="34">
        <v>9</v>
      </c>
      <c r="E258" s="1" t="s">
        <v>245</v>
      </c>
      <c r="F258" s="34">
        <v>15</v>
      </c>
      <c r="G258" s="46">
        <v>8</v>
      </c>
      <c r="H258" s="11" t="s">
        <v>771</v>
      </c>
      <c r="J258" s="41" t="s">
        <v>826</v>
      </c>
    </row>
    <row r="259" spans="1:11" x14ac:dyDescent="0.35">
      <c r="A259">
        <f t="shared" ref="A259:A322" si="5">(F259/G259)</f>
        <v>1.3571428571428572</v>
      </c>
      <c r="C259" s="41">
        <v>18</v>
      </c>
      <c r="E259" s="1" t="s">
        <v>647</v>
      </c>
      <c r="F259" s="34">
        <v>19</v>
      </c>
      <c r="G259" s="46">
        <v>14</v>
      </c>
      <c r="H259" s="11" t="s">
        <v>700</v>
      </c>
      <c r="J259" s="41" t="s">
        <v>699</v>
      </c>
    </row>
    <row r="260" spans="1:11" x14ac:dyDescent="0.35">
      <c r="A260">
        <f t="shared" si="5"/>
        <v>1.588235294117647</v>
      </c>
      <c r="C260" s="41">
        <v>19</v>
      </c>
      <c r="E260" s="1" t="s">
        <v>1156</v>
      </c>
      <c r="F260" s="34">
        <v>27</v>
      </c>
      <c r="G260" s="46">
        <v>17</v>
      </c>
      <c r="H260" s="11" t="s">
        <v>666</v>
      </c>
      <c r="J260" s="41" t="s">
        <v>759</v>
      </c>
    </row>
    <row r="261" spans="1:11" x14ac:dyDescent="0.35">
      <c r="A261">
        <f t="shared" si="5"/>
        <v>1.5555555555555556</v>
      </c>
      <c r="C261" s="41">
        <v>20</v>
      </c>
      <c r="E261" s="1" t="s">
        <v>743</v>
      </c>
      <c r="F261" s="34">
        <v>14</v>
      </c>
      <c r="G261" s="46">
        <v>9</v>
      </c>
      <c r="H261" s="11" t="s">
        <v>753</v>
      </c>
      <c r="J261" s="41" t="s">
        <v>741</v>
      </c>
    </row>
    <row r="262" spans="1:11" x14ac:dyDescent="0.35">
      <c r="A262">
        <f t="shared" si="5"/>
        <v>1.0666666666666667</v>
      </c>
      <c r="C262" s="41">
        <v>21</v>
      </c>
      <c r="D262" s="34">
        <v>23</v>
      </c>
      <c r="E262" s="1" t="s">
        <v>761</v>
      </c>
      <c r="F262" s="34">
        <v>16</v>
      </c>
      <c r="G262" s="46">
        <v>15</v>
      </c>
      <c r="H262" s="11" t="s">
        <v>660</v>
      </c>
      <c r="J262" s="41" t="s">
        <v>831</v>
      </c>
      <c r="K262" t="s">
        <v>1197</v>
      </c>
    </row>
    <row r="263" spans="1:11" x14ac:dyDescent="0.35">
      <c r="A263">
        <f t="shared" si="5"/>
        <v>1.4</v>
      </c>
      <c r="C263" s="41">
        <v>22</v>
      </c>
      <c r="E263" s="1" t="s">
        <v>1165</v>
      </c>
      <c r="F263" s="34">
        <v>14</v>
      </c>
      <c r="G263" s="46">
        <v>10</v>
      </c>
      <c r="H263" s="11" t="s">
        <v>1162</v>
      </c>
      <c r="J263" s="41" t="s">
        <v>839</v>
      </c>
    </row>
    <row r="264" spans="1:11" x14ac:dyDescent="0.35">
      <c r="A264">
        <f t="shared" si="5"/>
        <v>1.3076923076923077</v>
      </c>
      <c r="C264" s="41">
        <v>23</v>
      </c>
      <c r="E264" s="1" t="s">
        <v>671</v>
      </c>
      <c r="F264" s="34">
        <v>17</v>
      </c>
      <c r="G264" s="46">
        <v>13</v>
      </c>
      <c r="H264" s="11" t="s">
        <v>701</v>
      </c>
      <c r="J264" s="41" t="s">
        <v>781</v>
      </c>
    </row>
    <row r="265" spans="1:11" x14ac:dyDescent="0.35">
      <c r="A265">
        <f t="shared" si="5"/>
        <v>1.5</v>
      </c>
      <c r="C265" s="41">
        <v>24</v>
      </c>
      <c r="D265" s="34">
        <v>20</v>
      </c>
      <c r="E265" s="1" t="s">
        <v>783</v>
      </c>
      <c r="F265" s="34">
        <v>18</v>
      </c>
      <c r="G265" s="46">
        <v>12</v>
      </c>
      <c r="H265" s="11" t="s">
        <v>779</v>
      </c>
      <c r="J265" s="41" t="s">
        <v>789</v>
      </c>
    </row>
    <row r="266" spans="1:11" x14ac:dyDescent="0.35">
      <c r="A266">
        <f t="shared" si="5"/>
        <v>1.6666666666666667</v>
      </c>
      <c r="C266" s="41">
        <v>25</v>
      </c>
      <c r="E266" s="1" t="s">
        <v>650</v>
      </c>
      <c r="F266" s="34">
        <v>25</v>
      </c>
      <c r="G266" s="46">
        <v>15</v>
      </c>
      <c r="H266" s="11" t="s">
        <v>774</v>
      </c>
      <c r="J266" s="41" t="s">
        <v>724</v>
      </c>
    </row>
    <row r="267" spans="1:11" x14ac:dyDescent="0.35">
      <c r="A267">
        <f t="shared" si="5"/>
        <v>1.1428571428571428</v>
      </c>
      <c r="C267" s="41">
        <v>26</v>
      </c>
      <c r="E267" s="1" t="s">
        <v>767</v>
      </c>
      <c r="F267" s="34">
        <v>16</v>
      </c>
      <c r="G267" s="46">
        <v>14</v>
      </c>
      <c r="H267" s="11" t="s">
        <v>765</v>
      </c>
      <c r="I267" s="46">
        <v>22</v>
      </c>
      <c r="J267" s="41" t="s">
        <v>839</v>
      </c>
    </row>
    <row r="268" spans="1:11" x14ac:dyDescent="0.35">
      <c r="A268">
        <f t="shared" si="5"/>
        <v>1.1333333333333333</v>
      </c>
      <c r="C268" s="41">
        <v>27</v>
      </c>
      <c r="E268" s="1" t="s">
        <v>1164</v>
      </c>
      <c r="F268" s="34">
        <v>17</v>
      </c>
      <c r="G268" s="46">
        <v>15</v>
      </c>
      <c r="H268" s="11" t="s">
        <v>1161</v>
      </c>
      <c r="J268" s="41" t="s">
        <v>781</v>
      </c>
    </row>
    <row r="269" spans="1:11" x14ac:dyDescent="0.35">
      <c r="A269">
        <f t="shared" si="5"/>
        <v>1.125</v>
      </c>
      <c r="C269" s="41">
        <v>28</v>
      </c>
      <c r="E269" s="1" t="s">
        <v>651</v>
      </c>
      <c r="F269" s="34">
        <v>9</v>
      </c>
      <c r="G269" s="46">
        <v>8</v>
      </c>
      <c r="H269" s="11" t="s">
        <v>1160</v>
      </c>
      <c r="J269" s="41" t="s">
        <v>842</v>
      </c>
    </row>
    <row r="270" spans="1:11" x14ac:dyDescent="0.35">
      <c r="A270">
        <f t="shared" si="5"/>
        <v>1.9</v>
      </c>
      <c r="C270" s="41">
        <v>29</v>
      </c>
      <c r="E270" s="1" t="s">
        <v>755</v>
      </c>
      <c r="F270" s="34">
        <v>19</v>
      </c>
      <c r="G270" s="46">
        <v>10</v>
      </c>
      <c r="H270" s="11" t="s">
        <v>692</v>
      </c>
      <c r="J270" s="41" t="s">
        <v>793</v>
      </c>
    </row>
    <row r="271" spans="1:11" x14ac:dyDescent="0.35">
      <c r="A271">
        <f t="shared" si="5"/>
        <v>1.0666666666666667</v>
      </c>
      <c r="C271" s="41">
        <v>30</v>
      </c>
      <c r="E271" s="1" t="s">
        <v>680</v>
      </c>
      <c r="F271" s="34">
        <v>16</v>
      </c>
      <c r="G271" s="46">
        <v>15</v>
      </c>
      <c r="H271" s="11" t="s">
        <v>756</v>
      </c>
      <c r="J271" s="41" t="s">
        <v>839</v>
      </c>
      <c r="K271" t="s">
        <v>1198</v>
      </c>
    </row>
    <row r="272" spans="1:11" x14ac:dyDescent="0.35">
      <c r="A272">
        <f t="shared" si="5"/>
        <v>1.125</v>
      </c>
      <c r="C272" s="41">
        <v>31</v>
      </c>
      <c r="E272" s="1" t="s">
        <v>722</v>
      </c>
      <c r="F272" s="34">
        <v>18</v>
      </c>
      <c r="G272" s="46">
        <v>16</v>
      </c>
      <c r="H272" s="11" t="s">
        <v>641</v>
      </c>
      <c r="J272" s="41" t="s">
        <v>759</v>
      </c>
      <c r="K272" t="s">
        <v>1199</v>
      </c>
    </row>
    <row r="273" spans="1:11" x14ac:dyDescent="0.35">
      <c r="A273">
        <f t="shared" si="5"/>
        <v>1.3846153846153846</v>
      </c>
      <c r="C273" s="41">
        <v>32</v>
      </c>
      <c r="D273" s="34">
        <v>19</v>
      </c>
      <c r="E273" s="1" t="s">
        <v>768</v>
      </c>
      <c r="F273" s="34">
        <v>18</v>
      </c>
      <c r="G273" s="46">
        <v>13</v>
      </c>
      <c r="H273" s="11" t="s">
        <v>693</v>
      </c>
      <c r="J273" s="41" t="s">
        <v>910</v>
      </c>
    </row>
    <row r="274" spans="1:11" x14ac:dyDescent="0.35">
      <c r="A274">
        <f t="shared" si="5"/>
        <v>1.1428571428571428</v>
      </c>
      <c r="C274" s="41">
        <v>33</v>
      </c>
      <c r="D274" s="34">
        <v>18</v>
      </c>
      <c r="E274" s="1" t="s">
        <v>242</v>
      </c>
      <c r="F274" s="34">
        <v>24</v>
      </c>
      <c r="G274" s="46">
        <v>21</v>
      </c>
      <c r="H274" s="11" t="s">
        <v>723</v>
      </c>
      <c r="J274" s="41" t="s">
        <v>975</v>
      </c>
      <c r="K274" t="s">
        <v>1200</v>
      </c>
    </row>
    <row r="275" spans="1:11" x14ac:dyDescent="0.35">
      <c r="A275">
        <f t="shared" si="5"/>
        <v>1.4705882352941178</v>
      </c>
      <c r="C275" s="41">
        <v>34</v>
      </c>
      <c r="D275" s="34">
        <v>10</v>
      </c>
      <c r="E275" s="1" t="s">
        <v>713</v>
      </c>
      <c r="F275" s="34">
        <v>25</v>
      </c>
      <c r="G275" s="46">
        <v>17</v>
      </c>
      <c r="H275" s="11" t="s">
        <v>704</v>
      </c>
      <c r="J275" s="41" t="s">
        <v>744</v>
      </c>
    </row>
    <row r="276" spans="1:11" x14ac:dyDescent="0.35">
      <c r="A276">
        <f t="shared" si="5"/>
        <v>1.3333333333333333</v>
      </c>
      <c r="C276" s="41">
        <v>35</v>
      </c>
      <c r="E276" s="1" t="s">
        <v>718</v>
      </c>
      <c r="F276" s="34">
        <v>16</v>
      </c>
      <c r="G276" s="46">
        <v>12</v>
      </c>
      <c r="H276" s="11" t="s">
        <v>712</v>
      </c>
      <c r="J276" s="41" t="s">
        <v>721</v>
      </c>
    </row>
    <row r="277" spans="1:11" x14ac:dyDescent="0.35">
      <c r="A277">
        <f t="shared" si="5"/>
        <v>1.4166666666666667</v>
      </c>
      <c r="C277" s="41">
        <v>36</v>
      </c>
      <c r="E277" s="1" t="s">
        <v>738</v>
      </c>
      <c r="F277" s="34">
        <v>17</v>
      </c>
      <c r="G277" s="46">
        <v>12</v>
      </c>
      <c r="H277" s="11" t="s">
        <v>758</v>
      </c>
      <c r="J277" s="41" t="s">
        <v>789</v>
      </c>
    </row>
    <row r="278" spans="1:11" x14ac:dyDescent="0.35">
      <c r="A278">
        <f t="shared" si="5"/>
        <v>1.2</v>
      </c>
      <c r="C278" s="41">
        <v>37</v>
      </c>
      <c r="E278" s="1" t="s">
        <v>751</v>
      </c>
      <c r="F278" s="34">
        <v>18</v>
      </c>
      <c r="G278" s="46">
        <v>15</v>
      </c>
      <c r="H278" s="11" t="s">
        <v>764</v>
      </c>
      <c r="I278" s="46">
        <v>16</v>
      </c>
      <c r="J278" s="41" t="s">
        <v>796</v>
      </c>
    </row>
    <row r="279" spans="1:11" x14ac:dyDescent="0.35">
      <c r="A279">
        <f t="shared" si="5"/>
        <v>1.7142857142857142</v>
      </c>
      <c r="C279" s="41">
        <v>38</v>
      </c>
      <c r="E279" s="1" t="s">
        <v>709</v>
      </c>
      <c r="F279" s="34">
        <v>12</v>
      </c>
      <c r="G279" s="46">
        <v>7</v>
      </c>
      <c r="H279" s="11" t="s">
        <v>466</v>
      </c>
      <c r="J279" s="41" t="s">
        <v>721</v>
      </c>
    </row>
    <row r="280" spans="1:11" x14ac:dyDescent="0.35">
      <c r="A280">
        <f t="shared" si="5"/>
        <v>1.6666666666666667</v>
      </c>
      <c r="C280" s="41">
        <v>39</v>
      </c>
      <c r="E280" s="1" t="s">
        <v>763</v>
      </c>
      <c r="F280" s="34">
        <v>15</v>
      </c>
      <c r="G280" s="46">
        <v>9</v>
      </c>
      <c r="H280" s="11" t="s">
        <v>673</v>
      </c>
      <c r="J280" s="41" t="s">
        <v>710</v>
      </c>
    </row>
    <row r="281" spans="1:11" x14ac:dyDescent="0.35">
      <c r="A281">
        <f t="shared" si="5"/>
        <v>2.5555555555555554</v>
      </c>
      <c r="C281" s="41">
        <v>40</v>
      </c>
      <c r="D281" s="34">
        <v>6</v>
      </c>
      <c r="E281" s="1" t="s">
        <v>663</v>
      </c>
      <c r="F281" s="34">
        <v>23</v>
      </c>
      <c r="G281" s="46">
        <v>9</v>
      </c>
      <c r="H281" s="11" t="s">
        <v>776</v>
      </c>
      <c r="J281" s="41" t="s">
        <v>881</v>
      </c>
    </row>
    <row r="282" spans="1:11" x14ac:dyDescent="0.35">
      <c r="A282">
        <f t="shared" si="5"/>
        <v>1.4</v>
      </c>
      <c r="C282" s="41">
        <v>41</v>
      </c>
      <c r="E282" s="1" t="s">
        <v>672</v>
      </c>
      <c r="F282" s="34">
        <v>14</v>
      </c>
      <c r="G282" s="46">
        <v>10</v>
      </c>
      <c r="H282" s="11" t="s">
        <v>729</v>
      </c>
      <c r="I282" s="46">
        <v>12</v>
      </c>
      <c r="J282" s="41" t="s">
        <v>748</v>
      </c>
    </row>
    <row r="283" spans="1:11" x14ac:dyDescent="0.35">
      <c r="A283">
        <f t="shared" si="5"/>
        <v>1.4545454545454546</v>
      </c>
      <c r="C283" s="41">
        <v>42</v>
      </c>
      <c r="D283" s="34">
        <v>5</v>
      </c>
      <c r="E283" s="1" t="s">
        <v>785</v>
      </c>
      <c r="F283" s="34">
        <v>16</v>
      </c>
      <c r="G283" s="46">
        <v>11</v>
      </c>
      <c r="H283" s="11" t="s">
        <v>792</v>
      </c>
      <c r="J283" s="41" t="s">
        <v>721</v>
      </c>
    </row>
    <row r="284" spans="1:11" x14ac:dyDescent="0.35">
      <c r="A284">
        <f t="shared" si="5"/>
        <v>2.1428571428571428</v>
      </c>
      <c r="C284" s="41">
        <v>43</v>
      </c>
      <c r="E284" s="1" t="s">
        <v>732</v>
      </c>
      <c r="F284" s="34">
        <v>15</v>
      </c>
      <c r="G284" s="46">
        <v>7</v>
      </c>
      <c r="H284" s="11" t="s">
        <v>642</v>
      </c>
      <c r="J284" s="41" t="s">
        <v>870</v>
      </c>
    </row>
    <row r="285" spans="1:11" x14ac:dyDescent="0.35">
      <c r="A285">
        <f t="shared" si="5"/>
        <v>1.1818181818181819</v>
      </c>
      <c r="C285" s="41">
        <v>44</v>
      </c>
      <c r="D285" s="34">
        <v>2</v>
      </c>
      <c r="E285" s="1" t="s">
        <v>467</v>
      </c>
      <c r="F285" s="34">
        <v>13</v>
      </c>
      <c r="G285" s="46">
        <v>11</v>
      </c>
      <c r="H285" s="11" t="s">
        <v>780</v>
      </c>
      <c r="J285" s="41" t="s">
        <v>842</v>
      </c>
    </row>
    <row r="286" spans="1:11" x14ac:dyDescent="0.35">
      <c r="A286">
        <f t="shared" si="5"/>
        <v>1.1818181818181819</v>
      </c>
      <c r="C286" s="41">
        <v>45</v>
      </c>
      <c r="E286" s="1" t="s">
        <v>643</v>
      </c>
      <c r="F286" s="34">
        <v>13</v>
      </c>
      <c r="G286" s="46">
        <v>11</v>
      </c>
      <c r="H286" s="11" t="s">
        <v>649</v>
      </c>
      <c r="I286" s="46">
        <v>21</v>
      </c>
      <c r="J286" s="41" t="s">
        <v>705</v>
      </c>
    </row>
    <row r="287" spans="1:11" x14ac:dyDescent="0.35">
      <c r="A287">
        <f t="shared" si="5"/>
        <v>1.1111111111111112</v>
      </c>
      <c r="C287" s="41">
        <v>46</v>
      </c>
      <c r="D287" s="34">
        <v>1</v>
      </c>
      <c r="E287" s="1" t="s">
        <v>731</v>
      </c>
      <c r="F287" s="34">
        <v>20</v>
      </c>
      <c r="G287" s="46">
        <v>18</v>
      </c>
      <c r="H287" s="11" t="s">
        <v>734</v>
      </c>
      <c r="I287" s="46">
        <v>14</v>
      </c>
      <c r="J287" s="41" t="s">
        <v>744</v>
      </c>
      <c r="K287" t="s">
        <v>1201</v>
      </c>
    </row>
    <row r="288" spans="1:11" x14ac:dyDescent="0.35">
      <c r="A288">
        <f t="shared" si="5"/>
        <v>1.1666666666666667</v>
      </c>
      <c r="C288" s="41">
        <v>47</v>
      </c>
      <c r="D288" s="34">
        <v>13</v>
      </c>
      <c r="E288" s="1" t="s">
        <v>750</v>
      </c>
      <c r="F288" s="34">
        <v>14</v>
      </c>
      <c r="G288" s="46">
        <v>12</v>
      </c>
      <c r="H288" s="11" t="s">
        <v>746</v>
      </c>
      <c r="I288" s="46">
        <v>3</v>
      </c>
      <c r="J288" s="41" t="s">
        <v>839</v>
      </c>
    </row>
    <row r="289" spans="1:11" ht="15" thickBot="1" x14ac:dyDescent="0.4">
      <c r="A289">
        <f t="shared" si="5"/>
        <v>8.5</v>
      </c>
      <c r="C289" s="42">
        <v>48</v>
      </c>
      <c r="D289" s="49">
        <v>4</v>
      </c>
      <c r="E289" s="45" t="s">
        <v>720</v>
      </c>
      <c r="F289" s="49">
        <v>17</v>
      </c>
      <c r="G289" s="50">
        <v>2</v>
      </c>
      <c r="H289" s="51" t="s">
        <v>644</v>
      </c>
      <c r="I289" s="50">
        <v>7</v>
      </c>
      <c r="J289" s="40" t="s">
        <v>852</v>
      </c>
      <c r="K289" s="40" t="s">
        <v>1202</v>
      </c>
    </row>
    <row r="290" spans="1:11" x14ac:dyDescent="0.35">
      <c r="A290">
        <f t="shared" si="5"/>
        <v>1.0526315789473684</v>
      </c>
      <c r="B290" t="s">
        <v>1104</v>
      </c>
      <c r="C290" s="41">
        <v>1</v>
      </c>
      <c r="E290" s="1" t="s">
        <v>645</v>
      </c>
      <c r="F290" s="34">
        <v>20</v>
      </c>
      <c r="G290" s="46">
        <v>19</v>
      </c>
      <c r="H290" s="11" t="s">
        <v>673</v>
      </c>
      <c r="J290" s="41" t="s">
        <v>719</v>
      </c>
    </row>
    <row r="291" spans="1:11" x14ac:dyDescent="0.35">
      <c r="A291">
        <f t="shared" si="5"/>
        <v>2.625</v>
      </c>
      <c r="C291" s="41">
        <v>2</v>
      </c>
      <c r="D291" s="34">
        <v>20</v>
      </c>
      <c r="E291" s="1" t="s">
        <v>676</v>
      </c>
      <c r="F291" s="34">
        <v>21</v>
      </c>
      <c r="G291" s="46">
        <v>8</v>
      </c>
      <c r="H291" s="11" t="s">
        <v>706</v>
      </c>
      <c r="J291" s="41" t="s">
        <v>789</v>
      </c>
    </row>
    <row r="292" spans="1:11" x14ac:dyDescent="0.35">
      <c r="A292">
        <f t="shared" si="5"/>
        <v>1.7272727272727273</v>
      </c>
      <c r="C292" s="41">
        <v>3</v>
      </c>
      <c r="E292" s="1" t="s">
        <v>666</v>
      </c>
      <c r="F292" s="34">
        <v>19</v>
      </c>
      <c r="G292" s="46">
        <v>11</v>
      </c>
      <c r="H292" s="11" t="s">
        <v>760</v>
      </c>
      <c r="J292" s="41" t="s">
        <v>724</v>
      </c>
    </row>
    <row r="293" spans="1:11" x14ac:dyDescent="0.35">
      <c r="A293">
        <f t="shared" si="5"/>
        <v>1.5833333333333333</v>
      </c>
      <c r="C293" s="41">
        <v>4</v>
      </c>
      <c r="E293" s="1" t="s">
        <v>784</v>
      </c>
      <c r="F293" s="34">
        <v>19</v>
      </c>
      <c r="G293" s="46">
        <v>12</v>
      </c>
      <c r="H293" s="11" t="s">
        <v>678</v>
      </c>
      <c r="J293" s="41" t="s">
        <v>910</v>
      </c>
    </row>
    <row r="294" spans="1:11" x14ac:dyDescent="0.35">
      <c r="A294">
        <f t="shared" si="5"/>
        <v>1.1764705882352942</v>
      </c>
      <c r="C294" s="41">
        <v>5</v>
      </c>
      <c r="E294" s="1" t="s">
        <v>742</v>
      </c>
      <c r="F294" s="34">
        <v>20</v>
      </c>
      <c r="G294" s="46">
        <v>17</v>
      </c>
      <c r="H294" s="11" t="s">
        <v>716</v>
      </c>
      <c r="J294" s="41" t="s">
        <v>987</v>
      </c>
      <c r="K294" t="s">
        <v>1203</v>
      </c>
    </row>
    <row r="295" spans="1:11" x14ac:dyDescent="0.35">
      <c r="A295">
        <f t="shared" si="5"/>
        <v>2</v>
      </c>
      <c r="C295" s="41">
        <v>6</v>
      </c>
      <c r="E295" s="1" t="s">
        <v>1158</v>
      </c>
      <c r="F295" s="34">
        <v>26</v>
      </c>
      <c r="G295" s="46">
        <v>13</v>
      </c>
      <c r="H295" s="11" t="s">
        <v>693</v>
      </c>
      <c r="J295" s="41" t="s">
        <v>1179</v>
      </c>
    </row>
    <row r="296" spans="1:11" x14ac:dyDescent="0.35">
      <c r="A296">
        <f t="shared" si="5"/>
        <v>2.25</v>
      </c>
      <c r="C296" s="41">
        <v>7</v>
      </c>
      <c r="E296" s="1" t="s">
        <v>732</v>
      </c>
      <c r="F296" s="34">
        <v>18</v>
      </c>
      <c r="G296" s="46">
        <v>8</v>
      </c>
      <c r="H296" s="11" t="s">
        <v>726</v>
      </c>
      <c r="J296" s="41" t="s">
        <v>934</v>
      </c>
    </row>
    <row r="297" spans="1:11" x14ac:dyDescent="0.35">
      <c r="A297">
        <f t="shared" si="5"/>
        <v>2.375</v>
      </c>
      <c r="C297" s="41">
        <v>8</v>
      </c>
      <c r="E297" s="1" t="s">
        <v>582</v>
      </c>
      <c r="F297" s="34">
        <v>19</v>
      </c>
      <c r="G297" s="46">
        <v>8</v>
      </c>
      <c r="H297" s="11" t="s">
        <v>680</v>
      </c>
      <c r="J297" s="41" t="s">
        <v>740</v>
      </c>
    </row>
    <row r="298" spans="1:11" x14ac:dyDescent="0.35">
      <c r="A298">
        <f t="shared" si="5"/>
        <v>1.8571428571428572</v>
      </c>
      <c r="C298" s="41">
        <v>9</v>
      </c>
      <c r="E298" s="1" t="s">
        <v>722</v>
      </c>
      <c r="F298" s="34">
        <v>13</v>
      </c>
      <c r="G298" s="46">
        <v>7</v>
      </c>
      <c r="H298" s="11" t="s">
        <v>677</v>
      </c>
      <c r="J298" s="41" t="s">
        <v>714</v>
      </c>
    </row>
    <row r="299" spans="1:11" x14ac:dyDescent="0.35">
      <c r="A299">
        <f t="shared" si="5"/>
        <v>1.875</v>
      </c>
      <c r="C299" s="41">
        <v>10</v>
      </c>
      <c r="D299" s="34">
        <v>11</v>
      </c>
      <c r="E299" s="1" t="s">
        <v>644</v>
      </c>
      <c r="F299" s="34">
        <v>15</v>
      </c>
      <c r="G299" s="46">
        <v>8</v>
      </c>
      <c r="H299" s="11" t="s">
        <v>777</v>
      </c>
      <c r="J299" s="41" t="s">
        <v>826</v>
      </c>
    </row>
    <row r="300" spans="1:11" x14ac:dyDescent="0.35">
      <c r="A300">
        <f t="shared" si="5"/>
        <v>3.5</v>
      </c>
      <c r="C300" s="41">
        <v>11</v>
      </c>
      <c r="E300" s="1" t="s">
        <v>753</v>
      </c>
      <c r="F300" s="34">
        <v>28</v>
      </c>
      <c r="G300" s="46">
        <v>8</v>
      </c>
      <c r="H300" s="11" t="s">
        <v>771</v>
      </c>
      <c r="J300" s="41" t="s">
        <v>1204</v>
      </c>
    </row>
    <row r="301" spans="1:11" x14ac:dyDescent="0.35">
      <c r="A301">
        <f t="shared" si="5"/>
        <v>1.0625</v>
      </c>
      <c r="C301" s="41">
        <v>12</v>
      </c>
      <c r="E301" s="1" t="s">
        <v>1162</v>
      </c>
      <c r="F301" s="34">
        <v>17</v>
      </c>
      <c r="G301" s="46">
        <v>16</v>
      </c>
      <c r="H301" s="11" t="s">
        <v>679</v>
      </c>
      <c r="J301" s="41" t="s">
        <v>831</v>
      </c>
    </row>
    <row r="302" spans="1:11" x14ac:dyDescent="0.35">
      <c r="A302">
        <f t="shared" si="5"/>
        <v>1.3333333333333333</v>
      </c>
      <c r="C302" s="41">
        <v>13</v>
      </c>
      <c r="D302" s="34">
        <v>13</v>
      </c>
      <c r="E302" s="1" t="s">
        <v>783</v>
      </c>
      <c r="F302" s="34">
        <v>24</v>
      </c>
      <c r="G302" s="46">
        <v>18</v>
      </c>
      <c r="H302" s="11" t="s">
        <v>700</v>
      </c>
      <c r="J302" s="41" t="s">
        <v>987</v>
      </c>
    </row>
    <row r="303" spans="1:11" x14ac:dyDescent="0.35">
      <c r="A303">
        <f t="shared" si="5"/>
        <v>1.3076923076923077</v>
      </c>
      <c r="C303" s="41">
        <v>14</v>
      </c>
      <c r="D303" s="34">
        <v>4</v>
      </c>
      <c r="E303" s="1" t="s">
        <v>746</v>
      </c>
      <c r="F303" s="34">
        <v>17</v>
      </c>
      <c r="G303" s="46">
        <v>13</v>
      </c>
      <c r="H303" s="11" t="s">
        <v>774</v>
      </c>
      <c r="J303" s="41" t="s">
        <v>878</v>
      </c>
    </row>
    <row r="304" spans="1:11" x14ac:dyDescent="0.35">
      <c r="A304">
        <f t="shared" si="5"/>
        <v>1.0714285714285714</v>
      </c>
      <c r="C304" s="41">
        <v>15</v>
      </c>
      <c r="E304" s="1" t="s">
        <v>780</v>
      </c>
      <c r="F304" s="34">
        <v>15</v>
      </c>
      <c r="G304" s="46">
        <v>14</v>
      </c>
      <c r="H304" s="11" t="s">
        <v>1163</v>
      </c>
      <c r="J304" s="41" t="s">
        <v>857</v>
      </c>
    </row>
    <row r="305" spans="1:11" x14ac:dyDescent="0.35">
      <c r="A305">
        <f t="shared" si="5"/>
        <v>3.1428571428571428</v>
      </c>
      <c r="C305" s="41">
        <v>16</v>
      </c>
      <c r="E305" s="1" t="s">
        <v>758</v>
      </c>
      <c r="F305" s="34">
        <v>22</v>
      </c>
      <c r="G305" s="46">
        <v>7</v>
      </c>
      <c r="H305" s="11" t="s">
        <v>660</v>
      </c>
      <c r="J305" s="41" t="s">
        <v>881</v>
      </c>
    </row>
    <row r="306" spans="1:11" x14ac:dyDescent="0.35">
      <c r="A306">
        <f t="shared" si="5"/>
        <v>1.75</v>
      </c>
      <c r="C306" s="41">
        <v>17</v>
      </c>
      <c r="E306" s="1" t="s">
        <v>647</v>
      </c>
      <c r="F306" s="34">
        <v>21</v>
      </c>
      <c r="G306" s="46">
        <v>12</v>
      </c>
      <c r="H306" s="11" t="s">
        <v>779</v>
      </c>
      <c r="J306" s="41" t="s">
        <v>796</v>
      </c>
    </row>
    <row r="307" spans="1:11" x14ac:dyDescent="0.35">
      <c r="A307">
        <f t="shared" si="5"/>
        <v>1.1538461538461537</v>
      </c>
      <c r="C307" s="41">
        <v>18</v>
      </c>
      <c r="E307" s="1" t="s">
        <v>712</v>
      </c>
      <c r="F307" s="34">
        <v>15</v>
      </c>
      <c r="G307" s="46">
        <v>13</v>
      </c>
      <c r="H307" s="11" t="s">
        <v>1161</v>
      </c>
      <c r="J307" s="41" t="s">
        <v>705</v>
      </c>
    </row>
    <row r="308" spans="1:11" x14ac:dyDescent="0.35">
      <c r="A308">
        <f t="shared" si="5"/>
        <v>1.0625</v>
      </c>
      <c r="C308" s="41">
        <v>19</v>
      </c>
      <c r="E308" s="1" t="s">
        <v>692</v>
      </c>
      <c r="F308" s="34">
        <v>17</v>
      </c>
      <c r="G308" s="46">
        <v>16</v>
      </c>
      <c r="H308" s="11" t="s">
        <v>776</v>
      </c>
      <c r="J308" s="41" t="s">
        <v>866</v>
      </c>
      <c r="K308" t="s">
        <v>1205</v>
      </c>
    </row>
    <row r="309" spans="1:11" x14ac:dyDescent="0.35">
      <c r="A309">
        <f t="shared" si="5"/>
        <v>1.1764705882352942</v>
      </c>
      <c r="C309" s="41">
        <v>20</v>
      </c>
      <c r="E309" s="1" t="s">
        <v>1165</v>
      </c>
      <c r="F309" s="34">
        <v>20</v>
      </c>
      <c r="G309" s="46">
        <v>17</v>
      </c>
      <c r="H309" s="11" t="s">
        <v>772</v>
      </c>
      <c r="J309" s="41" t="s">
        <v>818</v>
      </c>
    </row>
    <row r="310" spans="1:11" x14ac:dyDescent="0.35">
      <c r="A310">
        <f t="shared" si="5"/>
        <v>1.8</v>
      </c>
      <c r="C310" s="41">
        <v>21</v>
      </c>
      <c r="D310" s="34">
        <v>16</v>
      </c>
      <c r="E310" s="1" t="s">
        <v>747</v>
      </c>
      <c r="F310" s="34">
        <v>18</v>
      </c>
      <c r="G310" s="46">
        <v>10</v>
      </c>
      <c r="H310" s="11" t="s">
        <v>465</v>
      </c>
      <c r="J310" s="41" t="s">
        <v>789</v>
      </c>
    </row>
    <row r="311" spans="1:11" x14ac:dyDescent="0.35">
      <c r="A311">
        <f t="shared" si="5"/>
        <v>1.0666666666666667</v>
      </c>
      <c r="C311" s="41">
        <v>22</v>
      </c>
      <c r="E311" s="1" t="s">
        <v>661</v>
      </c>
      <c r="F311" s="34">
        <v>16</v>
      </c>
      <c r="G311" s="46">
        <v>15</v>
      </c>
      <c r="H311" s="11" t="s">
        <v>641</v>
      </c>
      <c r="J311" s="41" t="s">
        <v>773</v>
      </c>
    </row>
    <row r="312" spans="1:11" x14ac:dyDescent="0.35">
      <c r="A312">
        <f t="shared" si="5"/>
        <v>2</v>
      </c>
      <c r="C312" s="41">
        <v>23</v>
      </c>
      <c r="D312" s="34">
        <v>9</v>
      </c>
      <c r="E312" s="1" t="s">
        <v>245</v>
      </c>
      <c r="F312" s="34">
        <v>30</v>
      </c>
      <c r="G312" s="46">
        <v>15</v>
      </c>
      <c r="H312" s="11" t="s">
        <v>743</v>
      </c>
      <c r="J312" s="41" t="s">
        <v>1206</v>
      </c>
    </row>
    <row r="313" spans="1:11" x14ac:dyDescent="0.35">
      <c r="A313">
        <f t="shared" si="5"/>
        <v>1.3333333333333333</v>
      </c>
      <c r="C313" s="41">
        <v>24</v>
      </c>
      <c r="E313" s="1" t="s">
        <v>704</v>
      </c>
      <c r="F313" s="34">
        <v>12</v>
      </c>
      <c r="G313" s="46">
        <v>9</v>
      </c>
      <c r="H313" s="11" t="s">
        <v>701</v>
      </c>
      <c r="J313" s="41" t="s">
        <v>707</v>
      </c>
    </row>
    <row r="314" spans="1:11" x14ac:dyDescent="0.35">
      <c r="A314">
        <f t="shared" si="5"/>
        <v>1.2666666666666666</v>
      </c>
      <c r="C314" s="41">
        <v>25</v>
      </c>
      <c r="E314" s="1" t="s">
        <v>767</v>
      </c>
      <c r="F314" s="34">
        <v>19</v>
      </c>
      <c r="G314" s="46">
        <v>15</v>
      </c>
      <c r="H314" s="11" t="s">
        <v>723</v>
      </c>
      <c r="J314" s="41" t="s">
        <v>987</v>
      </c>
    </row>
    <row r="315" spans="1:11" x14ac:dyDescent="0.35">
      <c r="A315">
        <f t="shared" si="5"/>
        <v>1.6363636363636365</v>
      </c>
      <c r="C315" s="41">
        <v>26</v>
      </c>
      <c r="D315" s="34">
        <v>18</v>
      </c>
      <c r="E315" s="1" t="s">
        <v>643</v>
      </c>
      <c r="F315" s="34">
        <v>18</v>
      </c>
      <c r="G315" s="46">
        <v>11</v>
      </c>
      <c r="H315" s="11" t="s">
        <v>664</v>
      </c>
      <c r="J315" s="41" t="s">
        <v>710</v>
      </c>
    </row>
    <row r="316" spans="1:11" x14ac:dyDescent="0.35">
      <c r="A316">
        <f t="shared" si="5"/>
        <v>1.1176470588235294</v>
      </c>
      <c r="C316" s="41">
        <v>27</v>
      </c>
      <c r="E316" s="1" t="s">
        <v>671</v>
      </c>
      <c r="F316" s="34">
        <v>19</v>
      </c>
      <c r="G316" s="46">
        <v>17</v>
      </c>
      <c r="H316" s="11" t="s">
        <v>713</v>
      </c>
      <c r="I316" s="46">
        <v>8</v>
      </c>
      <c r="J316" s="41" t="s">
        <v>699</v>
      </c>
    </row>
    <row r="317" spans="1:11" x14ac:dyDescent="0.35">
      <c r="A317">
        <f t="shared" si="5"/>
        <v>1.2142857142857142</v>
      </c>
      <c r="C317" s="41">
        <v>28</v>
      </c>
      <c r="E317" s="1" t="s">
        <v>757</v>
      </c>
      <c r="F317" s="34">
        <v>17</v>
      </c>
      <c r="G317" s="46">
        <v>14</v>
      </c>
      <c r="H317" s="11" t="s">
        <v>1156</v>
      </c>
      <c r="J317" s="41" t="s">
        <v>770</v>
      </c>
      <c r="K317" t="s">
        <v>1207</v>
      </c>
    </row>
    <row r="318" spans="1:11" x14ac:dyDescent="0.35">
      <c r="A318">
        <f t="shared" si="5"/>
        <v>2.2000000000000002</v>
      </c>
      <c r="C318" s="41">
        <v>29</v>
      </c>
      <c r="E318" s="1" t="s">
        <v>646</v>
      </c>
      <c r="F318" s="34">
        <v>11</v>
      </c>
      <c r="G318" s="46">
        <v>5</v>
      </c>
      <c r="H318" s="11" t="s">
        <v>640</v>
      </c>
      <c r="J318" s="41" t="s">
        <v>933</v>
      </c>
    </row>
    <row r="319" spans="1:11" x14ac:dyDescent="0.35">
      <c r="A319">
        <f t="shared" si="5"/>
        <v>1.2105263157894737</v>
      </c>
      <c r="C319" s="41">
        <v>30</v>
      </c>
      <c r="E319" s="1" t="s">
        <v>751</v>
      </c>
      <c r="F319" s="34">
        <v>23</v>
      </c>
      <c r="G319" s="46">
        <v>19</v>
      </c>
      <c r="H319" s="11" t="s">
        <v>466</v>
      </c>
      <c r="J319" s="41" t="s">
        <v>818</v>
      </c>
    </row>
    <row r="320" spans="1:11" x14ac:dyDescent="0.35">
      <c r="A320">
        <f t="shared" si="5"/>
        <v>1.1000000000000001</v>
      </c>
      <c r="C320" s="41">
        <v>31</v>
      </c>
      <c r="E320" s="1" t="s">
        <v>651</v>
      </c>
      <c r="F320" s="34">
        <v>11</v>
      </c>
      <c r="G320" s="46">
        <v>10</v>
      </c>
      <c r="H320" s="11" t="s">
        <v>792</v>
      </c>
      <c r="J320" s="41" t="s">
        <v>839</v>
      </c>
    </row>
    <row r="321" spans="1:11" x14ac:dyDescent="0.35">
      <c r="A321">
        <f t="shared" si="5"/>
        <v>1.4</v>
      </c>
      <c r="C321" s="41">
        <v>32</v>
      </c>
      <c r="D321" s="34">
        <v>5</v>
      </c>
      <c r="E321" s="1" t="s">
        <v>785</v>
      </c>
      <c r="F321" s="34">
        <v>21</v>
      </c>
      <c r="G321" s="46">
        <v>15</v>
      </c>
      <c r="H321" s="11" t="s">
        <v>1160</v>
      </c>
      <c r="J321" s="41" t="s">
        <v>735</v>
      </c>
      <c r="K321" t="s">
        <v>1208</v>
      </c>
    </row>
    <row r="322" spans="1:11" x14ac:dyDescent="0.35">
      <c r="A322">
        <f t="shared" si="5"/>
        <v>1.4</v>
      </c>
      <c r="C322" s="41">
        <v>33</v>
      </c>
      <c r="E322" s="1" t="s">
        <v>642</v>
      </c>
      <c r="F322" s="34">
        <v>14</v>
      </c>
      <c r="G322" s="46">
        <v>10</v>
      </c>
      <c r="H322" s="11" t="s">
        <v>665</v>
      </c>
      <c r="J322" s="41" t="s">
        <v>839</v>
      </c>
    </row>
    <row r="323" spans="1:11" x14ac:dyDescent="0.35">
      <c r="A323">
        <f t="shared" ref="A323:A386" si="6">(F323/G323)</f>
        <v>1.125</v>
      </c>
      <c r="C323" s="41">
        <v>34</v>
      </c>
      <c r="D323" s="34">
        <v>25</v>
      </c>
      <c r="E323" s="1" t="s">
        <v>649</v>
      </c>
      <c r="F323" s="34">
        <v>18</v>
      </c>
      <c r="G323" s="46">
        <v>16</v>
      </c>
      <c r="H323" s="11" t="s">
        <v>1155</v>
      </c>
      <c r="J323" s="41" t="s">
        <v>952</v>
      </c>
    </row>
    <row r="324" spans="1:11" x14ac:dyDescent="0.35">
      <c r="A324">
        <f t="shared" si="6"/>
        <v>1.3571428571428572</v>
      </c>
      <c r="C324" s="41">
        <v>35</v>
      </c>
      <c r="E324" s="1" t="s">
        <v>778</v>
      </c>
      <c r="F324" s="34">
        <v>19</v>
      </c>
      <c r="G324" s="46">
        <v>14</v>
      </c>
      <c r="H324" s="11" t="s">
        <v>737</v>
      </c>
      <c r="J324" s="41" t="s">
        <v>975</v>
      </c>
    </row>
    <row r="325" spans="1:11" x14ac:dyDescent="0.35">
      <c r="A325">
        <f t="shared" si="6"/>
        <v>1.1538461538461537</v>
      </c>
      <c r="C325" s="41">
        <v>36</v>
      </c>
      <c r="E325" s="1" t="s">
        <v>718</v>
      </c>
      <c r="F325" s="34">
        <v>15</v>
      </c>
      <c r="G325" s="46">
        <v>13</v>
      </c>
      <c r="H325" s="11" t="s">
        <v>1164</v>
      </c>
      <c r="I325" s="46">
        <v>24</v>
      </c>
      <c r="J325" s="41" t="s">
        <v>705</v>
      </c>
    </row>
    <row r="326" spans="1:11" x14ac:dyDescent="0.35">
      <c r="A326">
        <f t="shared" si="6"/>
        <v>1.3529411764705883</v>
      </c>
      <c r="C326" s="41">
        <v>37</v>
      </c>
      <c r="D326" s="34">
        <v>17</v>
      </c>
      <c r="E326" s="1" t="s">
        <v>761</v>
      </c>
      <c r="F326" s="34">
        <v>23</v>
      </c>
      <c r="G326" s="46">
        <v>17</v>
      </c>
      <c r="H326" s="11" t="s">
        <v>738</v>
      </c>
      <c r="J326" s="41" t="s">
        <v>719</v>
      </c>
    </row>
    <row r="327" spans="1:11" x14ac:dyDescent="0.35">
      <c r="A327">
        <f t="shared" si="6"/>
        <v>1.1304347826086956</v>
      </c>
      <c r="C327" s="41">
        <v>38</v>
      </c>
      <c r="E327" s="1" t="s">
        <v>650</v>
      </c>
      <c r="F327" s="34">
        <v>26</v>
      </c>
      <c r="G327" s="46">
        <v>23</v>
      </c>
      <c r="H327" s="11" t="s">
        <v>750</v>
      </c>
      <c r="I327" s="46">
        <v>7</v>
      </c>
      <c r="J327" s="41" t="s">
        <v>1011</v>
      </c>
      <c r="K327" t="s">
        <v>1209</v>
      </c>
    </row>
    <row r="328" spans="1:11" x14ac:dyDescent="0.35">
      <c r="A328">
        <f t="shared" si="6"/>
        <v>1.2727272727272727</v>
      </c>
      <c r="C328" s="41">
        <v>39</v>
      </c>
      <c r="E328" s="1" t="s">
        <v>648</v>
      </c>
      <c r="F328" s="34">
        <v>14</v>
      </c>
      <c r="G328" s="46">
        <v>11</v>
      </c>
      <c r="H328" s="11" t="s">
        <v>756</v>
      </c>
      <c r="J328" s="41" t="s">
        <v>831</v>
      </c>
    </row>
    <row r="329" spans="1:11" x14ac:dyDescent="0.35">
      <c r="A329">
        <f t="shared" si="6"/>
        <v>1.375</v>
      </c>
      <c r="C329" s="41">
        <v>40</v>
      </c>
      <c r="D329" s="34">
        <v>23</v>
      </c>
      <c r="E329" s="1" t="s">
        <v>764</v>
      </c>
      <c r="F329" s="34">
        <v>22</v>
      </c>
      <c r="G329" s="46">
        <v>16</v>
      </c>
      <c r="H329" s="11" t="s">
        <v>709</v>
      </c>
      <c r="J329" s="41" t="s">
        <v>907</v>
      </c>
    </row>
    <row r="330" spans="1:11" x14ac:dyDescent="0.35">
      <c r="A330">
        <f t="shared" si="6"/>
        <v>1.5714285714285714</v>
      </c>
      <c r="C330" s="41">
        <v>41</v>
      </c>
      <c r="D330" s="34">
        <v>15</v>
      </c>
      <c r="E330" s="1" t="s">
        <v>1157</v>
      </c>
      <c r="F330" s="34">
        <v>11</v>
      </c>
      <c r="G330" s="46">
        <v>7</v>
      </c>
      <c r="H330" s="11" t="s">
        <v>763</v>
      </c>
      <c r="J330" s="41" t="s">
        <v>1003</v>
      </c>
    </row>
    <row r="331" spans="1:11" x14ac:dyDescent="0.35">
      <c r="A331">
        <f t="shared" si="6"/>
        <v>2.1818181818181817</v>
      </c>
      <c r="C331" s="41">
        <v>42</v>
      </c>
      <c r="D331" s="34">
        <v>12</v>
      </c>
      <c r="E331" s="1" t="s">
        <v>242</v>
      </c>
      <c r="F331" s="34">
        <v>24</v>
      </c>
      <c r="G331" s="46">
        <v>11</v>
      </c>
      <c r="H331" s="11" t="s">
        <v>765</v>
      </c>
      <c r="J331" s="41" t="s">
        <v>1174</v>
      </c>
    </row>
    <row r="332" spans="1:11" x14ac:dyDescent="0.35">
      <c r="A332">
        <f t="shared" si="6"/>
        <v>1.0769230769230769</v>
      </c>
      <c r="C332" s="41">
        <v>43</v>
      </c>
      <c r="E332" s="1" t="s">
        <v>468</v>
      </c>
      <c r="F332" s="34">
        <v>14</v>
      </c>
      <c r="G332" s="46">
        <v>13</v>
      </c>
      <c r="H332" s="11" t="s">
        <v>768</v>
      </c>
      <c r="I332" s="46">
        <v>14</v>
      </c>
      <c r="J332" s="41" t="s">
        <v>781</v>
      </c>
      <c r="K332" t="s">
        <v>1210</v>
      </c>
    </row>
    <row r="333" spans="1:11" x14ac:dyDescent="0.35">
      <c r="A333">
        <f t="shared" si="6"/>
        <v>1.1000000000000001</v>
      </c>
      <c r="C333" s="41">
        <v>44</v>
      </c>
      <c r="D333" s="34">
        <v>2</v>
      </c>
      <c r="E333" s="1" t="s">
        <v>467</v>
      </c>
      <c r="F333" s="34">
        <v>22</v>
      </c>
      <c r="G333" s="46">
        <v>20</v>
      </c>
      <c r="H333" s="11" t="s">
        <v>681</v>
      </c>
      <c r="J333" s="41" t="s">
        <v>928</v>
      </c>
    </row>
    <row r="334" spans="1:11" x14ac:dyDescent="0.35">
      <c r="A334">
        <f t="shared" si="6"/>
        <v>2.3076923076923075</v>
      </c>
      <c r="C334" s="41">
        <v>45</v>
      </c>
      <c r="D334" s="34">
        <v>21</v>
      </c>
      <c r="E334" s="1" t="s">
        <v>734</v>
      </c>
      <c r="F334" s="34">
        <v>30</v>
      </c>
      <c r="G334" s="46">
        <v>13</v>
      </c>
      <c r="H334" s="11" t="s">
        <v>672</v>
      </c>
      <c r="J334" s="41" t="s">
        <v>1211</v>
      </c>
    </row>
    <row r="335" spans="1:11" x14ac:dyDescent="0.35">
      <c r="A335">
        <f t="shared" si="6"/>
        <v>1.1904761904761905</v>
      </c>
      <c r="C335" s="41">
        <v>46</v>
      </c>
      <c r="D335" s="34">
        <v>22</v>
      </c>
      <c r="E335" s="1" t="s">
        <v>755</v>
      </c>
      <c r="F335" s="34">
        <v>25</v>
      </c>
      <c r="G335" s="46">
        <v>21</v>
      </c>
      <c r="H335" s="11" t="s">
        <v>663</v>
      </c>
      <c r="I335" s="46">
        <v>6</v>
      </c>
      <c r="J335" s="41" t="s">
        <v>834</v>
      </c>
    </row>
    <row r="336" spans="1:11" x14ac:dyDescent="0.35">
      <c r="A336">
        <f t="shared" si="6"/>
        <v>1.3333333333333333</v>
      </c>
      <c r="C336" s="41">
        <v>47</v>
      </c>
      <c r="D336" s="34">
        <v>1</v>
      </c>
      <c r="E336" s="1" t="s">
        <v>731</v>
      </c>
      <c r="F336" s="34">
        <v>16</v>
      </c>
      <c r="G336" s="46">
        <v>12</v>
      </c>
      <c r="H336" s="11" t="s">
        <v>729</v>
      </c>
      <c r="I336" s="46">
        <v>12</v>
      </c>
      <c r="J336" s="41" t="s">
        <v>898</v>
      </c>
    </row>
    <row r="337" spans="1:11" ht="15" thickBot="1" x14ac:dyDescent="0.4">
      <c r="A337">
        <f t="shared" si="6"/>
        <v>2.2000000000000002</v>
      </c>
      <c r="C337" s="42">
        <v>48</v>
      </c>
      <c r="D337" s="49">
        <v>3</v>
      </c>
      <c r="E337" s="45" t="s">
        <v>720</v>
      </c>
      <c r="F337" s="49">
        <v>11</v>
      </c>
      <c r="G337" s="50">
        <v>5</v>
      </c>
      <c r="H337" s="51" t="s">
        <v>670</v>
      </c>
      <c r="I337" s="50">
        <v>10</v>
      </c>
      <c r="J337" s="40" t="s">
        <v>969</v>
      </c>
      <c r="K337" s="40" t="s">
        <v>1212</v>
      </c>
    </row>
    <row r="338" spans="1:11" x14ac:dyDescent="0.35">
      <c r="A338">
        <f t="shared" si="6"/>
        <v>3</v>
      </c>
      <c r="B338" t="s">
        <v>1105</v>
      </c>
      <c r="C338" s="41">
        <v>1</v>
      </c>
      <c r="E338" s="1" t="s">
        <v>646</v>
      </c>
      <c r="F338" s="34">
        <v>12</v>
      </c>
      <c r="G338" s="46">
        <v>4</v>
      </c>
      <c r="H338" s="11" t="s">
        <v>706</v>
      </c>
      <c r="J338" s="41" t="s">
        <v>730</v>
      </c>
    </row>
    <row r="339" spans="1:11" x14ac:dyDescent="0.35">
      <c r="A339">
        <f t="shared" si="6"/>
        <v>1.1666666666666667</v>
      </c>
      <c r="C339" s="41">
        <v>2</v>
      </c>
      <c r="D339" s="34">
        <v>21</v>
      </c>
      <c r="E339" s="1" t="s">
        <v>768</v>
      </c>
      <c r="F339" s="34">
        <v>21</v>
      </c>
      <c r="G339" s="46">
        <v>18</v>
      </c>
      <c r="H339" s="11" t="s">
        <v>760</v>
      </c>
      <c r="J339" s="41" t="s">
        <v>702</v>
      </c>
    </row>
    <row r="340" spans="1:11" x14ac:dyDescent="0.35">
      <c r="A340">
        <f t="shared" si="6"/>
        <v>1.04</v>
      </c>
      <c r="C340" s="41">
        <v>3</v>
      </c>
      <c r="E340" s="1" t="s">
        <v>716</v>
      </c>
      <c r="F340" s="34">
        <v>26</v>
      </c>
      <c r="G340" s="46">
        <v>25</v>
      </c>
      <c r="H340" s="11" t="s">
        <v>747</v>
      </c>
      <c r="I340" s="46">
        <v>17</v>
      </c>
      <c r="J340" s="41" t="s">
        <v>754</v>
      </c>
      <c r="K340" t="s">
        <v>1213</v>
      </c>
    </row>
    <row r="341" spans="1:11" x14ac:dyDescent="0.35">
      <c r="A341">
        <f t="shared" si="6"/>
        <v>2</v>
      </c>
      <c r="C341" s="41">
        <v>4</v>
      </c>
      <c r="D341" s="34">
        <v>9</v>
      </c>
      <c r="E341" s="1" t="s">
        <v>750</v>
      </c>
      <c r="F341" s="34">
        <v>20</v>
      </c>
      <c r="G341" s="46">
        <v>10</v>
      </c>
      <c r="H341" s="11" t="s">
        <v>678</v>
      </c>
      <c r="J341" s="41" t="s">
        <v>789</v>
      </c>
    </row>
    <row r="342" spans="1:11" x14ac:dyDescent="0.35">
      <c r="A342">
        <f t="shared" si="6"/>
        <v>2.1666666666666665</v>
      </c>
      <c r="C342" s="41">
        <v>5</v>
      </c>
      <c r="E342" s="1" t="s">
        <v>751</v>
      </c>
      <c r="F342" s="34">
        <v>13</v>
      </c>
      <c r="G342" s="46">
        <v>6</v>
      </c>
      <c r="H342" s="11" t="s">
        <v>726</v>
      </c>
      <c r="J342" s="41" t="s">
        <v>832</v>
      </c>
    </row>
    <row r="343" spans="1:11" x14ac:dyDescent="0.35">
      <c r="A343">
        <f t="shared" si="6"/>
        <v>1.75</v>
      </c>
      <c r="C343" s="41">
        <v>6</v>
      </c>
      <c r="E343" s="1" t="s">
        <v>776</v>
      </c>
      <c r="F343" s="34">
        <v>21</v>
      </c>
      <c r="G343" s="46">
        <v>12</v>
      </c>
      <c r="H343" s="11" t="s">
        <v>771</v>
      </c>
      <c r="J343" s="41" t="s">
        <v>699</v>
      </c>
    </row>
    <row r="344" spans="1:11" x14ac:dyDescent="0.35">
      <c r="A344">
        <f t="shared" si="6"/>
        <v>1.0454545454545454</v>
      </c>
      <c r="C344" s="41">
        <v>7</v>
      </c>
      <c r="E344" s="1" t="s">
        <v>664</v>
      </c>
      <c r="F344" s="34">
        <v>23</v>
      </c>
      <c r="G344" s="46">
        <v>22</v>
      </c>
      <c r="H344" s="11" t="s">
        <v>645</v>
      </c>
      <c r="J344" s="41" t="s">
        <v>818</v>
      </c>
      <c r="K344" t="s">
        <v>1214</v>
      </c>
    </row>
    <row r="345" spans="1:11" x14ac:dyDescent="0.35">
      <c r="A345">
        <f t="shared" si="6"/>
        <v>1.1538461538461537</v>
      </c>
      <c r="C345" s="41">
        <v>8</v>
      </c>
      <c r="E345" s="1" t="s">
        <v>641</v>
      </c>
      <c r="F345" s="34">
        <v>15</v>
      </c>
      <c r="G345" s="46">
        <v>13</v>
      </c>
      <c r="H345" s="11" t="s">
        <v>677</v>
      </c>
      <c r="J345" s="41" t="s">
        <v>773</v>
      </c>
      <c r="K345" t="s">
        <v>1215</v>
      </c>
    </row>
    <row r="346" spans="1:11" x14ac:dyDescent="0.35">
      <c r="A346">
        <f t="shared" si="6"/>
        <v>1.4</v>
      </c>
      <c r="C346" s="41">
        <v>9</v>
      </c>
      <c r="E346" s="1" t="s">
        <v>777</v>
      </c>
      <c r="F346" s="34">
        <v>14</v>
      </c>
      <c r="G346" s="46">
        <v>10</v>
      </c>
      <c r="H346" s="11" t="s">
        <v>582</v>
      </c>
      <c r="J346" s="41" t="s">
        <v>874</v>
      </c>
    </row>
    <row r="347" spans="1:11" x14ac:dyDescent="0.35">
      <c r="A347">
        <f t="shared" si="6"/>
        <v>2.2857142857142856</v>
      </c>
      <c r="C347" s="41">
        <v>10</v>
      </c>
      <c r="E347" s="1" t="s">
        <v>738</v>
      </c>
      <c r="F347" s="34">
        <v>16</v>
      </c>
      <c r="G347" s="46">
        <v>7</v>
      </c>
      <c r="H347" s="11" t="s">
        <v>660</v>
      </c>
      <c r="J347" s="41" t="s">
        <v>741</v>
      </c>
    </row>
    <row r="348" spans="1:11" x14ac:dyDescent="0.35">
      <c r="A348">
        <f t="shared" si="6"/>
        <v>1.125</v>
      </c>
      <c r="C348" s="41">
        <v>11</v>
      </c>
      <c r="E348" s="1" t="s">
        <v>1158</v>
      </c>
      <c r="F348" s="34">
        <v>18</v>
      </c>
      <c r="G348" s="46">
        <v>16</v>
      </c>
      <c r="H348" s="11" t="s">
        <v>1156</v>
      </c>
      <c r="J348" s="41" t="s">
        <v>796</v>
      </c>
    </row>
    <row r="349" spans="1:11" x14ac:dyDescent="0.35">
      <c r="A349">
        <f t="shared" si="6"/>
        <v>2.2000000000000002</v>
      </c>
      <c r="C349" s="41">
        <v>12</v>
      </c>
      <c r="E349" s="1" t="s">
        <v>742</v>
      </c>
      <c r="F349" s="34">
        <v>22</v>
      </c>
      <c r="G349" s="46">
        <v>10</v>
      </c>
      <c r="H349" s="11" t="s">
        <v>465</v>
      </c>
      <c r="J349" s="41" t="s">
        <v>794</v>
      </c>
    </row>
    <row r="350" spans="1:11" x14ac:dyDescent="0.35">
      <c r="A350">
        <f t="shared" si="6"/>
        <v>1.0555555555555556</v>
      </c>
      <c r="C350" s="41">
        <v>13</v>
      </c>
      <c r="E350" s="1" t="s">
        <v>700</v>
      </c>
      <c r="F350" s="34">
        <v>19</v>
      </c>
      <c r="G350" s="46">
        <v>18</v>
      </c>
      <c r="H350" s="11" t="s">
        <v>779</v>
      </c>
      <c r="J350" s="41" t="s">
        <v>719</v>
      </c>
    </row>
    <row r="351" spans="1:11" x14ac:dyDescent="0.35">
      <c r="A351">
        <f t="shared" si="6"/>
        <v>1.6428571428571428</v>
      </c>
      <c r="C351" s="41">
        <v>14</v>
      </c>
      <c r="E351" s="1" t="s">
        <v>774</v>
      </c>
      <c r="F351" s="34">
        <v>23</v>
      </c>
      <c r="G351" s="46">
        <v>14</v>
      </c>
      <c r="H351" s="11" t="s">
        <v>778</v>
      </c>
      <c r="J351" s="41" t="s">
        <v>789</v>
      </c>
    </row>
    <row r="352" spans="1:11" x14ac:dyDescent="0.35">
      <c r="A352">
        <f t="shared" si="6"/>
        <v>1.7</v>
      </c>
      <c r="C352" s="41">
        <v>15</v>
      </c>
      <c r="E352" s="1" t="s">
        <v>784</v>
      </c>
      <c r="F352" s="34">
        <v>17</v>
      </c>
      <c r="G352" s="46">
        <v>10</v>
      </c>
      <c r="H352" s="11" t="s">
        <v>650</v>
      </c>
      <c r="J352" s="41" t="s">
        <v>874</v>
      </c>
    </row>
    <row r="353" spans="1:11" x14ac:dyDescent="0.35">
      <c r="A353">
        <f t="shared" si="6"/>
        <v>1.1333333333333333</v>
      </c>
      <c r="C353" s="41">
        <v>16</v>
      </c>
      <c r="E353" s="1" t="s">
        <v>1163</v>
      </c>
      <c r="F353" s="34">
        <v>17</v>
      </c>
      <c r="G353" s="46">
        <v>15</v>
      </c>
      <c r="H353" s="11" t="s">
        <v>1160</v>
      </c>
      <c r="J353" s="41" t="s">
        <v>988</v>
      </c>
    </row>
    <row r="354" spans="1:11" x14ac:dyDescent="0.35">
      <c r="A354">
        <f t="shared" si="6"/>
        <v>2.125</v>
      </c>
      <c r="C354" s="41">
        <v>17</v>
      </c>
      <c r="E354" s="1" t="s">
        <v>693</v>
      </c>
      <c r="F354" s="34">
        <v>17</v>
      </c>
      <c r="G354" s="46">
        <v>8</v>
      </c>
      <c r="H354" s="11" t="s">
        <v>757</v>
      </c>
      <c r="J354" s="41" t="s">
        <v>934</v>
      </c>
    </row>
    <row r="355" spans="1:11" x14ac:dyDescent="0.35">
      <c r="A355">
        <f t="shared" si="6"/>
        <v>1.0555555555555556</v>
      </c>
      <c r="C355" s="41">
        <v>18</v>
      </c>
      <c r="E355" s="1" t="s">
        <v>1161</v>
      </c>
      <c r="F355" s="34">
        <v>19</v>
      </c>
      <c r="G355" s="46">
        <v>18</v>
      </c>
      <c r="H355" s="11" t="s">
        <v>1162</v>
      </c>
      <c r="J355" s="41" t="s">
        <v>786</v>
      </c>
      <c r="K355" t="s">
        <v>1216</v>
      </c>
    </row>
    <row r="356" spans="1:11" x14ac:dyDescent="0.35">
      <c r="A356">
        <f t="shared" si="6"/>
        <v>1.5</v>
      </c>
      <c r="C356" s="41">
        <v>19</v>
      </c>
      <c r="E356" s="1" t="s">
        <v>718</v>
      </c>
      <c r="F356" s="34">
        <v>15</v>
      </c>
      <c r="G356" s="46">
        <v>10</v>
      </c>
      <c r="H356" s="11" t="s">
        <v>772</v>
      </c>
      <c r="J356" s="41" t="s">
        <v>773</v>
      </c>
    </row>
    <row r="357" spans="1:11" x14ac:dyDescent="0.35">
      <c r="A357">
        <f t="shared" si="6"/>
        <v>1.6</v>
      </c>
      <c r="C357" s="41">
        <v>20</v>
      </c>
      <c r="D357" s="34">
        <v>18</v>
      </c>
      <c r="E357" s="1" t="s">
        <v>755</v>
      </c>
      <c r="F357" s="34">
        <v>16</v>
      </c>
      <c r="G357" s="46">
        <v>10</v>
      </c>
      <c r="H357" s="11" t="s">
        <v>743</v>
      </c>
      <c r="J357" s="41" t="s">
        <v>707</v>
      </c>
    </row>
    <row r="358" spans="1:11" x14ac:dyDescent="0.35">
      <c r="A358">
        <f t="shared" si="6"/>
        <v>1.1333333333333333</v>
      </c>
      <c r="C358" s="41">
        <v>21</v>
      </c>
      <c r="E358" s="1" t="s">
        <v>692</v>
      </c>
      <c r="F358" s="34">
        <v>17</v>
      </c>
      <c r="G358" s="46">
        <v>15</v>
      </c>
      <c r="H358" s="11" t="s">
        <v>753</v>
      </c>
      <c r="J358" s="41" t="s">
        <v>724</v>
      </c>
    </row>
    <row r="359" spans="1:11" x14ac:dyDescent="0.35">
      <c r="A359">
        <f t="shared" si="6"/>
        <v>1.0454545454545454</v>
      </c>
      <c r="C359" s="41">
        <v>22</v>
      </c>
      <c r="E359" s="1" t="s">
        <v>765</v>
      </c>
      <c r="F359" s="34">
        <v>23</v>
      </c>
      <c r="G359" s="46">
        <v>22</v>
      </c>
      <c r="H359" s="11" t="s">
        <v>723</v>
      </c>
      <c r="J359" s="41" t="s">
        <v>1217</v>
      </c>
      <c r="K359" t="s">
        <v>1218</v>
      </c>
    </row>
    <row r="360" spans="1:11" x14ac:dyDescent="0.35">
      <c r="A360">
        <f t="shared" si="6"/>
        <v>1.0555555555555556</v>
      </c>
      <c r="C360" s="41">
        <v>23</v>
      </c>
      <c r="E360" s="1" t="s">
        <v>640</v>
      </c>
      <c r="F360" s="34">
        <v>19</v>
      </c>
      <c r="G360" s="46">
        <v>18</v>
      </c>
      <c r="H360" s="11" t="s">
        <v>676</v>
      </c>
      <c r="I360" s="46">
        <v>20</v>
      </c>
      <c r="J360" s="41" t="s">
        <v>1219</v>
      </c>
      <c r="K360" t="s">
        <v>1220</v>
      </c>
    </row>
    <row r="361" spans="1:11" x14ac:dyDescent="0.35">
      <c r="A361">
        <f t="shared" si="6"/>
        <v>1.2</v>
      </c>
      <c r="C361" s="41">
        <v>24</v>
      </c>
      <c r="E361" s="1" t="s">
        <v>1165</v>
      </c>
      <c r="F361" s="34">
        <v>18</v>
      </c>
      <c r="G361" s="46">
        <v>15</v>
      </c>
      <c r="H361" s="11" t="s">
        <v>1164</v>
      </c>
      <c r="J361" s="41" t="s">
        <v>702</v>
      </c>
      <c r="K361" t="s">
        <v>1221</v>
      </c>
    </row>
    <row r="362" spans="1:11" x14ac:dyDescent="0.35">
      <c r="A362">
        <f t="shared" si="6"/>
        <v>1.7777777777777777</v>
      </c>
      <c r="C362" s="41">
        <v>25</v>
      </c>
      <c r="E362" s="1" t="s">
        <v>661</v>
      </c>
      <c r="F362" s="34">
        <v>16</v>
      </c>
      <c r="G362" s="46">
        <v>9</v>
      </c>
      <c r="H362" s="11" t="s">
        <v>722</v>
      </c>
      <c r="J362" s="41" t="s">
        <v>789</v>
      </c>
    </row>
    <row r="363" spans="1:11" x14ac:dyDescent="0.35">
      <c r="A363">
        <f t="shared" si="6"/>
        <v>1.3333333333333333</v>
      </c>
      <c r="C363" s="41">
        <v>26</v>
      </c>
      <c r="D363" s="34">
        <v>14</v>
      </c>
      <c r="E363" s="1" t="s">
        <v>644</v>
      </c>
      <c r="F363" s="34">
        <v>24</v>
      </c>
      <c r="G363" s="46">
        <v>18</v>
      </c>
      <c r="H363" s="11" t="s">
        <v>680</v>
      </c>
      <c r="J363" s="41" t="s">
        <v>991</v>
      </c>
    </row>
    <row r="364" spans="1:11" x14ac:dyDescent="0.35">
      <c r="A364">
        <f t="shared" si="6"/>
        <v>1.5</v>
      </c>
      <c r="C364" s="41">
        <v>27</v>
      </c>
      <c r="E364" s="1" t="s">
        <v>466</v>
      </c>
      <c r="F364" s="34">
        <v>15</v>
      </c>
      <c r="G364" s="46">
        <v>10</v>
      </c>
      <c r="H364" s="11" t="s">
        <v>732</v>
      </c>
      <c r="J364" s="41" t="s">
        <v>748</v>
      </c>
    </row>
    <row r="365" spans="1:11" x14ac:dyDescent="0.35">
      <c r="A365">
        <f t="shared" si="6"/>
        <v>2</v>
      </c>
      <c r="C365" s="41">
        <v>28</v>
      </c>
      <c r="D365" s="34">
        <v>23</v>
      </c>
      <c r="E365" s="1" t="s">
        <v>468</v>
      </c>
      <c r="F365" s="34">
        <v>12</v>
      </c>
      <c r="G365" s="46">
        <v>6</v>
      </c>
      <c r="H365" s="11" t="s">
        <v>666</v>
      </c>
      <c r="J365" s="41" t="s">
        <v>741</v>
      </c>
    </row>
    <row r="366" spans="1:11" x14ac:dyDescent="0.35">
      <c r="A366">
        <f t="shared" si="6"/>
        <v>1.6363636363636365</v>
      </c>
      <c r="C366" s="41">
        <v>29</v>
      </c>
      <c r="E366" s="1" t="s">
        <v>679</v>
      </c>
      <c r="F366" s="34">
        <v>18</v>
      </c>
      <c r="G366" s="46">
        <v>11</v>
      </c>
      <c r="H366" s="11" t="s">
        <v>712</v>
      </c>
      <c r="J366" s="41" t="s">
        <v>789</v>
      </c>
    </row>
    <row r="367" spans="1:11" x14ac:dyDescent="0.35">
      <c r="A367">
        <f t="shared" si="6"/>
        <v>1.1875</v>
      </c>
      <c r="C367" s="41">
        <v>30</v>
      </c>
      <c r="D367" s="34">
        <v>15</v>
      </c>
      <c r="E367" s="1" t="s">
        <v>761</v>
      </c>
      <c r="F367" s="34">
        <v>19</v>
      </c>
      <c r="G367" s="46">
        <v>16</v>
      </c>
      <c r="H367" s="11" t="s">
        <v>758</v>
      </c>
      <c r="J367" s="41" t="s">
        <v>952</v>
      </c>
    </row>
    <row r="368" spans="1:11" x14ac:dyDescent="0.35">
      <c r="A368">
        <f t="shared" si="6"/>
        <v>1.2352941176470589</v>
      </c>
      <c r="C368" s="41">
        <v>31</v>
      </c>
      <c r="D368" s="34">
        <v>19</v>
      </c>
      <c r="E368" s="1" t="s">
        <v>643</v>
      </c>
      <c r="F368" s="34">
        <v>21</v>
      </c>
      <c r="G368" s="46">
        <v>17</v>
      </c>
      <c r="H368" s="11" t="s">
        <v>673</v>
      </c>
      <c r="J368" s="41" t="s">
        <v>910</v>
      </c>
    </row>
    <row r="369" spans="1:11" x14ac:dyDescent="0.35">
      <c r="A369">
        <f t="shared" si="6"/>
        <v>1.8181818181818181</v>
      </c>
      <c r="C369" s="41">
        <v>32</v>
      </c>
      <c r="E369" s="1" t="s">
        <v>671</v>
      </c>
      <c r="F369" s="34">
        <v>20</v>
      </c>
      <c r="G369" s="46">
        <v>11</v>
      </c>
      <c r="H369" s="11" t="s">
        <v>704</v>
      </c>
      <c r="J369" s="41" t="s">
        <v>839</v>
      </c>
    </row>
    <row r="370" spans="1:11" x14ac:dyDescent="0.35">
      <c r="A370">
        <f t="shared" si="6"/>
        <v>2.2307692307692308</v>
      </c>
      <c r="C370" s="41">
        <v>33</v>
      </c>
      <c r="D370" s="34">
        <v>4</v>
      </c>
      <c r="E370" s="1" t="s">
        <v>746</v>
      </c>
      <c r="F370" s="34">
        <v>29</v>
      </c>
      <c r="G370" s="46">
        <v>13</v>
      </c>
      <c r="H370" s="11" t="s">
        <v>737</v>
      </c>
      <c r="J370" s="41" t="s">
        <v>1179</v>
      </c>
      <c r="K370" t="s">
        <v>1222</v>
      </c>
    </row>
    <row r="371" spans="1:11" x14ac:dyDescent="0.35">
      <c r="A371">
        <f t="shared" si="6"/>
        <v>1.0769230769230769</v>
      </c>
      <c r="C371" s="41">
        <v>34</v>
      </c>
      <c r="E371" s="1" t="s">
        <v>665</v>
      </c>
      <c r="F371" s="34">
        <v>14</v>
      </c>
      <c r="G371" s="46">
        <v>13</v>
      </c>
      <c r="H371" s="11" t="s">
        <v>764</v>
      </c>
      <c r="I371" s="46">
        <v>22</v>
      </c>
      <c r="J371" s="41" t="s">
        <v>773</v>
      </c>
    </row>
    <row r="372" spans="1:11" x14ac:dyDescent="0.35">
      <c r="A372">
        <f t="shared" si="6"/>
        <v>1.0666666666666667</v>
      </c>
      <c r="C372" s="41">
        <v>35</v>
      </c>
      <c r="E372" s="1" t="s">
        <v>701</v>
      </c>
      <c r="F372" s="34">
        <v>16</v>
      </c>
      <c r="G372" s="46">
        <v>15</v>
      </c>
      <c r="H372" s="11" t="s">
        <v>713</v>
      </c>
      <c r="I372" s="46">
        <v>13</v>
      </c>
      <c r="J372" s="41" t="s">
        <v>702</v>
      </c>
    </row>
    <row r="373" spans="1:11" x14ac:dyDescent="0.35">
      <c r="A373">
        <f t="shared" si="6"/>
        <v>1.037037037037037</v>
      </c>
      <c r="C373" s="41">
        <v>36</v>
      </c>
      <c r="E373" s="1" t="s">
        <v>681</v>
      </c>
      <c r="F373" s="34">
        <v>28</v>
      </c>
      <c r="G373" s="46">
        <v>27</v>
      </c>
      <c r="H373" s="11" t="s">
        <v>651</v>
      </c>
      <c r="J373" s="41" t="s">
        <v>808</v>
      </c>
      <c r="K373" t="s">
        <v>1223</v>
      </c>
    </row>
    <row r="374" spans="1:11" x14ac:dyDescent="0.35">
      <c r="A374">
        <f t="shared" si="6"/>
        <v>2.4545454545454546</v>
      </c>
      <c r="C374" s="41">
        <v>37</v>
      </c>
      <c r="D374" s="34">
        <v>11</v>
      </c>
      <c r="E374" s="1" t="s">
        <v>1157</v>
      </c>
      <c r="F374" s="34">
        <v>27</v>
      </c>
      <c r="G374" s="46">
        <v>11</v>
      </c>
      <c r="H374" s="11" t="s">
        <v>1155</v>
      </c>
      <c r="J374" s="41" t="s">
        <v>748</v>
      </c>
    </row>
    <row r="375" spans="1:11" x14ac:dyDescent="0.35">
      <c r="A375">
        <f t="shared" si="6"/>
        <v>2.6</v>
      </c>
      <c r="C375" s="41">
        <v>38</v>
      </c>
      <c r="D375" s="34">
        <v>2</v>
      </c>
      <c r="E375" s="1" t="s">
        <v>467</v>
      </c>
      <c r="F375" s="34">
        <v>26</v>
      </c>
      <c r="G375" s="46">
        <v>10</v>
      </c>
      <c r="H375" s="11" t="s">
        <v>792</v>
      </c>
      <c r="J375" s="41" t="s">
        <v>699</v>
      </c>
    </row>
    <row r="376" spans="1:11" x14ac:dyDescent="0.35">
      <c r="A376">
        <f t="shared" si="6"/>
        <v>1.125</v>
      </c>
      <c r="C376" s="41">
        <v>39</v>
      </c>
      <c r="E376" s="1" t="s">
        <v>767</v>
      </c>
      <c r="F376" s="34">
        <v>18</v>
      </c>
      <c r="G376" s="46">
        <v>16</v>
      </c>
      <c r="H376" s="11" t="s">
        <v>242</v>
      </c>
      <c r="I376" s="46">
        <v>8</v>
      </c>
      <c r="J376" s="41" t="s">
        <v>796</v>
      </c>
    </row>
    <row r="377" spans="1:11" x14ac:dyDescent="0.35">
      <c r="A377">
        <f t="shared" si="6"/>
        <v>1.4285714285714286</v>
      </c>
      <c r="C377" s="41">
        <v>40</v>
      </c>
      <c r="E377" s="1" t="s">
        <v>642</v>
      </c>
      <c r="F377" s="34">
        <v>20</v>
      </c>
      <c r="G377" s="46">
        <v>14</v>
      </c>
      <c r="H377" s="11" t="s">
        <v>709</v>
      </c>
      <c r="J377" s="41" t="s">
        <v>793</v>
      </c>
    </row>
    <row r="378" spans="1:11" x14ac:dyDescent="0.35">
      <c r="A378">
        <f t="shared" si="6"/>
        <v>2.2857142857142856</v>
      </c>
      <c r="C378" s="41">
        <v>41</v>
      </c>
      <c r="D378" s="34">
        <v>3</v>
      </c>
      <c r="E378" s="1" t="s">
        <v>720</v>
      </c>
      <c r="F378" s="34">
        <v>16</v>
      </c>
      <c r="G378" s="46">
        <v>7</v>
      </c>
      <c r="H378" s="11" t="s">
        <v>756</v>
      </c>
      <c r="J378" s="41" t="s">
        <v>874</v>
      </c>
    </row>
    <row r="379" spans="1:11" x14ac:dyDescent="0.35">
      <c r="A379">
        <f t="shared" si="6"/>
        <v>1.4</v>
      </c>
      <c r="C379" s="41">
        <v>42</v>
      </c>
      <c r="D379" s="34">
        <v>1</v>
      </c>
      <c r="E379" s="1" t="s">
        <v>731</v>
      </c>
      <c r="F379" s="34">
        <v>14</v>
      </c>
      <c r="G379" s="46">
        <v>10</v>
      </c>
      <c r="H379" s="11" t="s">
        <v>672</v>
      </c>
      <c r="J379" s="41" t="s">
        <v>741</v>
      </c>
    </row>
    <row r="380" spans="1:11" x14ac:dyDescent="0.35">
      <c r="A380">
        <f t="shared" si="6"/>
        <v>1.0625</v>
      </c>
      <c r="C380" s="41">
        <v>43</v>
      </c>
      <c r="D380" s="34">
        <v>24</v>
      </c>
      <c r="E380" s="1" t="s">
        <v>649</v>
      </c>
      <c r="F380" s="34">
        <v>17</v>
      </c>
      <c r="G380" s="46">
        <v>16</v>
      </c>
      <c r="H380" s="11" t="s">
        <v>763</v>
      </c>
      <c r="J380" s="41" t="s">
        <v>851</v>
      </c>
    </row>
    <row r="381" spans="1:11" x14ac:dyDescent="0.35">
      <c r="A381">
        <f t="shared" si="6"/>
        <v>1.5333333333333334</v>
      </c>
      <c r="C381" s="41">
        <v>44</v>
      </c>
      <c r="D381" s="34">
        <v>5</v>
      </c>
      <c r="E381" s="1" t="s">
        <v>785</v>
      </c>
      <c r="F381" s="34">
        <v>23</v>
      </c>
      <c r="G381" s="46">
        <v>15</v>
      </c>
      <c r="H381" s="11" t="s">
        <v>780</v>
      </c>
      <c r="J381" s="41" t="s">
        <v>928</v>
      </c>
    </row>
    <row r="382" spans="1:11" x14ac:dyDescent="0.35">
      <c r="A382">
        <f t="shared" si="6"/>
        <v>2.1818181818181817</v>
      </c>
      <c r="C382" s="41">
        <v>45</v>
      </c>
      <c r="E382" s="1" t="s">
        <v>648</v>
      </c>
      <c r="F382" s="34">
        <v>24</v>
      </c>
      <c r="G382" s="46">
        <v>11</v>
      </c>
      <c r="H382" s="11" t="s">
        <v>670</v>
      </c>
      <c r="I382" s="46">
        <v>10</v>
      </c>
      <c r="J382" s="41" t="s">
        <v>1006</v>
      </c>
    </row>
    <row r="383" spans="1:11" x14ac:dyDescent="0.35">
      <c r="A383">
        <f t="shared" si="6"/>
        <v>2.5454545454545454</v>
      </c>
      <c r="C383" s="41">
        <v>46</v>
      </c>
      <c r="E383" s="1" t="s">
        <v>647</v>
      </c>
      <c r="F383" s="34">
        <v>28</v>
      </c>
      <c r="G383" s="46">
        <v>11</v>
      </c>
      <c r="H383" s="11" t="s">
        <v>783</v>
      </c>
      <c r="I383" s="46">
        <v>16</v>
      </c>
      <c r="J383" s="41" t="s">
        <v>1224</v>
      </c>
      <c r="K383" t="s">
        <v>1225</v>
      </c>
    </row>
    <row r="384" spans="1:11" x14ac:dyDescent="0.35">
      <c r="A384">
        <f t="shared" si="6"/>
        <v>1.1666666666666667</v>
      </c>
      <c r="C384" s="41">
        <v>47</v>
      </c>
      <c r="D384" s="34">
        <v>12</v>
      </c>
      <c r="E384" s="1" t="s">
        <v>734</v>
      </c>
      <c r="F384" s="34">
        <v>21</v>
      </c>
      <c r="G384" s="46">
        <v>18</v>
      </c>
      <c r="H384" s="11" t="s">
        <v>729</v>
      </c>
      <c r="I384" s="46">
        <v>25</v>
      </c>
      <c r="J384" s="41" t="s">
        <v>907</v>
      </c>
    </row>
    <row r="385" spans="1:11" ht="15" thickBot="1" x14ac:dyDescent="0.4">
      <c r="A385">
        <f t="shared" si="6"/>
        <v>1.3846153846153846</v>
      </c>
      <c r="C385" s="42">
        <v>48</v>
      </c>
      <c r="D385" s="49">
        <v>6</v>
      </c>
      <c r="E385" s="45" t="s">
        <v>663</v>
      </c>
      <c r="F385" s="49">
        <v>18</v>
      </c>
      <c r="G385" s="50">
        <v>13</v>
      </c>
      <c r="H385" s="51" t="s">
        <v>245</v>
      </c>
      <c r="I385" s="50">
        <v>7</v>
      </c>
      <c r="J385" s="40" t="s">
        <v>773</v>
      </c>
      <c r="K385" s="40"/>
    </row>
    <row r="386" spans="1:11" x14ac:dyDescent="0.35">
      <c r="A386">
        <f t="shared" si="6"/>
        <v>2.0769230769230771</v>
      </c>
      <c r="B386" t="s">
        <v>1106</v>
      </c>
      <c r="C386" s="41">
        <v>1</v>
      </c>
      <c r="E386" s="1" t="s">
        <v>671</v>
      </c>
      <c r="F386" s="34">
        <v>27</v>
      </c>
      <c r="G386" s="46">
        <v>13</v>
      </c>
      <c r="H386" s="11" t="s">
        <v>706</v>
      </c>
      <c r="J386" s="41" t="s">
        <v>744</v>
      </c>
    </row>
    <row r="387" spans="1:11" x14ac:dyDescent="0.35">
      <c r="A387">
        <f t="shared" ref="A387:A450" si="7">(F387/G387)</f>
        <v>1.5333333333333334</v>
      </c>
      <c r="C387" s="41">
        <v>2</v>
      </c>
      <c r="E387" s="1" t="s">
        <v>760</v>
      </c>
      <c r="F387" s="34">
        <v>23</v>
      </c>
      <c r="G387" s="46">
        <v>15</v>
      </c>
      <c r="H387" s="11" t="s">
        <v>763</v>
      </c>
      <c r="J387" s="41" t="s">
        <v>931</v>
      </c>
    </row>
    <row r="388" spans="1:11" x14ac:dyDescent="0.35">
      <c r="A388">
        <f t="shared" si="7"/>
        <v>5.4</v>
      </c>
      <c r="C388" s="41">
        <v>3</v>
      </c>
      <c r="E388" s="1" t="s">
        <v>692</v>
      </c>
      <c r="F388" s="34">
        <v>27</v>
      </c>
      <c r="G388" s="46">
        <v>5</v>
      </c>
      <c r="H388" s="11" t="s">
        <v>678</v>
      </c>
      <c r="J388" s="41" t="s">
        <v>794</v>
      </c>
    </row>
    <row r="389" spans="1:11" x14ac:dyDescent="0.35">
      <c r="A389">
        <f t="shared" si="7"/>
        <v>1.7692307692307692</v>
      </c>
      <c r="C389" s="41">
        <v>4</v>
      </c>
      <c r="E389" s="1" t="s">
        <v>771</v>
      </c>
      <c r="F389" s="34">
        <v>23</v>
      </c>
      <c r="G389" s="46">
        <v>13</v>
      </c>
      <c r="H389" s="11" t="s">
        <v>650</v>
      </c>
      <c r="J389" s="41" t="s">
        <v>699</v>
      </c>
    </row>
    <row r="390" spans="1:11" x14ac:dyDescent="0.35">
      <c r="A390">
        <f t="shared" si="7"/>
        <v>1.1428571428571428</v>
      </c>
      <c r="C390" s="41">
        <v>5</v>
      </c>
      <c r="E390" s="1" t="s">
        <v>756</v>
      </c>
      <c r="F390" s="34">
        <v>24</v>
      </c>
      <c r="G390" s="46">
        <v>21</v>
      </c>
      <c r="H390" s="11" t="s">
        <v>726</v>
      </c>
      <c r="J390" s="41" t="s">
        <v>702</v>
      </c>
    </row>
    <row r="391" spans="1:11" x14ac:dyDescent="0.35">
      <c r="A391">
        <f t="shared" si="7"/>
        <v>1.0625</v>
      </c>
      <c r="C391" s="41">
        <v>6</v>
      </c>
      <c r="E391" s="1" t="s">
        <v>645</v>
      </c>
      <c r="F391" s="34">
        <v>17</v>
      </c>
      <c r="G391" s="46">
        <v>16</v>
      </c>
      <c r="H391" s="11" t="s">
        <v>1156</v>
      </c>
      <c r="J391" s="41" t="s">
        <v>702</v>
      </c>
    </row>
    <row r="392" spans="1:11" x14ac:dyDescent="0.35">
      <c r="A392">
        <f t="shared" si="7"/>
        <v>1.2307692307692308</v>
      </c>
      <c r="C392" s="41">
        <v>7</v>
      </c>
      <c r="E392" s="1" t="s">
        <v>660</v>
      </c>
      <c r="F392" s="34">
        <v>16</v>
      </c>
      <c r="G392" s="46">
        <v>13</v>
      </c>
      <c r="H392" s="11" t="s">
        <v>765</v>
      </c>
      <c r="J392" s="41" t="s">
        <v>874</v>
      </c>
    </row>
    <row r="393" spans="1:11" x14ac:dyDescent="0.35">
      <c r="A393">
        <f t="shared" si="7"/>
        <v>1.3529411764705883</v>
      </c>
      <c r="C393" s="41">
        <v>8</v>
      </c>
      <c r="E393" s="1" t="s">
        <v>729</v>
      </c>
      <c r="F393" s="34">
        <v>23</v>
      </c>
      <c r="G393" s="46">
        <v>17</v>
      </c>
      <c r="H393" s="11" t="s">
        <v>677</v>
      </c>
      <c r="J393" s="41" t="s">
        <v>972</v>
      </c>
      <c r="K393" t="s">
        <v>1226</v>
      </c>
    </row>
    <row r="394" spans="1:11" x14ac:dyDescent="0.35">
      <c r="A394">
        <f t="shared" si="7"/>
        <v>1.8</v>
      </c>
      <c r="C394" s="41">
        <v>9</v>
      </c>
      <c r="E394" s="1" t="s">
        <v>779</v>
      </c>
      <c r="F394" s="34">
        <v>9</v>
      </c>
      <c r="G394" s="46">
        <v>5</v>
      </c>
      <c r="H394" s="11" t="s">
        <v>747</v>
      </c>
      <c r="I394" s="46">
        <v>25</v>
      </c>
      <c r="J394" s="41" t="s">
        <v>969</v>
      </c>
    </row>
    <row r="395" spans="1:11" x14ac:dyDescent="0.35">
      <c r="A395">
        <f t="shared" si="7"/>
        <v>1.4285714285714286</v>
      </c>
      <c r="C395" s="41">
        <v>10</v>
      </c>
      <c r="E395" s="1" t="s">
        <v>700</v>
      </c>
      <c r="F395" s="34">
        <v>20</v>
      </c>
      <c r="G395" s="46">
        <v>14</v>
      </c>
      <c r="H395" s="11" t="s">
        <v>716</v>
      </c>
      <c r="J395" s="41" t="s">
        <v>910</v>
      </c>
    </row>
    <row r="396" spans="1:11" x14ac:dyDescent="0.35">
      <c r="A396">
        <f t="shared" si="7"/>
        <v>1.0714285714285714</v>
      </c>
      <c r="C396" s="41">
        <v>11</v>
      </c>
      <c r="E396" s="1" t="s">
        <v>642</v>
      </c>
      <c r="F396" s="34">
        <v>15</v>
      </c>
      <c r="G396" s="46">
        <v>14</v>
      </c>
      <c r="H396" s="11" t="s">
        <v>582</v>
      </c>
      <c r="J396" s="41" t="s">
        <v>702</v>
      </c>
      <c r="K396" t="s">
        <v>1227</v>
      </c>
    </row>
    <row r="397" spans="1:11" x14ac:dyDescent="0.35">
      <c r="A397">
        <f t="shared" si="7"/>
        <v>1.3076923076923077</v>
      </c>
      <c r="C397" s="41">
        <v>12</v>
      </c>
      <c r="E397" s="1" t="s">
        <v>709</v>
      </c>
      <c r="F397" s="34">
        <v>17</v>
      </c>
      <c r="G397" s="46">
        <v>13</v>
      </c>
      <c r="H397" s="11" t="s">
        <v>777</v>
      </c>
      <c r="J397" s="41" t="s">
        <v>796</v>
      </c>
    </row>
    <row r="398" spans="1:11" x14ac:dyDescent="0.35">
      <c r="A398">
        <f t="shared" si="7"/>
        <v>1.5833333333333333</v>
      </c>
      <c r="C398" s="41">
        <v>13</v>
      </c>
      <c r="D398" s="34">
        <v>16</v>
      </c>
      <c r="E398" s="1" t="s">
        <v>647</v>
      </c>
      <c r="F398" s="34">
        <v>19</v>
      </c>
      <c r="G398" s="46">
        <v>12</v>
      </c>
      <c r="H398" s="11" t="s">
        <v>465</v>
      </c>
      <c r="J398" s="41" t="s">
        <v>769</v>
      </c>
    </row>
    <row r="399" spans="1:11" x14ac:dyDescent="0.35">
      <c r="A399">
        <f t="shared" si="7"/>
        <v>1.2857142857142858</v>
      </c>
      <c r="C399" s="41">
        <v>14</v>
      </c>
      <c r="D399" s="34">
        <v>24</v>
      </c>
      <c r="E399" s="1" t="s">
        <v>783</v>
      </c>
      <c r="F399" s="34">
        <v>18</v>
      </c>
      <c r="G399" s="46">
        <v>14</v>
      </c>
      <c r="H399" s="11" t="s">
        <v>742</v>
      </c>
      <c r="J399" s="41" t="s">
        <v>699</v>
      </c>
    </row>
    <row r="400" spans="1:11" x14ac:dyDescent="0.35">
      <c r="A400">
        <f t="shared" si="7"/>
        <v>1.8333333333333333</v>
      </c>
      <c r="C400" s="41">
        <v>15</v>
      </c>
      <c r="E400" s="1" t="s">
        <v>1158</v>
      </c>
      <c r="F400" s="34">
        <v>11</v>
      </c>
      <c r="G400" s="46">
        <v>6</v>
      </c>
      <c r="H400" s="11" t="s">
        <v>664</v>
      </c>
      <c r="J400" s="41" t="s">
        <v>775</v>
      </c>
    </row>
    <row r="401" spans="1:11" x14ac:dyDescent="0.35">
      <c r="A401">
        <f t="shared" si="7"/>
        <v>1.25</v>
      </c>
      <c r="C401" s="41">
        <v>16</v>
      </c>
      <c r="E401" s="1" t="s">
        <v>651</v>
      </c>
      <c r="F401" s="34">
        <v>20</v>
      </c>
      <c r="G401" s="46">
        <v>16</v>
      </c>
      <c r="H401" s="11" t="s">
        <v>1162</v>
      </c>
      <c r="J401" s="41" t="s">
        <v>796</v>
      </c>
    </row>
    <row r="402" spans="1:11" x14ac:dyDescent="0.35">
      <c r="A402">
        <f t="shared" si="7"/>
        <v>1.5833333333333333</v>
      </c>
      <c r="C402" s="41">
        <v>17</v>
      </c>
      <c r="D402" s="34">
        <v>4</v>
      </c>
      <c r="E402" s="1" t="s">
        <v>785</v>
      </c>
      <c r="F402" s="34">
        <v>19</v>
      </c>
      <c r="G402" s="46">
        <v>12</v>
      </c>
      <c r="H402" s="11" t="s">
        <v>772</v>
      </c>
      <c r="J402" s="41" t="s">
        <v>710</v>
      </c>
    </row>
    <row r="403" spans="1:11" x14ac:dyDescent="0.35">
      <c r="A403">
        <f t="shared" si="7"/>
        <v>1.2727272727272727</v>
      </c>
      <c r="C403" s="41">
        <v>18</v>
      </c>
      <c r="D403" s="34">
        <v>5</v>
      </c>
      <c r="E403" s="1" t="s">
        <v>746</v>
      </c>
      <c r="F403" s="34">
        <v>14</v>
      </c>
      <c r="G403" s="46">
        <v>11</v>
      </c>
      <c r="H403" s="11" t="s">
        <v>743</v>
      </c>
      <c r="J403" s="41" t="s">
        <v>857</v>
      </c>
    </row>
    <row r="404" spans="1:11" x14ac:dyDescent="0.35">
      <c r="A404">
        <f t="shared" si="7"/>
        <v>1.6470588235294117</v>
      </c>
      <c r="C404" s="41">
        <v>19</v>
      </c>
      <c r="D404" s="34">
        <v>10</v>
      </c>
      <c r="E404" s="1" t="s">
        <v>750</v>
      </c>
      <c r="F404" s="34">
        <v>28</v>
      </c>
      <c r="G404" s="46">
        <v>17</v>
      </c>
      <c r="H404" s="11" t="s">
        <v>753</v>
      </c>
      <c r="J404" s="41" t="s">
        <v>910</v>
      </c>
    </row>
    <row r="405" spans="1:11" x14ac:dyDescent="0.35">
      <c r="A405">
        <f t="shared" si="7"/>
        <v>1.7777777777777777</v>
      </c>
      <c r="C405" s="41">
        <v>20</v>
      </c>
      <c r="E405" s="1" t="s">
        <v>1161</v>
      </c>
      <c r="F405" s="34">
        <v>16</v>
      </c>
      <c r="G405" s="46">
        <v>9</v>
      </c>
      <c r="H405" s="11" t="s">
        <v>681</v>
      </c>
      <c r="I405" s="46">
        <v>23</v>
      </c>
      <c r="J405" s="41" t="s">
        <v>874</v>
      </c>
    </row>
    <row r="406" spans="1:11" x14ac:dyDescent="0.35">
      <c r="A406">
        <f t="shared" si="7"/>
        <v>1.2105263157894737</v>
      </c>
      <c r="C406" s="41">
        <v>21</v>
      </c>
      <c r="E406" s="1" t="s">
        <v>723</v>
      </c>
      <c r="F406" s="34">
        <v>23</v>
      </c>
      <c r="G406" s="46">
        <v>19</v>
      </c>
      <c r="H406" s="11" t="s">
        <v>738</v>
      </c>
      <c r="J406" s="41" t="s">
        <v>702</v>
      </c>
    </row>
    <row r="407" spans="1:11" x14ac:dyDescent="0.35">
      <c r="A407">
        <f t="shared" si="7"/>
        <v>1.5555555555555556</v>
      </c>
      <c r="C407" s="41">
        <v>22</v>
      </c>
      <c r="E407" s="1" t="s">
        <v>641</v>
      </c>
      <c r="F407" s="34">
        <v>28</v>
      </c>
      <c r="G407" s="46">
        <v>18</v>
      </c>
      <c r="H407" s="11" t="s">
        <v>734</v>
      </c>
      <c r="I407" s="46">
        <v>8</v>
      </c>
      <c r="J407" s="41" t="s">
        <v>1188</v>
      </c>
    </row>
    <row r="408" spans="1:11" x14ac:dyDescent="0.35">
      <c r="A408">
        <f t="shared" si="7"/>
        <v>1.0909090909090908</v>
      </c>
      <c r="C408" s="41">
        <v>23</v>
      </c>
      <c r="E408" s="1" t="s">
        <v>1164</v>
      </c>
      <c r="F408" s="34">
        <v>12</v>
      </c>
      <c r="G408" s="46">
        <v>11</v>
      </c>
      <c r="H408" s="11" t="s">
        <v>1163</v>
      </c>
      <c r="J408" s="41" t="s">
        <v>842</v>
      </c>
    </row>
    <row r="409" spans="1:11" x14ac:dyDescent="0.35">
      <c r="A409">
        <f t="shared" si="7"/>
        <v>1.8333333333333333</v>
      </c>
      <c r="C409" s="41">
        <v>24</v>
      </c>
      <c r="D409" s="34">
        <v>1</v>
      </c>
      <c r="E409" s="1" t="s">
        <v>467</v>
      </c>
      <c r="F409" s="34">
        <v>22</v>
      </c>
      <c r="G409" s="46">
        <v>12</v>
      </c>
      <c r="H409" s="11" t="s">
        <v>712</v>
      </c>
      <c r="J409" s="41" t="s">
        <v>727</v>
      </c>
    </row>
    <row r="410" spans="1:11" x14ac:dyDescent="0.35">
      <c r="A410">
        <f t="shared" si="7"/>
        <v>1.6</v>
      </c>
      <c r="C410" s="41">
        <v>25</v>
      </c>
      <c r="E410" s="1" t="s">
        <v>784</v>
      </c>
      <c r="F410" s="34">
        <v>16</v>
      </c>
      <c r="G410" s="46">
        <v>10</v>
      </c>
      <c r="H410" s="11" t="s">
        <v>776</v>
      </c>
      <c r="J410" s="41" t="s">
        <v>820</v>
      </c>
    </row>
    <row r="411" spans="1:11" x14ac:dyDescent="0.35">
      <c r="A411">
        <f t="shared" si="7"/>
        <v>1.5833333333333333</v>
      </c>
      <c r="C411" s="41">
        <v>26</v>
      </c>
      <c r="D411" s="34">
        <v>7</v>
      </c>
      <c r="E411" s="1" t="s">
        <v>1157</v>
      </c>
      <c r="F411" s="34">
        <v>19</v>
      </c>
      <c r="G411" s="46">
        <v>12</v>
      </c>
      <c r="H411" s="11" t="s">
        <v>666</v>
      </c>
      <c r="J411" s="41" t="s">
        <v>719</v>
      </c>
    </row>
    <row r="412" spans="1:11" x14ac:dyDescent="0.35">
      <c r="A412">
        <f t="shared" si="7"/>
        <v>1.25</v>
      </c>
      <c r="C412" s="41">
        <v>27</v>
      </c>
      <c r="E412" s="1" t="s">
        <v>680</v>
      </c>
      <c r="F412" s="34">
        <v>25</v>
      </c>
      <c r="G412" s="46">
        <v>20</v>
      </c>
      <c r="H412" s="11" t="s">
        <v>665</v>
      </c>
      <c r="J412" s="41" t="s">
        <v>859</v>
      </c>
    </row>
    <row r="413" spans="1:11" x14ac:dyDescent="0.35">
      <c r="A413">
        <f t="shared" si="7"/>
        <v>4.166666666666667</v>
      </c>
      <c r="C413" s="41">
        <v>28</v>
      </c>
      <c r="D413" s="34">
        <v>9</v>
      </c>
      <c r="E413" s="1" t="s">
        <v>245</v>
      </c>
      <c r="F413" s="34">
        <v>25</v>
      </c>
      <c r="G413" s="46">
        <v>6</v>
      </c>
      <c r="H413" s="11" t="s">
        <v>774</v>
      </c>
      <c r="J413" s="41" t="s">
        <v>935</v>
      </c>
    </row>
    <row r="414" spans="1:11" x14ac:dyDescent="0.35">
      <c r="A414">
        <f t="shared" si="7"/>
        <v>1.3125</v>
      </c>
      <c r="C414" s="41">
        <v>29</v>
      </c>
      <c r="D414" s="34">
        <v>12</v>
      </c>
      <c r="E414" s="1" t="s">
        <v>643</v>
      </c>
      <c r="F414" s="34">
        <v>21</v>
      </c>
      <c r="G414" s="46">
        <v>16</v>
      </c>
      <c r="H414" s="11" t="s">
        <v>693</v>
      </c>
      <c r="J414" s="41" t="s">
        <v>806</v>
      </c>
    </row>
    <row r="415" spans="1:11" x14ac:dyDescent="0.35">
      <c r="A415">
        <f t="shared" si="7"/>
        <v>2.5</v>
      </c>
      <c r="C415" s="41">
        <v>30</v>
      </c>
      <c r="D415" s="34">
        <v>2</v>
      </c>
      <c r="E415" s="1" t="s">
        <v>731</v>
      </c>
      <c r="F415" s="34">
        <v>30</v>
      </c>
      <c r="G415" s="46">
        <v>12</v>
      </c>
      <c r="H415" s="11" t="s">
        <v>722</v>
      </c>
      <c r="J415" s="41" t="s">
        <v>907</v>
      </c>
      <c r="K415" t="s">
        <v>1228</v>
      </c>
    </row>
    <row r="416" spans="1:11" x14ac:dyDescent="0.35">
      <c r="A416">
        <f t="shared" si="7"/>
        <v>1.1818181818181819</v>
      </c>
      <c r="C416" s="41">
        <v>31</v>
      </c>
      <c r="D416" s="34">
        <v>15</v>
      </c>
      <c r="E416" s="1" t="s">
        <v>242</v>
      </c>
      <c r="F416" s="34">
        <v>13</v>
      </c>
      <c r="G416" s="46">
        <v>11</v>
      </c>
      <c r="H416" s="11" t="s">
        <v>758</v>
      </c>
      <c r="J416" s="41" t="s">
        <v>770</v>
      </c>
    </row>
    <row r="417" spans="1:11" x14ac:dyDescent="0.35">
      <c r="A417">
        <f t="shared" si="7"/>
        <v>1.375</v>
      </c>
      <c r="C417" s="41">
        <v>32</v>
      </c>
      <c r="E417" s="1" t="s">
        <v>704</v>
      </c>
      <c r="F417" s="34">
        <v>11</v>
      </c>
      <c r="G417" s="46">
        <v>8</v>
      </c>
      <c r="H417" s="11" t="s">
        <v>646</v>
      </c>
      <c r="J417" s="41" t="s">
        <v>839</v>
      </c>
    </row>
    <row r="418" spans="1:11" x14ac:dyDescent="0.35">
      <c r="A418">
        <f t="shared" si="7"/>
        <v>1.4545454545454546</v>
      </c>
      <c r="C418" s="41">
        <v>33</v>
      </c>
      <c r="E418" s="1" t="s">
        <v>757</v>
      </c>
      <c r="F418" s="34">
        <v>16</v>
      </c>
      <c r="G418" s="46">
        <v>11</v>
      </c>
      <c r="H418" s="11" t="s">
        <v>673</v>
      </c>
      <c r="J418" s="41" t="s">
        <v>789</v>
      </c>
    </row>
    <row r="419" spans="1:11" x14ac:dyDescent="0.35">
      <c r="A419">
        <f t="shared" si="7"/>
        <v>1.6363636363636365</v>
      </c>
      <c r="C419" s="41">
        <v>34</v>
      </c>
      <c r="D419" s="34">
        <v>11</v>
      </c>
      <c r="E419" s="1" t="s">
        <v>755</v>
      </c>
      <c r="F419" s="34">
        <v>18</v>
      </c>
      <c r="G419" s="46">
        <v>11</v>
      </c>
      <c r="H419" s="11" t="s">
        <v>737</v>
      </c>
      <c r="J419" s="41" t="s">
        <v>789</v>
      </c>
    </row>
    <row r="420" spans="1:11" x14ac:dyDescent="0.35">
      <c r="A420">
        <f t="shared" si="7"/>
        <v>1.5454545454545454</v>
      </c>
      <c r="C420" s="41">
        <v>35</v>
      </c>
      <c r="E420" s="1" t="s">
        <v>1165</v>
      </c>
      <c r="F420" s="34">
        <v>17</v>
      </c>
      <c r="G420" s="46">
        <v>11</v>
      </c>
      <c r="H420" s="11" t="s">
        <v>1160</v>
      </c>
      <c r="J420" s="41" t="s">
        <v>740</v>
      </c>
    </row>
    <row r="421" spans="1:11" x14ac:dyDescent="0.35">
      <c r="A421">
        <f t="shared" si="7"/>
        <v>1.6153846153846154</v>
      </c>
      <c r="C421" s="41">
        <v>36</v>
      </c>
      <c r="D421" s="34">
        <v>17</v>
      </c>
      <c r="E421" s="1" t="s">
        <v>468</v>
      </c>
      <c r="F421" s="34">
        <v>21</v>
      </c>
      <c r="G421" s="46">
        <v>13</v>
      </c>
      <c r="H421" s="11" t="s">
        <v>1155</v>
      </c>
      <c r="J421" s="41" t="s">
        <v>773</v>
      </c>
    </row>
    <row r="422" spans="1:11" x14ac:dyDescent="0.35">
      <c r="A422">
        <f t="shared" si="7"/>
        <v>1.0714285714285714</v>
      </c>
      <c r="C422" s="41">
        <v>37</v>
      </c>
      <c r="E422" s="1" t="s">
        <v>640</v>
      </c>
      <c r="F422" s="34">
        <v>15</v>
      </c>
      <c r="G422" s="46">
        <v>14</v>
      </c>
      <c r="H422" s="11" t="s">
        <v>701</v>
      </c>
      <c r="J422" s="41" t="s">
        <v>955</v>
      </c>
    </row>
    <row r="423" spans="1:11" x14ac:dyDescent="0.35">
      <c r="A423">
        <f t="shared" si="7"/>
        <v>1.1538461538461537</v>
      </c>
      <c r="C423" s="41">
        <v>38</v>
      </c>
      <c r="E423" s="1" t="s">
        <v>792</v>
      </c>
      <c r="F423" s="34">
        <v>15</v>
      </c>
      <c r="G423" s="46">
        <v>13</v>
      </c>
      <c r="H423" s="11" t="s">
        <v>679</v>
      </c>
      <c r="J423" s="41" t="s">
        <v>1229</v>
      </c>
    </row>
    <row r="424" spans="1:11" x14ac:dyDescent="0.35">
      <c r="A424">
        <f t="shared" si="7"/>
        <v>1.1666666666666667</v>
      </c>
      <c r="C424" s="41">
        <v>39</v>
      </c>
      <c r="E424" s="1" t="s">
        <v>672</v>
      </c>
      <c r="F424" s="34">
        <v>21</v>
      </c>
      <c r="G424" s="46">
        <v>18</v>
      </c>
      <c r="H424" s="11" t="s">
        <v>661</v>
      </c>
      <c r="J424" s="41" t="s">
        <v>907</v>
      </c>
    </row>
    <row r="425" spans="1:11" x14ac:dyDescent="0.35">
      <c r="A425">
        <f t="shared" si="7"/>
        <v>1.2307692307692308</v>
      </c>
      <c r="C425" s="41">
        <v>40</v>
      </c>
      <c r="D425" s="34">
        <v>18</v>
      </c>
      <c r="E425" s="1" t="s">
        <v>670</v>
      </c>
      <c r="F425" s="34">
        <v>16</v>
      </c>
      <c r="G425" s="46">
        <v>13</v>
      </c>
      <c r="H425" s="11" t="s">
        <v>466</v>
      </c>
      <c r="J425" s="41" t="s">
        <v>773</v>
      </c>
    </row>
    <row r="426" spans="1:11" x14ac:dyDescent="0.35">
      <c r="A426">
        <f t="shared" si="7"/>
        <v>4.75</v>
      </c>
      <c r="C426" s="41">
        <v>41</v>
      </c>
      <c r="E426" s="1" t="s">
        <v>718</v>
      </c>
      <c r="F426" s="34">
        <v>19</v>
      </c>
      <c r="G426" s="46">
        <v>4</v>
      </c>
      <c r="H426" s="11" t="s">
        <v>780</v>
      </c>
      <c r="J426" s="41" t="s">
        <v>852</v>
      </c>
    </row>
    <row r="427" spans="1:11" x14ac:dyDescent="0.35">
      <c r="A427">
        <f t="shared" si="7"/>
        <v>3.5714285714285716</v>
      </c>
      <c r="C427" s="41">
        <v>42</v>
      </c>
      <c r="D427" s="34">
        <v>6</v>
      </c>
      <c r="E427" s="1" t="s">
        <v>663</v>
      </c>
      <c r="F427" s="34">
        <v>25</v>
      </c>
      <c r="G427" s="46">
        <v>7</v>
      </c>
      <c r="H427" s="11" t="s">
        <v>778</v>
      </c>
      <c r="J427" s="41" t="s">
        <v>699</v>
      </c>
      <c r="K427" t="s">
        <v>1230</v>
      </c>
    </row>
    <row r="428" spans="1:11" x14ac:dyDescent="0.35">
      <c r="A428">
        <f t="shared" si="7"/>
        <v>1.5</v>
      </c>
      <c r="C428" s="41">
        <v>43</v>
      </c>
      <c r="D428" s="34">
        <v>21</v>
      </c>
      <c r="E428" s="1" t="s">
        <v>648</v>
      </c>
      <c r="F428" s="34">
        <v>24</v>
      </c>
      <c r="G428" s="46">
        <v>16</v>
      </c>
      <c r="H428" s="11" t="s">
        <v>732</v>
      </c>
      <c r="J428" s="41" t="s">
        <v>907</v>
      </c>
    </row>
    <row r="429" spans="1:11" x14ac:dyDescent="0.35">
      <c r="A429">
        <f t="shared" si="7"/>
        <v>1.0555555555555556</v>
      </c>
      <c r="C429" s="41">
        <v>44</v>
      </c>
      <c r="E429" s="1" t="s">
        <v>767</v>
      </c>
      <c r="F429" s="34">
        <v>19</v>
      </c>
      <c r="G429" s="46">
        <v>18</v>
      </c>
      <c r="H429" s="11" t="s">
        <v>761</v>
      </c>
      <c r="I429" s="46">
        <v>14</v>
      </c>
      <c r="J429" s="41" t="s">
        <v>866</v>
      </c>
      <c r="K429" t="s">
        <v>1231</v>
      </c>
    </row>
    <row r="430" spans="1:11" x14ac:dyDescent="0.35">
      <c r="A430">
        <f t="shared" si="7"/>
        <v>1.5714285714285714</v>
      </c>
      <c r="C430" s="41">
        <v>45</v>
      </c>
      <c r="D430" s="34">
        <v>22</v>
      </c>
      <c r="E430" s="1" t="s">
        <v>713</v>
      </c>
      <c r="F430" s="34">
        <v>11</v>
      </c>
      <c r="G430" s="46">
        <v>7</v>
      </c>
      <c r="H430" s="11" t="s">
        <v>676</v>
      </c>
      <c r="J430" s="41" t="s">
        <v>789</v>
      </c>
      <c r="K430" s="52"/>
    </row>
    <row r="431" spans="1:11" x14ac:dyDescent="0.35">
      <c r="A431">
        <f t="shared" si="7"/>
        <v>1.5</v>
      </c>
      <c r="C431" s="41">
        <v>46</v>
      </c>
      <c r="D431" s="34">
        <v>3</v>
      </c>
      <c r="E431" s="1" t="s">
        <v>720</v>
      </c>
      <c r="F431" s="34">
        <v>15</v>
      </c>
      <c r="G431" s="46">
        <v>10</v>
      </c>
      <c r="H431" s="11" t="s">
        <v>751</v>
      </c>
      <c r="J431" s="41" t="s">
        <v>769</v>
      </c>
      <c r="K431" s="52" t="s">
        <v>1232</v>
      </c>
    </row>
    <row r="432" spans="1:11" x14ac:dyDescent="0.35">
      <c r="A432">
        <f t="shared" si="7"/>
        <v>1.25</v>
      </c>
      <c r="C432" s="41">
        <v>47</v>
      </c>
      <c r="D432" s="34">
        <v>13</v>
      </c>
      <c r="E432" s="1" t="s">
        <v>644</v>
      </c>
      <c r="F432" s="34">
        <v>20</v>
      </c>
      <c r="G432" s="46">
        <v>16</v>
      </c>
      <c r="H432" s="11" t="s">
        <v>764</v>
      </c>
      <c r="J432" s="41" t="s">
        <v>781</v>
      </c>
      <c r="K432" s="52" t="s">
        <v>1233</v>
      </c>
    </row>
    <row r="433" spans="1:11" ht="15" thickBot="1" x14ac:dyDescent="0.4">
      <c r="A433">
        <f t="shared" si="7"/>
        <v>1.25</v>
      </c>
      <c r="C433" s="42">
        <v>48</v>
      </c>
      <c r="D433" s="49">
        <v>19</v>
      </c>
      <c r="E433" s="45" t="s">
        <v>768</v>
      </c>
      <c r="F433" s="49">
        <v>15</v>
      </c>
      <c r="G433" s="50">
        <v>12</v>
      </c>
      <c r="H433" s="51" t="s">
        <v>649</v>
      </c>
      <c r="I433" s="50">
        <v>20</v>
      </c>
      <c r="J433" s="40" t="s">
        <v>724</v>
      </c>
      <c r="K433" s="40"/>
    </row>
    <row r="434" spans="1:11" x14ac:dyDescent="0.35">
      <c r="A434">
        <f t="shared" si="7"/>
        <v>1.0434782608695652</v>
      </c>
      <c r="B434" t="s">
        <v>1107</v>
      </c>
      <c r="C434" s="41">
        <v>1</v>
      </c>
      <c r="E434" s="1" t="s">
        <v>706</v>
      </c>
      <c r="F434" s="34">
        <v>24</v>
      </c>
      <c r="G434" s="46">
        <v>23</v>
      </c>
      <c r="H434" s="11" t="s">
        <v>467</v>
      </c>
      <c r="I434" s="46">
        <v>2</v>
      </c>
      <c r="J434" s="41" t="s">
        <v>759</v>
      </c>
      <c r="K434" s="41" t="s">
        <v>1234</v>
      </c>
    </row>
    <row r="435" spans="1:11" x14ac:dyDescent="0.35">
      <c r="A435">
        <f t="shared" si="7"/>
        <v>1.0769230769230769</v>
      </c>
      <c r="C435" s="41">
        <v>2</v>
      </c>
      <c r="E435" s="1" t="s">
        <v>678</v>
      </c>
      <c r="F435" s="34">
        <v>14</v>
      </c>
      <c r="G435" s="46">
        <v>13</v>
      </c>
      <c r="H435" s="11" t="s">
        <v>783</v>
      </c>
      <c r="I435" s="46">
        <v>25</v>
      </c>
      <c r="J435" s="41" t="s">
        <v>836</v>
      </c>
    </row>
    <row r="436" spans="1:11" x14ac:dyDescent="0.35">
      <c r="A436">
        <f t="shared" si="7"/>
        <v>1.1538461538461537</v>
      </c>
      <c r="C436" s="41">
        <v>3</v>
      </c>
      <c r="D436" s="34">
        <v>15</v>
      </c>
      <c r="E436" s="1" t="s">
        <v>468</v>
      </c>
      <c r="F436" s="34">
        <v>15</v>
      </c>
      <c r="G436" s="46">
        <v>13</v>
      </c>
      <c r="H436" s="11" t="s">
        <v>726</v>
      </c>
      <c r="J436" s="41" t="s">
        <v>727</v>
      </c>
    </row>
    <row r="437" spans="1:11" x14ac:dyDescent="0.35">
      <c r="A437">
        <f t="shared" si="7"/>
        <v>1.1428571428571428</v>
      </c>
      <c r="C437" s="41">
        <v>4</v>
      </c>
      <c r="E437" s="1" t="s">
        <v>716</v>
      </c>
      <c r="F437" s="34">
        <v>16</v>
      </c>
      <c r="G437" s="46">
        <v>14</v>
      </c>
      <c r="H437" s="11" t="s">
        <v>743</v>
      </c>
      <c r="J437" s="41" t="s">
        <v>773</v>
      </c>
    </row>
    <row r="438" spans="1:11" x14ac:dyDescent="0.35">
      <c r="A438">
        <f t="shared" si="7"/>
        <v>1.3333333333333333</v>
      </c>
      <c r="C438" s="41">
        <v>5</v>
      </c>
      <c r="E438" s="1" t="s">
        <v>732</v>
      </c>
      <c r="F438" s="34">
        <v>16</v>
      </c>
      <c r="G438" s="46">
        <v>12</v>
      </c>
      <c r="H438" s="11" t="s">
        <v>677</v>
      </c>
      <c r="J438" s="41" t="s">
        <v>769</v>
      </c>
    </row>
    <row r="439" spans="1:11" x14ac:dyDescent="0.35">
      <c r="A439">
        <f t="shared" si="7"/>
        <v>1.8333333333333333</v>
      </c>
      <c r="C439" s="41">
        <v>6</v>
      </c>
      <c r="D439" s="34">
        <v>9</v>
      </c>
      <c r="E439" s="1" t="s">
        <v>644</v>
      </c>
      <c r="F439" s="34">
        <v>22</v>
      </c>
      <c r="G439" s="46">
        <v>12</v>
      </c>
      <c r="H439" s="11" t="s">
        <v>645</v>
      </c>
      <c r="J439" s="41" t="s">
        <v>702</v>
      </c>
    </row>
    <row r="440" spans="1:11" x14ac:dyDescent="0.35">
      <c r="A440">
        <f t="shared" si="7"/>
        <v>2.75</v>
      </c>
      <c r="C440" s="41">
        <v>7</v>
      </c>
      <c r="E440" s="1" t="s">
        <v>582</v>
      </c>
      <c r="F440" s="34">
        <v>22</v>
      </c>
      <c r="G440" s="46">
        <v>8</v>
      </c>
      <c r="H440" s="11" t="s">
        <v>672</v>
      </c>
      <c r="J440" s="41" t="s">
        <v>790</v>
      </c>
    </row>
    <row r="441" spans="1:11" x14ac:dyDescent="0.35">
      <c r="A441">
        <f t="shared" si="7"/>
        <v>2.2727272727272729</v>
      </c>
      <c r="C441" s="41">
        <v>8</v>
      </c>
      <c r="D441" s="34">
        <v>13</v>
      </c>
      <c r="E441" s="1" t="s">
        <v>242</v>
      </c>
      <c r="F441" s="34">
        <v>25</v>
      </c>
      <c r="G441" s="46">
        <v>11</v>
      </c>
      <c r="H441" s="11" t="s">
        <v>760</v>
      </c>
      <c r="J441" s="41" t="s">
        <v>881</v>
      </c>
    </row>
    <row r="442" spans="1:11" x14ac:dyDescent="0.35">
      <c r="A442">
        <f t="shared" si="7"/>
        <v>1.0555555555555556</v>
      </c>
      <c r="C442" s="41">
        <v>9</v>
      </c>
      <c r="E442" s="1" t="s">
        <v>777</v>
      </c>
      <c r="F442" s="34">
        <v>19</v>
      </c>
      <c r="G442" s="46">
        <v>18</v>
      </c>
      <c r="H442" s="11" t="s">
        <v>731</v>
      </c>
      <c r="I442" s="46">
        <v>1</v>
      </c>
      <c r="J442" s="41" t="s">
        <v>773</v>
      </c>
      <c r="K442" t="s">
        <v>1235</v>
      </c>
    </row>
    <row r="443" spans="1:11" x14ac:dyDescent="0.35">
      <c r="A443">
        <f t="shared" si="7"/>
        <v>1.5714285714285714</v>
      </c>
      <c r="C443" s="41">
        <v>10</v>
      </c>
      <c r="E443" s="1" t="s">
        <v>465</v>
      </c>
      <c r="F443" s="34">
        <v>11</v>
      </c>
      <c r="G443" s="46">
        <v>7</v>
      </c>
      <c r="H443" s="11" t="s">
        <v>753</v>
      </c>
      <c r="J443" s="41" t="s">
        <v>775</v>
      </c>
    </row>
    <row r="444" spans="1:11" x14ac:dyDescent="0.35">
      <c r="A444">
        <f t="shared" si="7"/>
        <v>1.5555555555555556</v>
      </c>
      <c r="C444" s="41">
        <v>11</v>
      </c>
      <c r="E444" s="1" t="s">
        <v>692</v>
      </c>
      <c r="F444" s="34">
        <v>14</v>
      </c>
      <c r="G444" s="46">
        <v>9</v>
      </c>
      <c r="H444" s="11" t="s">
        <v>742</v>
      </c>
      <c r="J444" s="41" t="s">
        <v>789</v>
      </c>
    </row>
    <row r="445" spans="1:11" x14ac:dyDescent="0.35">
      <c r="A445">
        <f t="shared" si="7"/>
        <v>4.2</v>
      </c>
      <c r="C445" s="41">
        <v>12</v>
      </c>
      <c r="D445" s="34">
        <v>8</v>
      </c>
      <c r="E445" s="1" t="s">
        <v>245</v>
      </c>
      <c r="F445" s="34">
        <v>21</v>
      </c>
      <c r="G445" s="46">
        <v>5</v>
      </c>
      <c r="H445" s="11" t="s">
        <v>1162</v>
      </c>
      <c r="J445" s="41" t="s">
        <v>874</v>
      </c>
    </row>
    <row r="446" spans="1:11" x14ac:dyDescent="0.35">
      <c r="A446">
        <f t="shared" si="7"/>
        <v>1.0625</v>
      </c>
      <c r="C446" s="41">
        <v>13</v>
      </c>
      <c r="E446" s="1" t="s">
        <v>660</v>
      </c>
      <c r="F446" s="34">
        <v>17</v>
      </c>
      <c r="G446" s="46">
        <v>16</v>
      </c>
      <c r="H446" s="11" t="s">
        <v>643</v>
      </c>
      <c r="I446" s="46">
        <v>12</v>
      </c>
      <c r="J446" s="41" t="s">
        <v>920</v>
      </c>
      <c r="K446" t="s">
        <v>1236</v>
      </c>
    </row>
    <row r="447" spans="1:11" x14ac:dyDescent="0.35">
      <c r="A447">
        <f t="shared" si="7"/>
        <v>1.3571428571428572</v>
      </c>
      <c r="C447" s="41">
        <v>14</v>
      </c>
      <c r="E447" s="1" t="s">
        <v>1165</v>
      </c>
      <c r="F447" s="34">
        <v>19</v>
      </c>
      <c r="G447" s="46">
        <v>14</v>
      </c>
      <c r="H447" s="11" t="s">
        <v>771</v>
      </c>
      <c r="J447" s="41" t="s">
        <v>796</v>
      </c>
    </row>
    <row r="448" spans="1:11" x14ac:dyDescent="0.35">
      <c r="A448">
        <f t="shared" si="7"/>
        <v>1.75</v>
      </c>
      <c r="C448" s="41">
        <v>15</v>
      </c>
      <c r="D448" s="34">
        <v>19</v>
      </c>
      <c r="E448" s="1" t="s">
        <v>713</v>
      </c>
      <c r="F448" s="34">
        <v>21</v>
      </c>
      <c r="G448" s="46">
        <v>12</v>
      </c>
      <c r="H448" s="11" t="s">
        <v>772</v>
      </c>
      <c r="J448" s="41" t="s">
        <v>898</v>
      </c>
    </row>
    <row r="449" spans="1:10" x14ac:dyDescent="0.35">
      <c r="A449">
        <f t="shared" si="7"/>
        <v>1.3076923076923077</v>
      </c>
      <c r="C449" s="41">
        <v>16</v>
      </c>
      <c r="E449" s="1" t="s">
        <v>737</v>
      </c>
      <c r="F449" s="34">
        <v>17</v>
      </c>
      <c r="G449" s="46">
        <v>13</v>
      </c>
      <c r="H449" s="11" t="s">
        <v>779</v>
      </c>
      <c r="J449" s="41" t="s">
        <v>786</v>
      </c>
    </row>
    <row r="450" spans="1:10" x14ac:dyDescent="0.35">
      <c r="A450">
        <f t="shared" si="7"/>
        <v>3.375</v>
      </c>
      <c r="C450" s="41">
        <v>17</v>
      </c>
      <c r="D450" s="34">
        <v>5</v>
      </c>
      <c r="E450" s="1" t="s">
        <v>746</v>
      </c>
      <c r="F450" s="34">
        <v>27</v>
      </c>
      <c r="G450" s="46">
        <v>8</v>
      </c>
      <c r="H450" s="11" t="s">
        <v>700</v>
      </c>
      <c r="J450" s="41" t="s">
        <v>790</v>
      </c>
    </row>
    <row r="451" spans="1:10" x14ac:dyDescent="0.35">
      <c r="A451">
        <f t="shared" ref="A451:A514" si="8">(F451/G451)</f>
        <v>2.5</v>
      </c>
      <c r="C451" s="41">
        <v>18</v>
      </c>
      <c r="E451" s="1" t="s">
        <v>764</v>
      </c>
      <c r="F451" s="34">
        <v>20</v>
      </c>
      <c r="G451" s="46">
        <v>8</v>
      </c>
      <c r="H451" s="11" t="s">
        <v>1156</v>
      </c>
      <c r="J451" s="41" t="s">
        <v>748</v>
      </c>
    </row>
    <row r="452" spans="1:10" x14ac:dyDescent="0.35">
      <c r="A452">
        <f t="shared" si="8"/>
        <v>2.1428571428571428</v>
      </c>
      <c r="C452" s="41">
        <v>19</v>
      </c>
      <c r="E452" s="1" t="s">
        <v>1158</v>
      </c>
      <c r="F452" s="34">
        <v>15</v>
      </c>
      <c r="G452" s="46">
        <v>7</v>
      </c>
      <c r="H452" s="11" t="s">
        <v>665</v>
      </c>
      <c r="J452" s="41" t="s">
        <v>730</v>
      </c>
    </row>
    <row r="453" spans="1:10" x14ac:dyDescent="0.35">
      <c r="A453">
        <f t="shared" si="8"/>
        <v>1.3125</v>
      </c>
      <c r="C453" s="41">
        <v>20</v>
      </c>
      <c r="E453" s="1" t="s">
        <v>664</v>
      </c>
      <c r="F453" s="34">
        <v>21</v>
      </c>
      <c r="G453" s="46">
        <v>16</v>
      </c>
      <c r="H453" s="11" t="s">
        <v>680</v>
      </c>
      <c r="J453" s="41" t="s">
        <v>719</v>
      </c>
    </row>
    <row r="454" spans="1:10" x14ac:dyDescent="0.35">
      <c r="A454">
        <f t="shared" si="8"/>
        <v>1.5454545454545454</v>
      </c>
      <c r="C454" s="41">
        <v>21</v>
      </c>
      <c r="E454" s="1" t="s">
        <v>1163</v>
      </c>
      <c r="F454" s="34">
        <v>17</v>
      </c>
      <c r="G454" s="46">
        <v>11</v>
      </c>
      <c r="H454" s="11" t="s">
        <v>784</v>
      </c>
      <c r="J454" s="41" t="s">
        <v>796</v>
      </c>
    </row>
    <row r="455" spans="1:10" x14ac:dyDescent="0.35">
      <c r="A455">
        <f t="shared" si="8"/>
        <v>1.5</v>
      </c>
      <c r="C455" s="41">
        <v>22</v>
      </c>
      <c r="E455" s="1" t="s">
        <v>671</v>
      </c>
      <c r="F455" s="34">
        <v>18</v>
      </c>
      <c r="G455" s="46">
        <v>12</v>
      </c>
      <c r="H455" s="11" t="s">
        <v>712</v>
      </c>
      <c r="J455" s="41" t="s">
        <v>699</v>
      </c>
    </row>
    <row r="456" spans="1:10" x14ac:dyDescent="0.35">
      <c r="A456">
        <f t="shared" si="8"/>
        <v>1.8181818181818181</v>
      </c>
      <c r="C456" s="41">
        <v>23</v>
      </c>
      <c r="E456" s="1" t="s">
        <v>709</v>
      </c>
      <c r="F456" s="34">
        <v>20</v>
      </c>
      <c r="G456" s="46">
        <v>11</v>
      </c>
      <c r="H456" s="11" t="s">
        <v>722</v>
      </c>
      <c r="J456" s="41" t="s">
        <v>952</v>
      </c>
    </row>
    <row r="457" spans="1:10" x14ac:dyDescent="0.35">
      <c r="A457">
        <f t="shared" si="8"/>
        <v>1.9</v>
      </c>
      <c r="C457" s="41">
        <v>24</v>
      </c>
      <c r="E457" s="1" t="s">
        <v>666</v>
      </c>
      <c r="F457" s="34">
        <v>19</v>
      </c>
      <c r="G457" s="46">
        <v>10</v>
      </c>
      <c r="H457" s="11" t="s">
        <v>751</v>
      </c>
      <c r="J457" s="41" t="s">
        <v>821</v>
      </c>
    </row>
    <row r="458" spans="1:10" x14ac:dyDescent="0.35">
      <c r="A458">
        <f t="shared" si="8"/>
        <v>1.2</v>
      </c>
      <c r="C458" s="41">
        <v>25</v>
      </c>
      <c r="E458" s="1" t="s">
        <v>774</v>
      </c>
      <c r="F458" s="34">
        <v>18</v>
      </c>
      <c r="G458" s="46">
        <v>15</v>
      </c>
      <c r="H458" s="11" t="s">
        <v>651</v>
      </c>
      <c r="J458" s="41" t="s">
        <v>773</v>
      </c>
    </row>
    <row r="459" spans="1:10" x14ac:dyDescent="0.35">
      <c r="A459">
        <f t="shared" si="8"/>
        <v>1.875</v>
      </c>
      <c r="C459" s="41">
        <v>26</v>
      </c>
      <c r="E459" s="1" t="s">
        <v>1164</v>
      </c>
      <c r="F459" s="34">
        <v>15</v>
      </c>
      <c r="G459" s="46">
        <v>8</v>
      </c>
      <c r="H459" s="11" t="s">
        <v>776</v>
      </c>
      <c r="J459" s="41" t="s">
        <v>874</v>
      </c>
    </row>
    <row r="460" spans="1:10" x14ac:dyDescent="0.35">
      <c r="A460">
        <f t="shared" si="8"/>
        <v>1.0666666666666667</v>
      </c>
      <c r="C460" s="41">
        <v>27</v>
      </c>
      <c r="E460" s="1" t="s">
        <v>765</v>
      </c>
      <c r="F460" s="34">
        <v>16</v>
      </c>
      <c r="G460" s="46">
        <v>15</v>
      </c>
      <c r="H460" s="11" t="s">
        <v>693</v>
      </c>
      <c r="J460" s="41" t="s">
        <v>769</v>
      </c>
    </row>
    <row r="461" spans="1:10" x14ac:dyDescent="0.35">
      <c r="A461">
        <f t="shared" si="8"/>
        <v>3.5</v>
      </c>
      <c r="C461" s="41">
        <v>28</v>
      </c>
      <c r="E461" s="1" t="s">
        <v>758</v>
      </c>
      <c r="F461" s="34">
        <v>21</v>
      </c>
      <c r="G461" s="46">
        <v>6</v>
      </c>
      <c r="H461" s="11" t="s">
        <v>763</v>
      </c>
      <c r="J461" s="41" t="s">
        <v>935</v>
      </c>
    </row>
    <row r="462" spans="1:10" x14ac:dyDescent="0.35">
      <c r="A462">
        <f t="shared" si="8"/>
        <v>1.375</v>
      </c>
      <c r="C462" s="41">
        <v>29</v>
      </c>
      <c r="E462" s="1" t="s">
        <v>723</v>
      </c>
      <c r="F462" s="34">
        <v>22</v>
      </c>
      <c r="G462" s="46">
        <v>16</v>
      </c>
      <c r="H462" s="11" t="s">
        <v>757</v>
      </c>
      <c r="J462" s="41" t="s">
        <v>790</v>
      </c>
    </row>
    <row r="463" spans="1:10" x14ac:dyDescent="0.35">
      <c r="A463">
        <f t="shared" si="8"/>
        <v>1.6666666666666667</v>
      </c>
      <c r="C463" s="41">
        <v>30</v>
      </c>
      <c r="E463" s="1" t="s">
        <v>738</v>
      </c>
      <c r="F463" s="34">
        <v>15</v>
      </c>
      <c r="G463" s="46">
        <v>9</v>
      </c>
      <c r="H463" s="11" t="s">
        <v>673</v>
      </c>
      <c r="J463" s="41" t="s">
        <v>789</v>
      </c>
    </row>
    <row r="464" spans="1:10" x14ac:dyDescent="0.35">
      <c r="A464">
        <f t="shared" si="8"/>
        <v>1.5</v>
      </c>
      <c r="C464" s="41">
        <v>31</v>
      </c>
      <c r="E464" s="1" t="s">
        <v>650</v>
      </c>
      <c r="F464" s="34">
        <v>12</v>
      </c>
      <c r="G464" s="46">
        <v>8</v>
      </c>
      <c r="H464" s="11" t="s">
        <v>1160</v>
      </c>
      <c r="J464" s="41" t="s">
        <v>762</v>
      </c>
    </row>
    <row r="465" spans="1:11" x14ac:dyDescent="0.35">
      <c r="A465">
        <f t="shared" si="8"/>
        <v>1.5714285714285714</v>
      </c>
      <c r="C465" s="41">
        <v>32</v>
      </c>
      <c r="E465" s="1" t="s">
        <v>1155</v>
      </c>
      <c r="F465" s="34">
        <v>22</v>
      </c>
      <c r="G465" s="46">
        <v>14</v>
      </c>
      <c r="H465" s="11" t="s">
        <v>756</v>
      </c>
      <c r="J465" s="41" t="s">
        <v>806</v>
      </c>
    </row>
    <row r="466" spans="1:11" x14ac:dyDescent="0.35">
      <c r="A466">
        <f t="shared" si="8"/>
        <v>1.75</v>
      </c>
      <c r="C466" s="41">
        <v>33</v>
      </c>
      <c r="D466" s="34">
        <v>6</v>
      </c>
      <c r="E466" s="1" t="s">
        <v>663</v>
      </c>
      <c r="F466" s="34">
        <v>21</v>
      </c>
      <c r="G466" s="46">
        <v>12</v>
      </c>
      <c r="H466" s="11" t="s">
        <v>1161</v>
      </c>
      <c r="J466" s="41" t="s">
        <v>928</v>
      </c>
    </row>
    <row r="467" spans="1:11" x14ac:dyDescent="0.35">
      <c r="A467">
        <f t="shared" si="8"/>
        <v>2.1</v>
      </c>
      <c r="C467" s="41">
        <v>34</v>
      </c>
      <c r="E467" s="1" t="s">
        <v>661</v>
      </c>
      <c r="F467" s="34">
        <v>21</v>
      </c>
      <c r="G467" s="46">
        <v>10</v>
      </c>
      <c r="H467" s="11" t="s">
        <v>642</v>
      </c>
      <c r="J467" s="41" t="s">
        <v>1237</v>
      </c>
    </row>
    <row r="468" spans="1:11" x14ac:dyDescent="0.35">
      <c r="A468">
        <f t="shared" si="8"/>
        <v>1.9166666666666667</v>
      </c>
      <c r="C468" s="41">
        <v>35</v>
      </c>
      <c r="E468" s="1" t="s">
        <v>792</v>
      </c>
      <c r="F468" s="34">
        <v>23</v>
      </c>
      <c r="G468" s="46">
        <v>12</v>
      </c>
      <c r="H468" s="11" t="s">
        <v>646</v>
      </c>
      <c r="J468" s="41" t="s">
        <v>844</v>
      </c>
    </row>
    <row r="469" spans="1:11" x14ac:dyDescent="0.35">
      <c r="A469">
        <f t="shared" si="8"/>
        <v>1.0526315789473684</v>
      </c>
      <c r="C469" s="41">
        <v>36</v>
      </c>
      <c r="E469" s="1" t="s">
        <v>679</v>
      </c>
      <c r="F469" s="34">
        <v>20</v>
      </c>
      <c r="G469" s="46">
        <v>19</v>
      </c>
      <c r="H469" s="11" t="s">
        <v>704</v>
      </c>
      <c r="J469" s="41" t="s">
        <v>887</v>
      </c>
      <c r="K469" t="s">
        <v>1238</v>
      </c>
    </row>
    <row r="470" spans="1:11" x14ac:dyDescent="0.35">
      <c r="A470">
        <f t="shared" si="8"/>
        <v>1.5</v>
      </c>
      <c r="C470" s="41">
        <v>37</v>
      </c>
      <c r="E470" s="1" t="s">
        <v>778</v>
      </c>
      <c r="F470" s="34">
        <v>24</v>
      </c>
      <c r="G470" s="46">
        <v>16</v>
      </c>
      <c r="H470" s="11" t="s">
        <v>681</v>
      </c>
      <c r="J470" s="41" t="s">
        <v>975</v>
      </c>
      <c r="K470" t="s">
        <v>1239</v>
      </c>
    </row>
    <row r="471" spans="1:11" x14ac:dyDescent="0.35">
      <c r="A471">
        <f t="shared" si="8"/>
        <v>1.0909090909090908</v>
      </c>
      <c r="C471" s="41">
        <v>38</v>
      </c>
      <c r="E471" s="1" t="s">
        <v>640</v>
      </c>
      <c r="F471" s="34">
        <v>12</v>
      </c>
      <c r="G471" s="46">
        <v>11</v>
      </c>
      <c r="H471" s="11" t="s">
        <v>780</v>
      </c>
      <c r="J471" s="41" t="s">
        <v>974</v>
      </c>
      <c r="K471" t="s">
        <v>1240</v>
      </c>
    </row>
    <row r="472" spans="1:11" x14ac:dyDescent="0.35">
      <c r="A472">
        <f t="shared" si="8"/>
        <v>1.2857142857142858</v>
      </c>
      <c r="C472" s="41">
        <v>39</v>
      </c>
      <c r="E472" s="1" t="s">
        <v>466</v>
      </c>
      <c r="F472" s="34">
        <v>18</v>
      </c>
      <c r="G472" s="46">
        <v>14</v>
      </c>
      <c r="H472" s="11" t="s">
        <v>641</v>
      </c>
      <c r="J472" s="41" t="s">
        <v>839</v>
      </c>
    </row>
    <row r="473" spans="1:11" x14ac:dyDescent="0.35">
      <c r="A473">
        <f t="shared" si="8"/>
        <v>1.5</v>
      </c>
      <c r="C473" s="41">
        <v>40</v>
      </c>
      <c r="D473" s="34">
        <v>23</v>
      </c>
      <c r="E473" s="1" t="s">
        <v>718</v>
      </c>
      <c r="F473" s="34">
        <v>21</v>
      </c>
      <c r="G473" s="46">
        <v>14</v>
      </c>
      <c r="H473" s="11" t="s">
        <v>701</v>
      </c>
      <c r="J473" s="41" t="s">
        <v>699</v>
      </c>
    </row>
    <row r="474" spans="1:11" x14ac:dyDescent="0.35">
      <c r="A474">
        <f t="shared" si="8"/>
        <v>1.4666666666666666</v>
      </c>
      <c r="C474" s="41">
        <v>41</v>
      </c>
      <c r="D474" s="34">
        <v>4</v>
      </c>
      <c r="E474" s="1" t="s">
        <v>785</v>
      </c>
      <c r="F474" s="34">
        <v>22</v>
      </c>
      <c r="G474" s="46">
        <v>15</v>
      </c>
      <c r="H474" s="11" t="s">
        <v>676</v>
      </c>
      <c r="J474" s="41" t="s">
        <v>987</v>
      </c>
    </row>
    <row r="475" spans="1:11" x14ac:dyDescent="0.35">
      <c r="A475">
        <f t="shared" si="8"/>
        <v>3.5</v>
      </c>
      <c r="C475" s="41">
        <v>42</v>
      </c>
      <c r="E475" s="1" t="s">
        <v>747</v>
      </c>
      <c r="F475" s="34">
        <v>14</v>
      </c>
      <c r="G475" s="46">
        <v>4</v>
      </c>
      <c r="H475" s="11" t="s">
        <v>755</v>
      </c>
      <c r="I475" s="46">
        <v>11</v>
      </c>
      <c r="J475" s="41" t="s">
        <v>933</v>
      </c>
    </row>
    <row r="476" spans="1:11" x14ac:dyDescent="0.35">
      <c r="A476">
        <f t="shared" si="8"/>
        <v>1.0714285714285714</v>
      </c>
      <c r="C476" s="41">
        <v>43</v>
      </c>
      <c r="D476" s="34">
        <v>17</v>
      </c>
      <c r="E476" s="1" t="s">
        <v>648</v>
      </c>
      <c r="F476" s="34">
        <v>15</v>
      </c>
      <c r="G476" s="46">
        <v>14</v>
      </c>
      <c r="H476" s="11" t="s">
        <v>729</v>
      </c>
      <c r="J476" s="41" t="s">
        <v>705</v>
      </c>
    </row>
    <row r="477" spans="1:11" x14ac:dyDescent="0.35">
      <c r="A477">
        <f t="shared" si="8"/>
        <v>1.0833333333333333</v>
      </c>
      <c r="C477" s="41">
        <v>44</v>
      </c>
      <c r="D477" s="34">
        <v>21</v>
      </c>
      <c r="E477" s="1" t="s">
        <v>761</v>
      </c>
      <c r="F477" s="34">
        <v>13</v>
      </c>
      <c r="G477" s="46">
        <v>12</v>
      </c>
      <c r="H477" s="11" t="s">
        <v>649</v>
      </c>
      <c r="I477" s="46">
        <v>24</v>
      </c>
      <c r="J477" s="41" t="s">
        <v>773</v>
      </c>
      <c r="K477" t="s">
        <v>1241</v>
      </c>
    </row>
    <row r="478" spans="1:11" x14ac:dyDescent="0.35">
      <c r="A478">
        <f t="shared" si="8"/>
        <v>1.1428571428571428</v>
      </c>
      <c r="C478" s="41">
        <v>45</v>
      </c>
      <c r="D478" s="34">
        <v>22</v>
      </c>
      <c r="E478" s="1" t="s">
        <v>767</v>
      </c>
      <c r="F478" s="34">
        <v>16</v>
      </c>
      <c r="G478" s="46">
        <v>14</v>
      </c>
      <c r="H478" s="11" t="s">
        <v>768</v>
      </c>
      <c r="I478" s="46">
        <v>14</v>
      </c>
      <c r="J478" s="41" t="s">
        <v>831</v>
      </c>
    </row>
    <row r="479" spans="1:11" x14ac:dyDescent="0.35">
      <c r="A479">
        <f t="shared" si="8"/>
        <v>1.9</v>
      </c>
      <c r="C479" s="41">
        <v>46</v>
      </c>
      <c r="D479" s="34">
        <v>18</v>
      </c>
      <c r="E479" s="1" t="s">
        <v>670</v>
      </c>
      <c r="F479" s="34">
        <v>19</v>
      </c>
      <c r="G479" s="46">
        <v>10</v>
      </c>
      <c r="H479" s="11" t="s">
        <v>734</v>
      </c>
      <c r="I479" s="46">
        <v>20</v>
      </c>
      <c r="J479" s="41" t="s">
        <v>821</v>
      </c>
    </row>
    <row r="480" spans="1:11" x14ac:dyDescent="0.35">
      <c r="A480">
        <f t="shared" si="8"/>
        <v>3.1666666666666665</v>
      </c>
      <c r="C480" s="41">
        <v>47</v>
      </c>
      <c r="D480" s="34">
        <v>10</v>
      </c>
      <c r="E480" s="1" t="s">
        <v>750</v>
      </c>
      <c r="F480" s="34">
        <v>19</v>
      </c>
      <c r="G480" s="46">
        <v>6</v>
      </c>
      <c r="H480" s="11" t="s">
        <v>647</v>
      </c>
      <c r="I480" s="46">
        <v>16</v>
      </c>
      <c r="J480" s="41" t="s">
        <v>874</v>
      </c>
    </row>
    <row r="481" spans="1:11" ht="15" thickBot="1" x14ac:dyDescent="0.4">
      <c r="A481">
        <f t="shared" si="8"/>
        <v>1.1000000000000001</v>
      </c>
      <c r="C481" s="42">
        <v>48</v>
      </c>
      <c r="D481" s="49">
        <v>7</v>
      </c>
      <c r="E481" s="45" t="s">
        <v>1157</v>
      </c>
      <c r="F481" s="49">
        <v>22</v>
      </c>
      <c r="G481" s="50">
        <v>20</v>
      </c>
      <c r="H481" s="51" t="s">
        <v>720</v>
      </c>
      <c r="I481" s="50">
        <v>3</v>
      </c>
      <c r="J481" s="40" t="s">
        <v>931</v>
      </c>
      <c r="K481" s="40" t="s">
        <v>1242</v>
      </c>
    </row>
    <row r="482" spans="1:11" x14ac:dyDescent="0.35">
      <c r="A482">
        <f t="shared" si="8"/>
        <v>1.0625</v>
      </c>
      <c r="B482" t="s">
        <v>1108</v>
      </c>
      <c r="C482" s="41">
        <v>1</v>
      </c>
      <c r="E482" s="1" t="s">
        <v>678</v>
      </c>
      <c r="F482" s="34">
        <v>17</v>
      </c>
      <c r="G482" s="46">
        <v>16</v>
      </c>
      <c r="H482" s="11" t="s">
        <v>648</v>
      </c>
      <c r="I482" s="46">
        <v>15</v>
      </c>
      <c r="J482" s="41" t="s">
        <v>724</v>
      </c>
      <c r="K482" t="s">
        <v>1243</v>
      </c>
    </row>
    <row r="483" spans="1:11" x14ac:dyDescent="0.35">
      <c r="A483">
        <f t="shared" si="8"/>
        <v>1.5555555555555556</v>
      </c>
      <c r="C483" s="41">
        <v>2</v>
      </c>
      <c r="E483" s="1" t="s">
        <v>776</v>
      </c>
      <c r="F483" s="34">
        <v>14</v>
      </c>
      <c r="G483" s="46">
        <v>9</v>
      </c>
      <c r="H483" s="11" t="s">
        <v>726</v>
      </c>
      <c r="J483" s="41" t="s">
        <v>770</v>
      </c>
    </row>
    <row r="484" spans="1:11" x14ac:dyDescent="0.35">
      <c r="A484">
        <f t="shared" si="8"/>
        <v>4</v>
      </c>
      <c r="C484" s="41">
        <v>3</v>
      </c>
      <c r="E484" s="1" t="s">
        <v>742</v>
      </c>
      <c r="F484" s="34">
        <v>12</v>
      </c>
      <c r="G484" s="46">
        <v>3</v>
      </c>
      <c r="H484" s="11" t="s">
        <v>677</v>
      </c>
      <c r="J484" s="41" t="s">
        <v>933</v>
      </c>
    </row>
    <row r="485" spans="1:11" x14ac:dyDescent="0.35">
      <c r="A485">
        <f t="shared" si="8"/>
        <v>1.0625</v>
      </c>
      <c r="C485" s="41">
        <v>4</v>
      </c>
      <c r="E485" s="1" t="s">
        <v>722</v>
      </c>
      <c r="F485" s="34">
        <v>17</v>
      </c>
      <c r="G485" s="46">
        <v>16</v>
      </c>
      <c r="H485" s="11" t="s">
        <v>716</v>
      </c>
      <c r="J485" s="41" t="s">
        <v>866</v>
      </c>
    </row>
    <row r="486" spans="1:11" x14ac:dyDescent="0.35">
      <c r="A486">
        <f t="shared" si="8"/>
        <v>2.4545454545454546</v>
      </c>
      <c r="C486" s="41">
        <v>5</v>
      </c>
      <c r="E486" s="1" t="s">
        <v>651</v>
      </c>
      <c r="F486" s="34">
        <v>27</v>
      </c>
      <c r="G486" s="46">
        <v>11</v>
      </c>
      <c r="H486" s="11" t="s">
        <v>645</v>
      </c>
      <c r="J486" s="41" t="s">
        <v>847</v>
      </c>
    </row>
    <row r="487" spans="1:11" x14ac:dyDescent="0.35">
      <c r="A487">
        <f t="shared" si="8"/>
        <v>1.5</v>
      </c>
      <c r="C487" s="41">
        <v>6</v>
      </c>
      <c r="E487" s="1" t="s">
        <v>772</v>
      </c>
      <c r="F487" s="34">
        <v>15</v>
      </c>
      <c r="G487" s="46">
        <v>10</v>
      </c>
      <c r="H487" s="11" t="s">
        <v>760</v>
      </c>
      <c r="J487" s="41" t="s">
        <v>781</v>
      </c>
    </row>
    <row r="488" spans="1:11" x14ac:dyDescent="0.35">
      <c r="A488">
        <f t="shared" si="8"/>
        <v>1.25</v>
      </c>
      <c r="C488" s="41">
        <v>7</v>
      </c>
      <c r="E488" s="1" t="s">
        <v>466</v>
      </c>
      <c r="F488" s="34">
        <v>15</v>
      </c>
      <c r="G488" s="46">
        <v>12</v>
      </c>
      <c r="H488" s="11" t="s">
        <v>753</v>
      </c>
      <c r="J488" s="41" t="s">
        <v>705</v>
      </c>
    </row>
    <row r="489" spans="1:11" x14ac:dyDescent="0.35">
      <c r="A489">
        <f t="shared" si="8"/>
        <v>1.263157894736842</v>
      </c>
      <c r="C489" s="41">
        <v>8</v>
      </c>
      <c r="E489" s="1" t="s">
        <v>743</v>
      </c>
      <c r="F489" s="34">
        <v>24</v>
      </c>
      <c r="G489" s="46">
        <v>19</v>
      </c>
      <c r="H489" s="11" t="s">
        <v>709</v>
      </c>
      <c r="J489" s="41" t="s">
        <v>834</v>
      </c>
    </row>
    <row r="490" spans="1:11" x14ac:dyDescent="0.35">
      <c r="A490">
        <f t="shared" si="8"/>
        <v>1.3529411764705883</v>
      </c>
      <c r="C490" s="41">
        <v>9</v>
      </c>
      <c r="E490" s="1" t="s">
        <v>641</v>
      </c>
      <c r="F490" s="34">
        <v>23</v>
      </c>
      <c r="G490" s="46">
        <v>17</v>
      </c>
      <c r="H490" s="11" t="s">
        <v>465</v>
      </c>
      <c r="J490" s="41" t="s">
        <v>907</v>
      </c>
      <c r="K490" t="s">
        <v>1244</v>
      </c>
    </row>
    <row r="491" spans="1:11" x14ac:dyDescent="0.35">
      <c r="A491">
        <f t="shared" si="8"/>
        <v>1.6363636363636365</v>
      </c>
      <c r="C491" s="41">
        <v>10</v>
      </c>
      <c r="E491" s="1" t="s">
        <v>660</v>
      </c>
      <c r="F491" s="34">
        <v>18</v>
      </c>
      <c r="G491" s="46">
        <v>11</v>
      </c>
      <c r="H491" s="11" t="s">
        <v>706</v>
      </c>
      <c r="J491" s="41" t="s">
        <v>910</v>
      </c>
    </row>
    <row r="492" spans="1:11" x14ac:dyDescent="0.35">
      <c r="A492">
        <f t="shared" si="8"/>
        <v>2.3333333333333335</v>
      </c>
      <c r="C492" s="41">
        <v>11</v>
      </c>
      <c r="E492" s="1" t="s">
        <v>771</v>
      </c>
      <c r="F492" s="34">
        <v>21</v>
      </c>
      <c r="G492" s="46">
        <v>9</v>
      </c>
      <c r="H492" s="11" t="s">
        <v>751</v>
      </c>
      <c r="J492" s="41" t="s">
        <v>1237</v>
      </c>
    </row>
    <row r="493" spans="1:11" x14ac:dyDescent="0.35">
      <c r="A493">
        <f t="shared" si="8"/>
        <v>2</v>
      </c>
      <c r="C493" s="41">
        <v>12</v>
      </c>
      <c r="E493" s="1" t="s">
        <v>1162</v>
      </c>
      <c r="F493" s="34">
        <v>20</v>
      </c>
      <c r="G493" s="46">
        <v>10</v>
      </c>
      <c r="H493" s="11" t="s">
        <v>1156</v>
      </c>
      <c r="J493" s="41" t="s">
        <v>844</v>
      </c>
    </row>
    <row r="494" spans="1:11" x14ac:dyDescent="0.35">
      <c r="A494">
        <f t="shared" si="8"/>
        <v>1.0714285714285714</v>
      </c>
      <c r="C494" s="41">
        <v>13</v>
      </c>
      <c r="E494" s="1" t="s">
        <v>779</v>
      </c>
      <c r="F494" s="34">
        <v>15</v>
      </c>
      <c r="G494" s="46">
        <v>14</v>
      </c>
      <c r="H494" s="11" t="s">
        <v>672</v>
      </c>
      <c r="J494" s="41" t="s">
        <v>769</v>
      </c>
    </row>
    <row r="495" spans="1:11" x14ac:dyDescent="0.35">
      <c r="A495">
        <f t="shared" si="8"/>
        <v>1.375</v>
      </c>
      <c r="C495" s="41">
        <v>14</v>
      </c>
      <c r="E495" s="1" t="s">
        <v>700</v>
      </c>
      <c r="F495" s="34">
        <v>22</v>
      </c>
      <c r="G495" s="46">
        <v>16</v>
      </c>
      <c r="H495" s="11" t="s">
        <v>731</v>
      </c>
      <c r="I495" s="46">
        <v>1</v>
      </c>
      <c r="J495" s="41" t="s">
        <v>821</v>
      </c>
      <c r="K495" t="s">
        <v>1245</v>
      </c>
    </row>
    <row r="496" spans="1:11" x14ac:dyDescent="0.35">
      <c r="A496">
        <f t="shared" si="8"/>
        <v>1.1428571428571428</v>
      </c>
      <c r="C496" s="41">
        <v>15</v>
      </c>
      <c r="E496" s="1" t="s">
        <v>582</v>
      </c>
      <c r="F496" s="34">
        <v>16</v>
      </c>
      <c r="G496" s="46">
        <v>14</v>
      </c>
      <c r="H496" s="11" t="s">
        <v>737</v>
      </c>
      <c r="J496" s="41" t="s">
        <v>702</v>
      </c>
    </row>
    <row r="497" spans="1:11" x14ac:dyDescent="0.35">
      <c r="A497">
        <f t="shared" si="8"/>
        <v>1.3888888888888888</v>
      </c>
      <c r="C497" s="41">
        <v>16</v>
      </c>
      <c r="E497" s="1" t="s">
        <v>693</v>
      </c>
      <c r="F497" s="34">
        <v>25</v>
      </c>
      <c r="G497" s="46">
        <v>18</v>
      </c>
      <c r="H497" s="11" t="s">
        <v>712</v>
      </c>
      <c r="J497" s="41" t="s">
        <v>719</v>
      </c>
    </row>
    <row r="498" spans="1:11" x14ac:dyDescent="0.35">
      <c r="A498">
        <f t="shared" si="8"/>
        <v>1.411764705882353</v>
      </c>
      <c r="C498" s="41">
        <v>17</v>
      </c>
      <c r="E498" s="1" t="s">
        <v>673</v>
      </c>
      <c r="F498" s="34">
        <v>24</v>
      </c>
      <c r="G498" s="46">
        <v>17</v>
      </c>
      <c r="H498" s="11" t="s">
        <v>792</v>
      </c>
      <c r="J498" s="41" t="s">
        <v>759</v>
      </c>
    </row>
    <row r="499" spans="1:11" x14ac:dyDescent="0.35">
      <c r="A499">
        <f t="shared" si="8"/>
        <v>2</v>
      </c>
      <c r="C499" s="41">
        <v>18</v>
      </c>
      <c r="D499" s="34">
        <v>5</v>
      </c>
      <c r="E499" s="1" t="s">
        <v>746</v>
      </c>
      <c r="F499" s="34">
        <v>22</v>
      </c>
      <c r="G499" s="46">
        <v>11</v>
      </c>
      <c r="H499" s="11" t="s">
        <v>777</v>
      </c>
      <c r="J499" s="41" t="s">
        <v>773</v>
      </c>
    </row>
    <row r="500" spans="1:11" x14ac:dyDescent="0.35">
      <c r="A500">
        <f t="shared" si="8"/>
        <v>1.05</v>
      </c>
      <c r="C500" s="41">
        <v>19</v>
      </c>
      <c r="E500" s="1" t="s">
        <v>763</v>
      </c>
      <c r="F500" s="34">
        <v>21</v>
      </c>
      <c r="G500" s="46">
        <v>20</v>
      </c>
      <c r="H500" s="11" t="s">
        <v>785</v>
      </c>
      <c r="I500" s="46">
        <v>4</v>
      </c>
      <c r="J500" s="41" t="s">
        <v>818</v>
      </c>
      <c r="K500" t="s">
        <v>1246</v>
      </c>
    </row>
    <row r="501" spans="1:11" x14ac:dyDescent="0.35">
      <c r="A501">
        <f t="shared" si="8"/>
        <v>1.8333333333333333</v>
      </c>
      <c r="C501" s="41">
        <v>20</v>
      </c>
      <c r="E501" s="1" t="s">
        <v>784</v>
      </c>
      <c r="F501" s="34">
        <v>22</v>
      </c>
      <c r="G501" s="46">
        <v>12</v>
      </c>
      <c r="H501" s="11" t="s">
        <v>756</v>
      </c>
      <c r="J501" s="41" t="s">
        <v>820</v>
      </c>
    </row>
    <row r="502" spans="1:11" x14ac:dyDescent="0.35">
      <c r="A502">
        <f t="shared" si="8"/>
        <v>1.625</v>
      </c>
      <c r="C502" s="41">
        <v>21</v>
      </c>
      <c r="E502" s="1" t="s">
        <v>681</v>
      </c>
      <c r="F502" s="34">
        <v>13</v>
      </c>
      <c r="G502" s="46">
        <v>8</v>
      </c>
      <c r="H502" s="11" t="s">
        <v>664</v>
      </c>
      <c r="J502" s="41" t="s">
        <v>769</v>
      </c>
    </row>
    <row r="503" spans="1:11" x14ac:dyDescent="0.35">
      <c r="A503">
        <f t="shared" si="8"/>
        <v>2.1818181818181817</v>
      </c>
      <c r="C503" s="41">
        <v>22</v>
      </c>
      <c r="D503" s="34">
        <v>11</v>
      </c>
      <c r="E503" s="1" t="s">
        <v>644</v>
      </c>
      <c r="F503" s="34">
        <v>24</v>
      </c>
      <c r="G503" s="46">
        <v>11</v>
      </c>
      <c r="H503" s="11" t="s">
        <v>774</v>
      </c>
      <c r="J503" s="41" t="s">
        <v>905</v>
      </c>
    </row>
    <row r="504" spans="1:11" x14ac:dyDescent="0.35">
      <c r="A504">
        <f t="shared" si="8"/>
        <v>1.2857142857142858</v>
      </c>
      <c r="C504" s="41">
        <v>23</v>
      </c>
      <c r="E504" s="1" t="s">
        <v>1158</v>
      </c>
      <c r="F504" s="34">
        <v>18</v>
      </c>
      <c r="G504" s="46">
        <v>14</v>
      </c>
      <c r="H504" s="11" t="s">
        <v>1161</v>
      </c>
      <c r="J504" s="41" t="s">
        <v>699</v>
      </c>
    </row>
    <row r="505" spans="1:11" x14ac:dyDescent="0.35">
      <c r="A505">
        <f t="shared" si="8"/>
        <v>1.2142857142857142</v>
      </c>
      <c r="C505" s="41">
        <v>24</v>
      </c>
      <c r="E505" s="1" t="s">
        <v>1160</v>
      </c>
      <c r="F505" s="34">
        <v>17</v>
      </c>
      <c r="G505" s="46">
        <v>14</v>
      </c>
      <c r="H505" s="11" t="s">
        <v>1157</v>
      </c>
      <c r="I505" s="46">
        <v>7</v>
      </c>
      <c r="J505" s="41" t="s">
        <v>705</v>
      </c>
    </row>
    <row r="506" spans="1:11" x14ac:dyDescent="0.35">
      <c r="A506">
        <f t="shared" si="8"/>
        <v>1.8181818181818181</v>
      </c>
      <c r="C506" s="41">
        <v>25</v>
      </c>
      <c r="E506" s="1" t="s">
        <v>738</v>
      </c>
      <c r="F506" s="34">
        <v>20</v>
      </c>
      <c r="G506" s="46">
        <v>11</v>
      </c>
      <c r="H506" s="11" t="s">
        <v>646</v>
      </c>
      <c r="J506" s="41" t="s">
        <v>823</v>
      </c>
    </row>
    <row r="507" spans="1:11" x14ac:dyDescent="0.35">
      <c r="A507">
        <f t="shared" si="8"/>
        <v>1.1428571428571428</v>
      </c>
      <c r="C507" s="41">
        <v>26</v>
      </c>
      <c r="E507" s="1" t="s">
        <v>1155</v>
      </c>
      <c r="F507" s="34">
        <v>16</v>
      </c>
      <c r="G507" s="46">
        <v>14</v>
      </c>
      <c r="H507" s="11" t="s">
        <v>1163</v>
      </c>
      <c r="J507" s="41" t="s">
        <v>790</v>
      </c>
    </row>
    <row r="508" spans="1:11" x14ac:dyDescent="0.35">
      <c r="A508">
        <f t="shared" si="8"/>
        <v>1.1111111111111112</v>
      </c>
      <c r="C508" s="41">
        <v>27</v>
      </c>
      <c r="E508" s="1" t="s">
        <v>778</v>
      </c>
      <c r="F508" s="34">
        <v>10</v>
      </c>
      <c r="G508" s="46">
        <v>9</v>
      </c>
      <c r="H508" s="11" t="s">
        <v>680</v>
      </c>
      <c r="J508" s="41" t="s">
        <v>826</v>
      </c>
    </row>
    <row r="509" spans="1:11" x14ac:dyDescent="0.35">
      <c r="A509">
        <f t="shared" si="8"/>
        <v>1.1818181818181819</v>
      </c>
      <c r="C509" s="41">
        <v>28</v>
      </c>
      <c r="E509" s="1" t="s">
        <v>780</v>
      </c>
      <c r="F509" s="34">
        <v>13</v>
      </c>
      <c r="G509" s="46">
        <v>11</v>
      </c>
      <c r="H509" s="11" t="s">
        <v>649</v>
      </c>
      <c r="I509" s="46">
        <v>25</v>
      </c>
      <c r="J509" s="41" t="s">
        <v>769</v>
      </c>
    </row>
    <row r="510" spans="1:11" x14ac:dyDescent="0.35">
      <c r="A510">
        <f t="shared" si="8"/>
        <v>1.1333333333333333</v>
      </c>
      <c r="C510" s="41">
        <v>29</v>
      </c>
      <c r="E510" s="1" t="s">
        <v>704</v>
      </c>
      <c r="F510" s="34">
        <v>17</v>
      </c>
      <c r="G510" s="46">
        <v>15</v>
      </c>
      <c r="H510" s="11" t="s">
        <v>723</v>
      </c>
      <c r="J510" s="41" t="s">
        <v>796</v>
      </c>
      <c r="K510" t="s">
        <v>1247</v>
      </c>
    </row>
    <row r="511" spans="1:11" x14ac:dyDescent="0.35">
      <c r="A511">
        <f t="shared" si="8"/>
        <v>1.0625</v>
      </c>
      <c r="C511" s="41">
        <v>30</v>
      </c>
      <c r="E511" s="1" t="s">
        <v>666</v>
      </c>
      <c r="F511" s="34">
        <v>17</v>
      </c>
      <c r="G511" s="46">
        <v>16</v>
      </c>
      <c r="H511" s="11" t="s">
        <v>1165</v>
      </c>
      <c r="J511" s="41" t="s">
        <v>724</v>
      </c>
    </row>
    <row r="512" spans="1:11" x14ac:dyDescent="0.35">
      <c r="A512">
        <f t="shared" si="8"/>
        <v>1.4166666666666667</v>
      </c>
      <c r="C512" s="41">
        <v>31</v>
      </c>
      <c r="E512" s="1" t="s">
        <v>676</v>
      </c>
      <c r="F512" s="34">
        <v>17</v>
      </c>
      <c r="G512" s="46">
        <v>12</v>
      </c>
      <c r="H512" s="11" t="s">
        <v>758</v>
      </c>
      <c r="J512" s="41" t="s">
        <v>702</v>
      </c>
    </row>
    <row r="513" spans="1:11" x14ac:dyDescent="0.35">
      <c r="A513">
        <f t="shared" si="8"/>
        <v>3.25</v>
      </c>
      <c r="C513" s="41">
        <v>32</v>
      </c>
      <c r="D513" s="34">
        <v>6</v>
      </c>
      <c r="E513" s="1" t="s">
        <v>663</v>
      </c>
      <c r="F513" s="34">
        <v>26</v>
      </c>
      <c r="G513" s="46">
        <v>8</v>
      </c>
      <c r="H513" s="11" t="s">
        <v>665</v>
      </c>
      <c r="J513" s="41" t="s">
        <v>935</v>
      </c>
    </row>
    <row r="514" spans="1:11" x14ac:dyDescent="0.35">
      <c r="A514">
        <f t="shared" si="8"/>
        <v>1.3636363636363635</v>
      </c>
      <c r="C514" s="41">
        <v>33</v>
      </c>
      <c r="E514" s="1" t="s">
        <v>650</v>
      </c>
      <c r="F514" s="34">
        <v>15</v>
      </c>
      <c r="G514" s="46">
        <v>11</v>
      </c>
      <c r="H514" s="11" t="s">
        <v>720</v>
      </c>
      <c r="I514" s="46">
        <v>3</v>
      </c>
      <c r="J514" s="41" t="s">
        <v>721</v>
      </c>
    </row>
    <row r="515" spans="1:11" x14ac:dyDescent="0.35">
      <c r="A515">
        <f t="shared" ref="A515:A578" si="9">(F515/G515)</f>
        <v>1.25</v>
      </c>
      <c r="C515" s="41">
        <v>34</v>
      </c>
      <c r="E515" s="1" t="s">
        <v>661</v>
      </c>
      <c r="F515" s="34">
        <v>15</v>
      </c>
      <c r="G515" s="46">
        <v>12</v>
      </c>
      <c r="H515" s="11" t="s">
        <v>747</v>
      </c>
      <c r="I515" s="46">
        <v>24</v>
      </c>
      <c r="J515" s="41" t="s">
        <v>790</v>
      </c>
    </row>
    <row r="516" spans="1:11" x14ac:dyDescent="0.35">
      <c r="A516">
        <f t="shared" si="9"/>
        <v>2.125</v>
      </c>
      <c r="C516" s="41">
        <v>35</v>
      </c>
      <c r="E516" s="1" t="s">
        <v>692</v>
      </c>
      <c r="F516" s="34">
        <v>17</v>
      </c>
      <c r="G516" s="46">
        <v>8</v>
      </c>
      <c r="H516" s="11" t="s">
        <v>732</v>
      </c>
      <c r="J516" s="41" t="s">
        <v>789</v>
      </c>
    </row>
    <row r="517" spans="1:11" x14ac:dyDescent="0.35">
      <c r="A517">
        <f t="shared" si="9"/>
        <v>1.1666666666666667</v>
      </c>
      <c r="C517" s="41">
        <v>36</v>
      </c>
      <c r="E517" s="1" t="s">
        <v>671</v>
      </c>
      <c r="F517" s="34">
        <v>14</v>
      </c>
      <c r="G517" s="46">
        <v>12</v>
      </c>
      <c r="H517" s="11" t="s">
        <v>765</v>
      </c>
      <c r="J517" s="41" t="s">
        <v>727</v>
      </c>
    </row>
    <row r="518" spans="1:11" x14ac:dyDescent="0.35">
      <c r="A518">
        <f t="shared" si="9"/>
        <v>1.5555555555555556</v>
      </c>
      <c r="C518" s="41">
        <v>37</v>
      </c>
      <c r="D518" s="34">
        <v>19</v>
      </c>
      <c r="E518" s="1" t="s">
        <v>767</v>
      </c>
      <c r="F518" s="34">
        <v>14</v>
      </c>
      <c r="G518" s="46">
        <v>9</v>
      </c>
      <c r="H518" s="11" t="s">
        <v>701</v>
      </c>
      <c r="J518" s="41" t="s">
        <v>714</v>
      </c>
    </row>
    <row r="519" spans="1:11" x14ac:dyDescent="0.35">
      <c r="A519">
        <f t="shared" si="9"/>
        <v>1.5454545454545454</v>
      </c>
      <c r="C519" s="41">
        <v>38</v>
      </c>
      <c r="D519" s="34">
        <v>12</v>
      </c>
      <c r="E519" s="1" t="s">
        <v>755</v>
      </c>
      <c r="F519" s="34">
        <v>17</v>
      </c>
      <c r="G519" s="46">
        <v>11</v>
      </c>
      <c r="H519" s="11" t="s">
        <v>642</v>
      </c>
      <c r="J519" s="41" t="s">
        <v>789</v>
      </c>
    </row>
    <row r="520" spans="1:11" x14ac:dyDescent="0.35">
      <c r="A520">
        <f t="shared" si="9"/>
        <v>1.3076923076923077</v>
      </c>
      <c r="C520" s="41">
        <v>39</v>
      </c>
      <c r="E520" s="1" t="s">
        <v>679</v>
      </c>
      <c r="F520" s="34">
        <v>17</v>
      </c>
      <c r="G520" s="46">
        <v>13</v>
      </c>
      <c r="H520" s="11" t="s">
        <v>757</v>
      </c>
      <c r="J520" s="41" t="s">
        <v>806</v>
      </c>
    </row>
    <row r="521" spans="1:11" x14ac:dyDescent="0.35">
      <c r="A521">
        <f t="shared" si="9"/>
        <v>2</v>
      </c>
      <c r="C521" s="41">
        <v>40</v>
      </c>
      <c r="E521" s="1" t="s">
        <v>640</v>
      </c>
      <c r="F521" s="34">
        <v>22</v>
      </c>
      <c r="G521" s="46">
        <v>11</v>
      </c>
      <c r="H521" s="11" t="s">
        <v>761</v>
      </c>
      <c r="I521" s="46">
        <v>21</v>
      </c>
      <c r="J521" s="41" t="s">
        <v>1237</v>
      </c>
    </row>
    <row r="522" spans="1:11" x14ac:dyDescent="0.35">
      <c r="A522">
        <f t="shared" si="9"/>
        <v>2.8333333333333335</v>
      </c>
      <c r="C522" s="41">
        <v>41</v>
      </c>
      <c r="E522" s="1" t="s">
        <v>1164</v>
      </c>
      <c r="F522" s="34">
        <v>17</v>
      </c>
      <c r="G522" s="46">
        <v>6</v>
      </c>
      <c r="H522" s="11" t="s">
        <v>468</v>
      </c>
      <c r="I522" s="46">
        <v>14</v>
      </c>
      <c r="J522" s="41" t="s">
        <v>899</v>
      </c>
    </row>
    <row r="523" spans="1:11" x14ac:dyDescent="0.35">
      <c r="A523">
        <f t="shared" si="9"/>
        <v>1.1818181818181819</v>
      </c>
      <c r="C523" s="41">
        <v>42</v>
      </c>
      <c r="E523" s="1" t="s">
        <v>783</v>
      </c>
      <c r="F523" s="34">
        <v>13</v>
      </c>
      <c r="G523" s="46">
        <v>11</v>
      </c>
      <c r="H523" s="11" t="s">
        <v>729</v>
      </c>
      <c r="J523" s="41" t="s">
        <v>770</v>
      </c>
    </row>
    <row r="524" spans="1:11" x14ac:dyDescent="0.35">
      <c r="A524">
        <f t="shared" si="9"/>
        <v>2.625</v>
      </c>
      <c r="C524" s="41">
        <v>43</v>
      </c>
      <c r="D524" s="34">
        <v>9</v>
      </c>
      <c r="E524" s="1" t="s">
        <v>245</v>
      </c>
      <c r="F524" s="34">
        <v>21</v>
      </c>
      <c r="G524" s="46">
        <v>8</v>
      </c>
      <c r="H524" s="11" t="s">
        <v>764</v>
      </c>
      <c r="J524" s="41" t="s">
        <v>793</v>
      </c>
    </row>
    <row r="525" spans="1:11" x14ac:dyDescent="0.35">
      <c r="A525">
        <f t="shared" si="9"/>
        <v>2.6666666666666665</v>
      </c>
      <c r="C525" s="41">
        <v>44</v>
      </c>
      <c r="D525" s="34">
        <v>23</v>
      </c>
      <c r="E525" s="1" t="s">
        <v>734</v>
      </c>
      <c r="F525" s="34">
        <v>16</v>
      </c>
      <c r="G525" s="46">
        <v>6</v>
      </c>
      <c r="H525" s="11" t="s">
        <v>647</v>
      </c>
      <c r="I525" s="46">
        <v>20</v>
      </c>
      <c r="J525" s="41" t="s">
        <v>775</v>
      </c>
    </row>
    <row r="526" spans="1:11" x14ac:dyDescent="0.35">
      <c r="A526">
        <f t="shared" si="9"/>
        <v>2.3333333333333335</v>
      </c>
      <c r="C526" s="41">
        <v>45</v>
      </c>
      <c r="D526" s="34">
        <v>22</v>
      </c>
      <c r="E526" s="1" t="s">
        <v>718</v>
      </c>
      <c r="F526" s="34">
        <v>21</v>
      </c>
      <c r="G526" s="46">
        <v>9</v>
      </c>
      <c r="H526" s="11" t="s">
        <v>768</v>
      </c>
      <c r="I526" s="46">
        <v>16</v>
      </c>
      <c r="J526" s="41" t="s">
        <v>844</v>
      </c>
    </row>
    <row r="527" spans="1:11" x14ac:dyDescent="0.35">
      <c r="A527">
        <f t="shared" si="9"/>
        <v>1.5833333333333333</v>
      </c>
      <c r="C527" s="41">
        <v>46</v>
      </c>
      <c r="D527" s="34">
        <v>18</v>
      </c>
      <c r="E527" s="1" t="s">
        <v>643</v>
      </c>
      <c r="F527" s="34">
        <v>19</v>
      </c>
      <c r="G527" s="46">
        <v>12</v>
      </c>
      <c r="H527" s="11" t="s">
        <v>467</v>
      </c>
      <c r="I527" s="46">
        <v>2</v>
      </c>
      <c r="J527" s="41" t="s">
        <v>773</v>
      </c>
      <c r="K527" t="s">
        <v>1248</v>
      </c>
    </row>
    <row r="528" spans="1:11" x14ac:dyDescent="0.35">
      <c r="A528">
        <f t="shared" si="9"/>
        <v>3.3333333333333335</v>
      </c>
      <c r="C528" s="41">
        <v>47</v>
      </c>
      <c r="D528" s="34">
        <v>13</v>
      </c>
      <c r="E528" s="1" t="s">
        <v>242</v>
      </c>
      <c r="F528" s="34">
        <v>20</v>
      </c>
      <c r="G528" s="46">
        <v>6</v>
      </c>
      <c r="H528" s="11" t="s">
        <v>713</v>
      </c>
      <c r="I528" s="46">
        <v>17</v>
      </c>
      <c r="J528" s="41" t="s">
        <v>836</v>
      </c>
    </row>
    <row r="529" spans="1:20" ht="15" thickBot="1" x14ac:dyDescent="0.4">
      <c r="A529">
        <f t="shared" si="9"/>
        <v>1.1111111111111112</v>
      </c>
      <c r="C529" s="42">
        <v>48</v>
      </c>
      <c r="D529" s="49">
        <v>10</v>
      </c>
      <c r="E529" s="45" t="s">
        <v>670</v>
      </c>
      <c r="F529" s="49">
        <v>10</v>
      </c>
      <c r="G529" s="50">
        <v>9</v>
      </c>
      <c r="H529" s="51" t="s">
        <v>750</v>
      </c>
      <c r="I529" s="50">
        <v>8</v>
      </c>
      <c r="J529" s="40" t="s">
        <v>955</v>
      </c>
      <c r="K529" s="40" t="s">
        <v>1249</v>
      </c>
    </row>
    <row r="530" spans="1:20" x14ac:dyDescent="0.35">
      <c r="A530">
        <f t="shared" si="9"/>
        <v>1.3846153846153846</v>
      </c>
      <c r="B530" t="s">
        <v>1109</v>
      </c>
      <c r="C530" s="41">
        <v>1</v>
      </c>
      <c r="E530" s="1" t="s">
        <v>677</v>
      </c>
      <c r="F530" s="34">
        <v>18</v>
      </c>
      <c r="G530" s="46">
        <v>13</v>
      </c>
      <c r="H530" s="11" t="s">
        <v>672</v>
      </c>
      <c r="J530" s="41" t="s">
        <v>699</v>
      </c>
      <c r="T530">
        <v>400</v>
      </c>
    </row>
    <row r="531" spans="1:20" x14ac:dyDescent="0.35">
      <c r="A531">
        <f t="shared" si="9"/>
        <v>1.3636363636363635</v>
      </c>
      <c r="C531" s="41">
        <v>2</v>
      </c>
      <c r="E531" s="1" t="s">
        <v>680</v>
      </c>
      <c r="F531" s="34">
        <v>15</v>
      </c>
      <c r="G531" s="46">
        <v>11</v>
      </c>
      <c r="H531" s="11" t="s">
        <v>726</v>
      </c>
      <c r="J531" s="41" t="s">
        <v>705</v>
      </c>
      <c r="T531">
        <v>300</v>
      </c>
    </row>
    <row r="532" spans="1:20" x14ac:dyDescent="0.35">
      <c r="A532">
        <f t="shared" si="9"/>
        <v>1.2142857142857142</v>
      </c>
      <c r="C532" s="41">
        <v>3</v>
      </c>
      <c r="E532" s="1" t="s">
        <v>716</v>
      </c>
      <c r="F532" s="34">
        <v>17</v>
      </c>
      <c r="G532" s="46">
        <v>14</v>
      </c>
      <c r="H532" s="11" t="s">
        <v>647</v>
      </c>
      <c r="I532" s="46">
        <v>24</v>
      </c>
      <c r="J532" s="41" t="s">
        <v>836</v>
      </c>
      <c r="T532">
        <v>200</v>
      </c>
    </row>
    <row r="533" spans="1:20" x14ac:dyDescent="0.35">
      <c r="A533">
        <f t="shared" si="9"/>
        <v>1.8333333333333333</v>
      </c>
      <c r="C533" s="41">
        <v>4</v>
      </c>
      <c r="E533" s="1" t="s">
        <v>673</v>
      </c>
      <c r="F533" s="34">
        <v>22</v>
      </c>
      <c r="G533" s="46">
        <v>12</v>
      </c>
      <c r="H533" s="11" t="s">
        <v>760</v>
      </c>
      <c r="J533" s="41" t="s">
        <v>920</v>
      </c>
      <c r="T533">
        <v>175</v>
      </c>
    </row>
    <row r="534" spans="1:20" x14ac:dyDescent="0.35">
      <c r="A534">
        <f t="shared" si="9"/>
        <v>1.1428571428571428</v>
      </c>
      <c r="C534" s="41">
        <v>5</v>
      </c>
      <c r="E534" s="1" t="s">
        <v>645</v>
      </c>
      <c r="F534" s="34">
        <v>16</v>
      </c>
      <c r="G534" s="46">
        <v>14</v>
      </c>
      <c r="H534" s="11" t="s">
        <v>666</v>
      </c>
      <c r="J534" s="41" t="s">
        <v>721</v>
      </c>
      <c r="K534" t="s">
        <v>1250</v>
      </c>
      <c r="T534">
        <v>125</v>
      </c>
    </row>
    <row r="535" spans="1:20" x14ac:dyDescent="0.35">
      <c r="A535">
        <f t="shared" si="9"/>
        <v>1.1666666666666667</v>
      </c>
      <c r="C535" s="41">
        <v>6</v>
      </c>
      <c r="E535" s="1" t="s">
        <v>678</v>
      </c>
      <c r="F535" s="34">
        <v>21</v>
      </c>
      <c r="G535" s="46">
        <v>18</v>
      </c>
      <c r="H535" s="11" t="s">
        <v>755</v>
      </c>
      <c r="I535" s="46">
        <v>13</v>
      </c>
      <c r="J535" s="41" t="s">
        <v>759</v>
      </c>
      <c r="K535" t="s">
        <v>1251</v>
      </c>
      <c r="T535">
        <v>100</v>
      </c>
    </row>
    <row r="536" spans="1:20" x14ac:dyDescent="0.35">
      <c r="A536">
        <f t="shared" si="9"/>
        <v>1.4545454545454546</v>
      </c>
      <c r="C536" s="41">
        <v>7</v>
      </c>
      <c r="E536" s="1" t="s">
        <v>465</v>
      </c>
      <c r="F536" s="34">
        <v>16</v>
      </c>
      <c r="G536" s="46">
        <v>11</v>
      </c>
      <c r="H536" s="11" t="s">
        <v>700</v>
      </c>
      <c r="J536" s="41" t="s">
        <v>721</v>
      </c>
      <c r="T536">
        <v>75</v>
      </c>
    </row>
    <row r="537" spans="1:20" x14ac:dyDescent="0.35">
      <c r="A537">
        <f t="shared" si="9"/>
        <v>1.625</v>
      </c>
      <c r="C537" s="41">
        <v>8</v>
      </c>
      <c r="E537" s="1" t="s">
        <v>706</v>
      </c>
      <c r="F537" s="34">
        <v>13</v>
      </c>
      <c r="G537" s="46">
        <v>8</v>
      </c>
      <c r="H537" s="11" t="s">
        <v>701</v>
      </c>
      <c r="J537" s="41" t="s">
        <v>730</v>
      </c>
      <c r="T537">
        <v>50</v>
      </c>
    </row>
    <row r="538" spans="1:20" x14ac:dyDescent="0.35">
      <c r="A538">
        <f t="shared" si="9"/>
        <v>1.9090909090909092</v>
      </c>
      <c r="C538" s="41">
        <v>9</v>
      </c>
      <c r="D538" s="34">
        <v>2</v>
      </c>
      <c r="E538" s="1" t="s">
        <v>746</v>
      </c>
      <c r="F538" s="34">
        <v>21</v>
      </c>
      <c r="G538" s="46">
        <v>11</v>
      </c>
      <c r="H538" s="11" t="s">
        <v>753</v>
      </c>
      <c r="J538" s="41" t="s">
        <v>773</v>
      </c>
    </row>
    <row r="539" spans="1:20" x14ac:dyDescent="0.35">
      <c r="A539">
        <f t="shared" si="9"/>
        <v>1.3333333333333333</v>
      </c>
      <c r="C539" s="41">
        <v>10</v>
      </c>
      <c r="E539" s="1" t="s">
        <v>779</v>
      </c>
      <c r="F539" s="34">
        <v>12</v>
      </c>
      <c r="G539" s="46">
        <v>9</v>
      </c>
      <c r="H539" s="11" t="s">
        <v>742</v>
      </c>
      <c r="J539" s="41" t="s">
        <v>721</v>
      </c>
    </row>
    <row r="540" spans="1:20" x14ac:dyDescent="0.35">
      <c r="A540">
        <f t="shared" si="9"/>
        <v>1.5714285714285714</v>
      </c>
      <c r="C540" s="41">
        <v>11</v>
      </c>
      <c r="D540" s="34">
        <v>10</v>
      </c>
      <c r="E540" s="1" t="s">
        <v>1157</v>
      </c>
      <c r="F540" s="34">
        <v>22</v>
      </c>
      <c r="G540" s="46">
        <v>14</v>
      </c>
      <c r="H540" s="11" t="s">
        <v>1156</v>
      </c>
      <c r="J540" s="41" t="s">
        <v>851</v>
      </c>
      <c r="K540" t="s">
        <v>1252</v>
      </c>
    </row>
    <row r="541" spans="1:20" x14ac:dyDescent="0.35">
      <c r="A541">
        <f t="shared" si="9"/>
        <v>2.5</v>
      </c>
      <c r="C541" s="41">
        <v>12</v>
      </c>
      <c r="E541" s="1" t="s">
        <v>780</v>
      </c>
      <c r="F541" s="34">
        <v>15</v>
      </c>
      <c r="G541" s="46">
        <v>6</v>
      </c>
      <c r="H541" s="11" t="s">
        <v>712</v>
      </c>
      <c r="J541" s="41" t="s">
        <v>741</v>
      </c>
    </row>
    <row r="542" spans="1:20" x14ac:dyDescent="0.35">
      <c r="A542">
        <f t="shared" si="9"/>
        <v>1.1176470588235294</v>
      </c>
      <c r="C542" s="41">
        <v>13</v>
      </c>
      <c r="E542" s="1" t="s">
        <v>772</v>
      </c>
      <c r="F542" s="34">
        <v>19</v>
      </c>
      <c r="G542" s="46">
        <v>17</v>
      </c>
      <c r="H542" s="11" t="s">
        <v>792</v>
      </c>
      <c r="J542" s="41" t="s">
        <v>866</v>
      </c>
    </row>
    <row r="543" spans="1:20" x14ac:dyDescent="0.35">
      <c r="A543">
        <f t="shared" si="9"/>
        <v>1.8181818181818181</v>
      </c>
      <c r="C543" s="41">
        <v>14</v>
      </c>
      <c r="E543" s="1" t="s">
        <v>1162</v>
      </c>
      <c r="F543" s="34">
        <v>20</v>
      </c>
      <c r="G543" s="46">
        <v>11</v>
      </c>
      <c r="H543" s="11" t="s">
        <v>1160</v>
      </c>
      <c r="J543" s="41" t="s">
        <v>744</v>
      </c>
    </row>
    <row r="544" spans="1:20" x14ac:dyDescent="0.35">
      <c r="A544">
        <f t="shared" si="9"/>
        <v>1.8888888888888888</v>
      </c>
      <c r="C544" s="41">
        <v>15</v>
      </c>
      <c r="D544" s="34">
        <v>15</v>
      </c>
      <c r="E544" s="1" t="s">
        <v>734</v>
      </c>
      <c r="F544" s="34">
        <v>17</v>
      </c>
      <c r="G544" s="46">
        <v>9</v>
      </c>
      <c r="H544" s="11" t="s">
        <v>722</v>
      </c>
      <c r="J544" s="41" t="s">
        <v>721</v>
      </c>
    </row>
    <row r="545" spans="1:11" x14ac:dyDescent="0.35">
      <c r="A545">
        <f t="shared" si="9"/>
        <v>1.0714285714285714</v>
      </c>
      <c r="C545" s="41">
        <v>16</v>
      </c>
      <c r="E545" s="1" t="s">
        <v>732</v>
      </c>
      <c r="F545" s="34">
        <v>15</v>
      </c>
      <c r="G545" s="46">
        <v>14</v>
      </c>
      <c r="H545" s="11" t="s">
        <v>582</v>
      </c>
      <c r="J545" s="41" t="s">
        <v>710</v>
      </c>
    </row>
    <row r="546" spans="1:11" x14ac:dyDescent="0.35">
      <c r="A546">
        <f t="shared" si="9"/>
        <v>1.375</v>
      </c>
      <c r="C546" s="41">
        <v>17</v>
      </c>
      <c r="E546" s="1" t="s">
        <v>743</v>
      </c>
      <c r="F546" s="34">
        <v>22</v>
      </c>
      <c r="G546" s="46">
        <v>16</v>
      </c>
      <c r="H546" s="11" t="s">
        <v>750</v>
      </c>
      <c r="I546" s="46">
        <v>12</v>
      </c>
      <c r="J546" s="41" t="s">
        <v>796</v>
      </c>
      <c r="K546" t="s">
        <v>1253</v>
      </c>
    </row>
    <row r="547" spans="1:11" x14ac:dyDescent="0.35">
      <c r="A547">
        <f t="shared" si="9"/>
        <v>1.1428571428571428</v>
      </c>
      <c r="C547" s="41">
        <v>18</v>
      </c>
      <c r="E547" s="1" t="s">
        <v>778</v>
      </c>
      <c r="F547" s="34">
        <v>16</v>
      </c>
      <c r="G547" s="46">
        <v>14</v>
      </c>
      <c r="H547" s="11" t="s">
        <v>776</v>
      </c>
      <c r="J547" s="41" t="s">
        <v>705</v>
      </c>
    </row>
    <row r="548" spans="1:11" x14ac:dyDescent="0.35">
      <c r="A548">
        <f t="shared" si="9"/>
        <v>1.3333333333333333</v>
      </c>
      <c r="C548" s="41">
        <v>19</v>
      </c>
      <c r="E548" s="1" t="s">
        <v>774</v>
      </c>
      <c r="F548" s="34">
        <v>16</v>
      </c>
      <c r="G548" s="46">
        <v>12</v>
      </c>
      <c r="H548" s="11" t="s">
        <v>771</v>
      </c>
      <c r="J548" s="41" t="s">
        <v>866</v>
      </c>
    </row>
    <row r="549" spans="1:11" x14ac:dyDescent="0.35">
      <c r="A549">
        <f t="shared" si="9"/>
        <v>1.05</v>
      </c>
      <c r="C549" s="41">
        <v>20</v>
      </c>
      <c r="E549" s="1" t="s">
        <v>664</v>
      </c>
      <c r="F549" s="34">
        <v>21</v>
      </c>
      <c r="G549" s="46">
        <v>20</v>
      </c>
      <c r="H549" s="11" t="s">
        <v>468</v>
      </c>
      <c r="I549" s="46">
        <v>20</v>
      </c>
      <c r="J549" s="41" t="s">
        <v>735</v>
      </c>
      <c r="K549" t="s">
        <v>1254</v>
      </c>
    </row>
    <row r="550" spans="1:11" x14ac:dyDescent="0.35">
      <c r="A550">
        <f t="shared" si="9"/>
        <v>2.2000000000000002</v>
      </c>
      <c r="C550" s="41">
        <v>21</v>
      </c>
      <c r="E550" s="1" t="s">
        <v>466</v>
      </c>
      <c r="F550" s="34">
        <v>22</v>
      </c>
      <c r="G550" s="46">
        <v>10</v>
      </c>
      <c r="H550" s="11" t="s">
        <v>777</v>
      </c>
      <c r="J550" s="41" t="s">
        <v>699</v>
      </c>
    </row>
    <row r="551" spans="1:11" x14ac:dyDescent="0.35">
      <c r="A551">
        <f t="shared" si="9"/>
        <v>1.1428571428571428</v>
      </c>
      <c r="C551" s="41">
        <v>22</v>
      </c>
      <c r="E551" s="1" t="s">
        <v>646</v>
      </c>
      <c r="F551" s="34">
        <v>16</v>
      </c>
      <c r="G551" s="46">
        <v>14</v>
      </c>
      <c r="H551" s="11" t="s">
        <v>713</v>
      </c>
      <c r="I551" s="46">
        <v>19</v>
      </c>
      <c r="J551" s="41" t="s">
        <v>744</v>
      </c>
      <c r="K551" t="s">
        <v>1255</v>
      </c>
    </row>
    <row r="552" spans="1:11" x14ac:dyDescent="0.35">
      <c r="A552">
        <f t="shared" si="9"/>
        <v>1.6</v>
      </c>
      <c r="C552" s="41">
        <v>23</v>
      </c>
      <c r="E552" s="1" t="s">
        <v>692</v>
      </c>
      <c r="F552" s="34">
        <v>16</v>
      </c>
      <c r="G552" s="46">
        <v>10</v>
      </c>
      <c r="H552" s="11" t="s">
        <v>737</v>
      </c>
      <c r="J552" s="41" t="s">
        <v>769</v>
      </c>
    </row>
    <row r="553" spans="1:11" x14ac:dyDescent="0.35">
      <c r="A553">
        <f t="shared" si="9"/>
        <v>2.3333333333333335</v>
      </c>
      <c r="C553" s="41">
        <v>24</v>
      </c>
      <c r="D553" s="34">
        <v>17</v>
      </c>
      <c r="E553" s="1" t="s">
        <v>767</v>
      </c>
      <c r="F553" s="34">
        <v>14</v>
      </c>
      <c r="G553" s="46">
        <v>6</v>
      </c>
      <c r="H553" s="11" t="s">
        <v>660</v>
      </c>
      <c r="J553" s="41" t="s">
        <v>714</v>
      </c>
      <c r="K553" t="s">
        <v>1256</v>
      </c>
    </row>
    <row r="554" spans="1:11" x14ac:dyDescent="0.35">
      <c r="A554">
        <f t="shared" si="9"/>
        <v>4</v>
      </c>
      <c r="C554" s="41">
        <v>25</v>
      </c>
      <c r="E554" s="1" t="s">
        <v>1161</v>
      </c>
      <c r="F554" s="34">
        <v>20</v>
      </c>
      <c r="G554" s="46">
        <v>5</v>
      </c>
      <c r="H554" s="11" t="s">
        <v>1163</v>
      </c>
      <c r="J554" s="41" t="s">
        <v>836</v>
      </c>
    </row>
    <row r="555" spans="1:11" x14ac:dyDescent="0.35">
      <c r="A555">
        <f t="shared" si="9"/>
        <v>1.1428571428571428</v>
      </c>
      <c r="C555" s="41">
        <v>26</v>
      </c>
      <c r="E555" s="1" t="s">
        <v>649</v>
      </c>
      <c r="F555" s="34">
        <v>16</v>
      </c>
      <c r="G555" s="46">
        <v>14</v>
      </c>
      <c r="H555" s="11" t="s">
        <v>693</v>
      </c>
      <c r="J555" s="41" t="s">
        <v>796</v>
      </c>
    </row>
    <row r="556" spans="1:11" x14ac:dyDescent="0.35">
      <c r="A556">
        <f t="shared" si="9"/>
        <v>1.3636363636363635</v>
      </c>
      <c r="C556" s="41">
        <v>27</v>
      </c>
      <c r="D556" s="34">
        <v>4</v>
      </c>
      <c r="E556" s="1" t="s">
        <v>663</v>
      </c>
      <c r="F556" s="34">
        <v>15</v>
      </c>
      <c r="G556" s="46">
        <v>11</v>
      </c>
      <c r="H556" s="11" t="s">
        <v>784</v>
      </c>
      <c r="J556" s="41" t="s">
        <v>714</v>
      </c>
    </row>
    <row r="557" spans="1:11" x14ac:dyDescent="0.35">
      <c r="A557">
        <f t="shared" si="9"/>
        <v>1.4444444444444444</v>
      </c>
      <c r="C557" s="41">
        <v>28</v>
      </c>
      <c r="E557" s="1" t="s">
        <v>758</v>
      </c>
      <c r="F557" s="34">
        <v>13</v>
      </c>
      <c r="G557" s="46">
        <v>9</v>
      </c>
      <c r="H557" s="11" t="s">
        <v>723</v>
      </c>
      <c r="J557" s="41" t="s">
        <v>781</v>
      </c>
    </row>
    <row r="558" spans="1:11" x14ac:dyDescent="0.35">
      <c r="A558">
        <f t="shared" si="9"/>
        <v>1.1818181818181819</v>
      </c>
      <c r="C558" s="41">
        <v>29</v>
      </c>
      <c r="E558" s="1" t="s">
        <v>665</v>
      </c>
      <c r="F558" s="34">
        <v>13</v>
      </c>
      <c r="G558" s="46">
        <v>11</v>
      </c>
      <c r="H558" s="11" t="s">
        <v>756</v>
      </c>
      <c r="J558" s="41" t="s">
        <v>705</v>
      </c>
    </row>
    <row r="559" spans="1:11" x14ac:dyDescent="0.35">
      <c r="A559">
        <f t="shared" si="9"/>
        <v>4</v>
      </c>
      <c r="C559" s="41">
        <v>30</v>
      </c>
      <c r="D559" s="34">
        <v>11</v>
      </c>
      <c r="E559" s="1" t="s">
        <v>644</v>
      </c>
      <c r="F559" s="34">
        <v>24</v>
      </c>
      <c r="G559" s="46">
        <v>6</v>
      </c>
      <c r="H559" s="11" t="s">
        <v>751</v>
      </c>
      <c r="J559" s="41" t="s">
        <v>844</v>
      </c>
    </row>
    <row r="560" spans="1:11" x14ac:dyDescent="0.35">
      <c r="A560">
        <f t="shared" si="9"/>
        <v>1.3</v>
      </c>
      <c r="C560" s="41">
        <v>31</v>
      </c>
      <c r="E560" s="1" t="s">
        <v>1158</v>
      </c>
      <c r="F560" s="34">
        <v>13</v>
      </c>
      <c r="G560" s="46">
        <v>10</v>
      </c>
      <c r="H560" s="11" t="s">
        <v>1155</v>
      </c>
      <c r="J560" s="41" t="s">
        <v>710</v>
      </c>
    </row>
    <row r="561" spans="1:11" x14ac:dyDescent="0.35">
      <c r="A561">
        <f t="shared" si="9"/>
        <v>1.2</v>
      </c>
      <c r="C561" s="41">
        <v>32</v>
      </c>
      <c r="E561" s="1" t="s">
        <v>641</v>
      </c>
      <c r="F561" s="34">
        <v>18</v>
      </c>
      <c r="G561" s="46">
        <v>15</v>
      </c>
      <c r="H561" s="11" t="s">
        <v>731</v>
      </c>
      <c r="I561" s="46">
        <v>3</v>
      </c>
      <c r="J561" s="41" t="s">
        <v>773</v>
      </c>
      <c r="K561" t="s">
        <v>1257</v>
      </c>
    </row>
    <row r="562" spans="1:11" x14ac:dyDescent="0.35">
      <c r="A562">
        <f t="shared" si="9"/>
        <v>1.2307692307692308</v>
      </c>
      <c r="C562" s="41">
        <v>33</v>
      </c>
      <c r="E562" s="1" t="s">
        <v>704</v>
      </c>
      <c r="F562" s="34">
        <v>16</v>
      </c>
      <c r="G562" s="46">
        <v>13</v>
      </c>
      <c r="H562" s="11" t="s">
        <v>676</v>
      </c>
      <c r="J562" s="41" t="s">
        <v>910</v>
      </c>
    </row>
    <row r="563" spans="1:11" x14ac:dyDescent="0.35">
      <c r="A563">
        <f t="shared" si="9"/>
        <v>4.4285714285714288</v>
      </c>
      <c r="C563" s="41">
        <v>34</v>
      </c>
      <c r="E563" s="1" t="s">
        <v>757</v>
      </c>
      <c r="F563" s="34">
        <v>31</v>
      </c>
      <c r="G563" s="46">
        <v>7</v>
      </c>
      <c r="H563" s="11" t="s">
        <v>763</v>
      </c>
      <c r="J563" s="41" t="s">
        <v>1154</v>
      </c>
    </row>
    <row r="564" spans="1:11" x14ac:dyDescent="0.35">
      <c r="A564">
        <f t="shared" si="9"/>
        <v>1.6363636363636365</v>
      </c>
      <c r="C564" s="41">
        <v>35</v>
      </c>
      <c r="E564" s="1" t="s">
        <v>765</v>
      </c>
      <c r="F564" s="34">
        <v>18</v>
      </c>
      <c r="G564" s="46">
        <v>11</v>
      </c>
      <c r="H564" s="11" t="s">
        <v>761</v>
      </c>
      <c r="I564" s="46">
        <v>25</v>
      </c>
      <c r="J564" s="41" t="s">
        <v>790</v>
      </c>
    </row>
    <row r="565" spans="1:11" x14ac:dyDescent="0.35">
      <c r="A565">
        <f t="shared" si="9"/>
        <v>1.7142857142857142</v>
      </c>
      <c r="C565" s="41">
        <v>36</v>
      </c>
      <c r="D565" s="34">
        <v>8</v>
      </c>
      <c r="E565" s="1" t="s">
        <v>670</v>
      </c>
      <c r="F565" s="34">
        <v>12</v>
      </c>
      <c r="G565" s="46">
        <v>7</v>
      </c>
      <c r="H565" s="11" t="s">
        <v>709</v>
      </c>
      <c r="J565" s="41" t="s">
        <v>714</v>
      </c>
    </row>
    <row r="566" spans="1:11" x14ac:dyDescent="0.35">
      <c r="A566">
        <f t="shared" si="9"/>
        <v>1.125</v>
      </c>
      <c r="C566" s="41">
        <v>37</v>
      </c>
      <c r="E566" s="1" t="s">
        <v>1165</v>
      </c>
      <c r="F566" s="34">
        <v>9</v>
      </c>
      <c r="G566" s="46">
        <v>8</v>
      </c>
      <c r="H566" s="11" t="s">
        <v>651</v>
      </c>
      <c r="J566" s="41" t="s">
        <v>814</v>
      </c>
    </row>
    <row r="567" spans="1:11" x14ac:dyDescent="0.35">
      <c r="A567">
        <f t="shared" si="9"/>
        <v>3.3333333333333335</v>
      </c>
      <c r="C567" s="41">
        <v>38</v>
      </c>
      <c r="E567" s="1" t="s">
        <v>642</v>
      </c>
      <c r="F567" s="34">
        <v>20</v>
      </c>
      <c r="G567" s="46">
        <v>6</v>
      </c>
      <c r="H567" s="11" t="s">
        <v>648</v>
      </c>
      <c r="I567" s="46">
        <v>18</v>
      </c>
      <c r="J567" s="41" t="s">
        <v>1138</v>
      </c>
    </row>
    <row r="568" spans="1:11" x14ac:dyDescent="0.35">
      <c r="A568">
        <f t="shared" si="9"/>
        <v>4</v>
      </c>
      <c r="C568" s="41">
        <v>39</v>
      </c>
      <c r="D568" s="34">
        <v>9</v>
      </c>
      <c r="E568" s="1" t="s">
        <v>242</v>
      </c>
      <c r="F568" s="34">
        <v>20</v>
      </c>
      <c r="G568" s="46">
        <v>5</v>
      </c>
      <c r="H568" s="11" t="s">
        <v>738</v>
      </c>
      <c r="J568" s="41" t="s">
        <v>844</v>
      </c>
    </row>
    <row r="569" spans="1:11" x14ac:dyDescent="0.35">
      <c r="A569">
        <f t="shared" si="9"/>
        <v>1.4</v>
      </c>
      <c r="C569" s="41">
        <v>40</v>
      </c>
      <c r="D569" s="34">
        <v>7</v>
      </c>
      <c r="E569" s="1" t="s">
        <v>245</v>
      </c>
      <c r="F569" s="34">
        <v>21</v>
      </c>
      <c r="G569" s="46">
        <v>15</v>
      </c>
      <c r="H569" s="11" t="s">
        <v>650</v>
      </c>
      <c r="J569" s="41" t="s">
        <v>952</v>
      </c>
    </row>
    <row r="570" spans="1:11" x14ac:dyDescent="0.35">
      <c r="A570">
        <f t="shared" si="9"/>
        <v>1.0769230769230769</v>
      </c>
      <c r="C570" s="41">
        <v>41</v>
      </c>
      <c r="E570" s="1" t="s">
        <v>661</v>
      </c>
      <c r="F570" s="34">
        <v>14</v>
      </c>
      <c r="G570" s="46">
        <v>13</v>
      </c>
      <c r="H570" s="11" t="s">
        <v>729</v>
      </c>
      <c r="J570" s="41" t="s">
        <v>727</v>
      </c>
    </row>
    <row r="571" spans="1:11" x14ac:dyDescent="0.35">
      <c r="A571">
        <f t="shared" si="9"/>
        <v>1.8888888888888888</v>
      </c>
      <c r="C571" s="41">
        <v>42</v>
      </c>
      <c r="E571" s="1" t="s">
        <v>679</v>
      </c>
      <c r="F571" s="34">
        <v>17</v>
      </c>
      <c r="G571" s="46">
        <v>9</v>
      </c>
      <c r="H571" s="11" t="s">
        <v>785</v>
      </c>
      <c r="I571" s="46">
        <v>6</v>
      </c>
      <c r="J571" s="41" t="s">
        <v>986</v>
      </c>
    </row>
    <row r="572" spans="1:11" x14ac:dyDescent="0.35">
      <c r="A572">
        <f t="shared" si="9"/>
        <v>1.3125</v>
      </c>
      <c r="C572" s="41">
        <v>43</v>
      </c>
      <c r="D572" s="34">
        <v>5</v>
      </c>
      <c r="E572" s="1" t="s">
        <v>720</v>
      </c>
      <c r="F572" s="34">
        <v>21</v>
      </c>
      <c r="G572" s="46">
        <v>16</v>
      </c>
      <c r="H572" s="11" t="s">
        <v>764</v>
      </c>
      <c r="J572" s="41" t="s">
        <v>702</v>
      </c>
    </row>
    <row r="573" spans="1:11" x14ac:dyDescent="0.35">
      <c r="A573">
        <f t="shared" si="9"/>
        <v>1.0588235294117647</v>
      </c>
      <c r="C573" s="41">
        <v>44</v>
      </c>
      <c r="E573" s="1" t="s">
        <v>747</v>
      </c>
      <c r="F573" s="34">
        <v>18</v>
      </c>
      <c r="G573" s="46">
        <v>17</v>
      </c>
      <c r="H573" s="11" t="s">
        <v>783</v>
      </c>
      <c r="I573" s="46">
        <v>23</v>
      </c>
      <c r="J573" s="41" t="s">
        <v>952</v>
      </c>
      <c r="K573" t="s">
        <v>1258</v>
      </c>
    </row>
    <row r="574" spans="1:11" x14ac:dyDescent="0.35">
      <c r="A574">
        <f t="shared" si="9"/>
        <v>1.5714285714285714</v>
      </c>
      <c r="C574" s="41">
        <v>45</v>
      </c>
      <c r="E574" s="1" t="s">
        <v>671</v>
      </c>
      <c r="F574" s="34">
        <v>22</v>
      </c>
      <c r="G574" s="46">
        <v>14</v>
      </c>
      <c r="H574" s="11" t="s">
        <v>640</v>
      </c>
      <c r="J574" s="41" t="s">
        <v>920</v>
      </c>
      <c r="K574" t="s">
        <v>1259</v>
      </c>
    </row>
    <row r="575" spans="1:11" x14ac:dyDescent="0.35">
      <c r="A575">
        <f t="shared" si="9"/>
        <v>2</v>
      </c>
      <c r="C575" s="41">
        <v>46</v>
      </c>
      <c r="E575" s="1" t="s">
        <v>681</v>
      </c>
      <c r="F575" s="34">
        <v>10</v>
      </c>
      <c r="G575" s="46">
        <v>5</v>
      </c>
      <c r="H575" s="11" t="s">
        <v>1164</v>
      </c>
      <c r="I575" s="46">
        <v>22</v>
      </c>
      <c r="J575" s="41" t="s">
        <v>933</v>
      </c>
      <c r="K575" t="s">
        <v>1260</v>
      </c>
    </row>
    <row r="576" spans="1:11" x14ac:dyDescent="0.35">
      <c r="A576">
        <f t="shared" si="9"/>
        <v>3.4285714285714284</v>
      </c>
      <c r="C576" s="41">
        <v>47</v>
      </c>
      <c r="D576" s="34">
        <v>14</v>
      </c>
      <c r="E576" s="1" t="s">
        <v>643</v>
      </c>
      <c r="F576" s="34">
        <v>24</v>
      </c>
      <c r="G576" s="46">
        <v>7</v>
      </c>
      <c r="H576" s="11" t="s">
        <v>768</v>
      </c>
      <c r="I576" s="46">
        <v>21</v>
      </c>
      <c r="J576" s="41" t="s">
        <v>775</v>
      </c>
      <c r="K576" t="s">
        <v>1261</v>
      </c>
    </row>
    <row r="577" spans="1:16" ht="15" thickBot="1" x14ac:dyDescent="0.4">
      <c r="A577">
        <f t="shared" si="9"/>
        <v>1.2857142857142858</v>
      </c>
      <c r="C577" s="42">
        <v>48</v>
      </c>
      <c r="D577" s="49">
        <v>1</v>
      </c>
      <c r="E577" s="45" t="s">
        <v>467</v>
      </c>
      <c r="F577" s="49">
        <v>18</v>
      </c>
      <c r="G577" s="50">
        <v>14</v>
      </c>
      <c r="H577" s="51" t="s">
        <v>718</v>
      </c>
      <c r="I577" s="50">
        <v>16</v>
      </c>
      <c r="J577" s="40" t="s">
        <v>786</v>
      </c>
      <c r="K577" s="40"/>
    </row>
    <row r="578" spans="1:16" x14ac:dyDescent="0.35">
      <c r="A578">
        <f t="shared" si="9"/>
        <v>1.9090909090909092</v>
      </c>
      <c r="B578" t="s">
        <v>1110</v>
      </c>
      <c r="C578" s="11" t="s">
        <v>247</v>
      </c>
      <c r="D578" s="34">
        <v>6</v>
      </c>
      <c r="E578" s="1" t="s">
        <v>731</v>
      </c>
      <c r="F578" s="34">
        <v>21</v>
      </c>
      <c r="G578" s="46">
        <v>11</v>
      </c>
      <c r="H578" s="11" t="s">
        <v>647</v>
      </c>
      <c r="I578" s="46">
        <v>30</v>
      </c>
      <c r="J578" s="41" t="s">
        <v>773</v>
      </c>
      <c r="K578" t="s">
        <v>1039</v>
      </c>
    </row>
    <row r="579" spans="1:16" x14ac:dyDescent="0.35">
      <c r="A579">
        <f t="shared" ref="A579:A601" si="10">(F579/G579)</f>
        <v>1.3333333333333333</v>
      </c>
      <c r="C579" s="11" t="s">
        <v>250</v>
      </c>
      <c r="D579" s="34">
        <v>21</v>
      </c>
      <c r="E579" s="1" t="s">
        <v>681</v>
      </c>
      <c r="F579" s="34">
        <v>12</v>
      </c>
      <c r="G579" s="46">
        <v>9</v>
      </c>
      <c r="H579" s="11" t="s">
        <v>1157</v>
      </c>
      <c r="I579" s="46">
        <v>11</v>
      </c>
      <c r="J579" s="41" t="s">
        <v>707</v>
      </c>
      <c r="K579" t="s">
        <v>1262</v>
      </c>
    </row>
    <row r="580" spans="1:16" x14ac:dyDescent="0.35">
      <c r="A580">
        <f t="shared" si="10"/>
        <v>1.1666666666666667</v>
      </c>
      <c r="C580" s="11" t="s">
        <v>249</v>
      </c>
      <c r="D580" s="34">
        <v>1</v>
      </c>
      <c r="E580" s="1" t="s">
        <v>467</v>
      </c>
      <c r="F580" s="34">
        <v>28</v>
      </c>
      <c r="G580" s="46">
        <v>24</v>
      </c>
      <c r="H580" s="11" t="s">
        <v>643</v>
      </c>
      <c r="I580" s="46">
        <v>7</v>
      </c>
      <c r="J580" s="41" t="s">
        <v>1263</v>
      </c>
      <c r="K580" t="s">
        <v>1264</v>
      </c>
    </row>
    <row r="581" spans="1:16" x14ac:dyDescent="0.35">
      <c r="A581">
        <f t="shared" si="10"/>
        <v>1.0833333333333333</v>
      </c>
      <c r="C581" s="11" t="s">
        <v>240</v>
      </c>
      <c r="D581" s="34">
        <v>14</v>
      </c>
      <c r="E581" s="1" t="s">
        <v>767</v>
      </c>
      <c r="F581" s="34">
        <v>13</v>
      </c>
      <c r="G581" s="46">
        <v>12</v>
      </c>
      <c r="H581" s="11" t="s">
        <v>671</v>
      </c>
      <c r="I581" s="46">
        <v>18</v>
      </c>
      <c r="J581" s="41" t="s">
        <v>705</v>
      </c>
      <c r="K581" t="s">
        <v>1265</v>
      </c>
    </row>
    <row r="582" spans="1:16" x14ac:dyDescent="0.35">
      <c r="A582">
        <f t="shared" si="10"/>
        <v>1.5</v>
      </c>
      <c r="C582" s="11" t="s">
        <v>1266</v>
      </c>
      <c r="D582" s="34">
        <v>10</v>
      </c>
      <c r="E582" s="1" t="s">
        <v>670</v>
      </c>
      <c r="F582" s="34">
        <v>15</v>
      </c>
      <c r="G582" s="46">
        <v>10</v>
      </c>
      <c r="H582" s="11" t="s">
        <v>746</v>
      </c>
      <c r="I582" s="46">
        <v>4</v>
      </c>
      <c r="J582" s="41" t="s">
        <v>870</v>
      </c>
      <c r="K582" t="s">
        <v>1041</v>
      </c>
      <c r="O582" t="s">
        <v>1096</v>
      </c>
      <c r="P582" t="s">
        <v>1267</v>
      </c>
    </row>
    <row r="583" spans="1:16" ht="15" thickBot="1" x14ac:dyDescent="0.4">
      <c r="A583">
        <f t="shared" si="10"/>
        <v>1.375</v>
      </c>
      <c r="C583" s="51" t="s">
        <v>241</v>
      </c>
      <c r="D583" s="49">
        <v>3</v>
      </c>
      <c r="E583" s="45" t="s">
        <v>663</v>
      </c>
      <c r="F583" s="49">
        <v>11</v>
      </c>
      <c r="G583" s="50">
        <v>8</v>
      </c>
      <c r="H583" s="51" t="s">
        <v>720</v>
      </c>
      <c r="I583" s="50">
        <v>2</v>
      </c>
      <c r="J583" s="40" t="s">
        <v>874</v>
      </c>
      <c r="K583" s="40" t="s">
        <v>1043</v>
      </c>
      <c r="O583">
        <v>10</v>
      </c>
      <c r="P583" t="s">
        <v>1268</v>
      </c>
    </row>
    <row r="584" spans="1:16" x14ac:dyDescent="0.35">
      <c r="A584">
        <f t="shared" si="10"/>
        <v>2.2222222222222223</v>
      </c>
      <c r="B584" t="s">
        <v>1111</v>
      </c>
      <c r="C584" s="11" t="s">
        <v>1269</v>
      </c>
      <c r="D584" s="34">
        <v>12</v>
      </c>
      <c r="E584" s="1" t="s">
        <v>767</v>
      </c>
      <c r="F584" s="34">
        <v>20</v>
      </c>
      <c r="G584" s="46">
        <v>9</v>
      </c>
      <c r="H584" s="11" t="s">
        <v>643</v>
      </c>
      <c r="I584" s="46">
        <v>8</v>
      </c>
      <c r="J584" s="41" t="s">
        <v>820</v>
      </c>
      <c r="K584" s="41" t="s">
        <v>1270</v>
      </c>
      <c r="O584">
        <v>4</v>
      </c>
      <c r="P584" t="s">
        <v>535</v>
      </c>
    </row>
    <row r="585" spans="1:16" x14ac:dyDescent="0.35">
      <c r="A585">
        <f t="shared" si="10"/>
        <v>2</v>
      </c>
      <c r="C585" s="11" t="s">
        <v>1271</v>
      </c>
      <c r="D585" s="34">
        <v>15</v>
      </c>
      <c r="E585" s="1" t="s">
        <v>681</v>
      </c>
      <c r="F585" s="34">
        <v>26</v>
      </c>
      <c r="G585" s="46">
        <v>13</v>
      </c>
      <c r="H585" s="11" t="s">
        <v>245</v>
      </c>
      <c r="I585" s="46">
        <v>7</v>
      </c>
      <c r="J585" s="41" t="s">
        <v>907</v>
      </c>
      <c r="K585" s="41" t="s">
        <v>1272</v>
      </c>
      <c r="P585" t="s">
        <v>1273</v>
      </c>
    </row>
    <row r="586" spans="1:16" x14ac:dyDescent="0.35">
      <c r="A586">
        <f t="shared" si="10"/>
        <v>2.8333333333333335</v>
      </c>
      <c r="B586" t="s">
        <v>1112</v>
      </c>
      <c r="C586" s="11" t="s">
        <v>1269</v>
      </c>
      <c r="D586" s="34">
        <v>12</v>
      </c>
      <c r="E586" s="1" t="s">
        <v>767</v>
      </c>
      <c r="F586" s="34">
        <v>17</v>
      </c>
      <c r="G586" s="46">
        <v>6</v>
      </c>
      <c r="H586" s="11" t="s">
        <v>643</v>
      </c>
      <c r="I586" s="46">
        <v>8</v>
      </c>
      <c r="J586" s="41" t="s">
        <v>870</v>
      </c>
      <c r="K586" t="s">
        <v>1274</v>
      </c>
      <c r="O586">
        <v>35</v>
      </c>
      <c r="P586" t="s">
        <v>1275</v>
      </c>
    </row>
    <row r="587" spans="1:16" ht="15" thickBot="1" x14ac:dyDescent="0.4">
      <c r="A587">
        <f t="shared" si="10"/>
        <v>1.2352941176470589</v>
      </c>
      <c r="C587" s="51" t="s">
        <v>1271</v>
      </c>
      <c r="D587" s="49">
        <v>7</v>
      </c>
      <c r="E587" s="45" t="s">
        <v>245</v>
      </c>
      <c r="F587" s="49">
        <v>21</v>
      </c>
      <c r="G587" s="50">
        <v>17</v>
      </c>
      <c r="H587" s="51" t="s">
        <v>681</v>
      </c>
      <c r="I587" s="50">
        <v>15</v>
      </c>
      <c r="J587" s="40" t="s">
        <v>806</v>
      </c>
      <c r="K587" s="40" t="s">
        <v>1276</v>
      </c>
      <c r="O587">
        <v>25</v>
      </c>
      <c r="P587" t="s">
        <v>1277</v>
      </c>
    </row>
    <row r="588" spans="1:16" x14ac:dyDescent="0.35">
      <c r="A588">
        <f t="shared" si="10"/>
        <v>1.4666666666666666</v>
      </c>
      <c r="B588" t="s">
        <v>1113</v>
      </c>
      <c r="C588" s="53" t="s">
        <v>1278</v>
      </c>
      <c r="D588" s="34">
        <v>1</v>
      </c>
      <c r="E588" s="1" t="s">
        <v>467</v>
      </c>
      <c r="F588" s="34">
        <v>22</v>
      </c>
      <c r="G588" s="46">
        <v>15</v>
      </c>
      <c r="H588" s="11" t="s">
        <v>681</v>
      </c>
      <c r="I588" s="46">
        <v>14</v>
      </c>
      <c r="J588" s="41" t="s">
        <v>786</v>
      </c>
      <c r="K588" s="41" t="s">
        <v>1279</v>
      </c>
      <c r="O588">
        <v>18</v>
      </c>
      <c r="P588" t="s">
        <v>1280</v>
      </c>
    </row>
    <row r="589" spans="1:16" x14ac:dyDescent="0.35">
      <c r="A589">
        <f t="shared" si="10"/>
        <v>1.1111111111111112</v>
      </c>
      <c r="C589" s="53" t="s">
        <v>1281</v>
      </c>
      <c r="D589" s="34">
        <v>7</v>
      </c>
      <c r="E589" s="1" t="s">
        <v>767</v>
      </c>
      <c r="F589" s="34">
        <v>10</v>
      </c>
      <c r="G589" s="46">
        <v>9</v>
      </c>
      <c r="H589" s="11" t="s">
        <v>663</v>
      </c>
      <c r="I589" s="46">
        <v>2</v>
      </c>
      <c r="J589" s="41" t="s">
        <v>870</v>
      </c>
      <c r="K589" s="41" t="s">
        <v>1282</v>
      </c>
      <c r="O589">
        <v>12</v>
      </c>
      <c r="P589" t="s">
        <v>1283</v>
      </c>
    </row>
    <row r="590" spans="1:16" x14ac:dyDescent="0.35">
      <c r="A590">
        <f t="shared" si="10"/>
        <v>1.1538461538461537</v>
      </c>
      <c r="C590" s="54" t="s">
        <v>1284</v>
      </c>
      <c r="D590" s="34">
        <v>5</v>
      </c>
      <c r="E590" s="1" t="s">
        <v>746</v>
      </c>
      <c r="F590" s="34">
        <v>15</v>
      </c>
      <c r="G590" s="46">
        <v>13</v>
      </c>
      <c r="H590" s="11" t="s">
        <v>731</v>
      </c>
      <c r="I590" s="46">
        <v>4</v>
      </c>
      <c r="J590" s="41" t="s">
        <v>910</v>
      </c>
      <c r="K590" t="s">
        <v>1285</v>
      </c>
      <c r="O590">
        <v>7</v>
      </c>
      <c r="P590" t="s">
        <v>1286</v>
      </c>
    </row>
    <row r="591" spans="1:16" x14ac:dyDescent="0.35">
      <c r="A591">
        <f t="shared" si="10"/>
        <v>1.5</v>
      </c>
      <c r="C591" s="54" t="s">
        <v>1287</v>
      </c>
      <c r="D591" s="34">
        <v>6</v>
      </c>
      <c r="E591" s="1" t="s">
        <v>670</v>
      </c>
      <c r="F591" s="34">
        <v>12</v>
      </c>
      <c r="G591" s="46">
        <v>8</v>
      </c>
      <c r="H591" s="11" t="s">
        <v>720</v>
      </c>
      <c r="I591" s="46">
        <v>3</v>
      </c>
      <c r="J591" s="41" t="s">
        <v>874</v>
      </c>
      <c r="K591" t="s">
        <v>1288</v>
      </c>
    </row>
    <row r="592" spans="1:16" x14ac:dyDescent="0.35">
      <c r="A592">
        <f t="shared" si="10"/>
        <v>1.3571428571428572</v>
      </c>
      <c r="B592" t="s">
        <v>1114</v>
      </c>
      <c r="C592" s="53" t="s">
        <v>1278</v>
      </c>
      <c r="D592" s="34">
        <v>1</v>
      </c>
      <c r="E592" s="1" t="s">
        <v>467</v>
      </c>
      <c r="F592" s="34">
        <v>19</v>
      </c>
      <c r="G592" s="46">
        <v>14</v>
      </c>
      <c r="H592" s="11" t="s">
        <v>681</v>
      </c>
      <c r="I592" s="46">
        <v>14</v>
      </c>
      <c r="J592" s="41" t="s">
        <v>727</v>
      </c>
      <c r="K592" t="s">
        <v>1289</v>
      </c>
      <c r="N592" t="s">
        <v>1290</v>
      </c>
    </row>
    <row r="593" spans="1:17" x14ac:dyDescent="0.35">
      <c r="A593">
        <f t="shared" si="10"/>
        <v>1.1176470588235294</v>
      </c>
      <c r="C593" s="53" t="s">
        <v>1281</v>
      </c>
      <c r="D593" s="34">
        <v>2</v>
      </c>
      <c r="E593" s="1" t="s">
        <v>663</v>
      </c>
      <c r="F593" s="34">
        <v>19</v>
      </c>
      <c r="G593" s="46">
        <v>17</v>
      </c>
      <c r="H593" s="11" t="s">
        <v>767</v>
      </c>
      <c r="I593" s="46">
        <v>7</v>
      </c>
      <c r="J593" s="41" t="s">
        <v>717</v>
      </c>
      <c r="K593" t="s">
        <v>1291</v>
      </c>
      <c r="N593" t="s">
        <v>1292</v>
      </c>
    </row>
    <row r="594" spans="1:17" x14ac:dyDescent="0.35">
      <c r="A594">
        <f t="shared" si="10"/>
        <v>1.1333333333333333</v>
      </c>
      <c r="C594" s="54" t="s">
        <v>1284</v>
      </c>
      <c r="D594" s="34">
        <v>4</v>
      </c>
      <c r="E594" s="1" t="s">
        <v>731</v>
      </c>
      <c r="F594" s="34">
        <v>17</v>
      </c>
      <c r="G594" s="46">
        <v>15</v>
      </c>
      <c r="H594" s="11" t="s">
        <v>746</v>
      </c>
      <c r="I594" s="46">
        <v>5</v>
      </c>
      <c r="J594" s="41" t="s">
        <v>831</v>
      </c>
      <c r="K594" t="s">
        <v>1293</v>
      </c>
    </row>
    <row r="595" spans="1:17" ht="15" thickBot="1" x14ac:dyDescent="0.4">
      <c r="A595">
        <f t="shared" si="10"/>
        <v>5</v>
      </c>
      <c r="C595" s="55" t="s">
        <v>1287</v>
      </c>
      <c r="D595" s="49">
        <v>6</v>
      </c>
      <c r="E595" s="45" t="s">
        <v>670</v>
      </c>
      <c r="F595" s="49">
        <v>15</v>
      </c>
      <c r="G595" s="50">
        <v>3</v>
      </c>
      <c r="H595" s="51" t="s">
        <v>720</v>
      </c>
      <c r="I595" s="50">
        <v>3</v>
      </c>
      <c r="J595" s="40" t="s">
        <v>1175</v>
      </c>
      <c r="K595" s="40" t="s">
        <v>1294</v>
      </c>
      <c r="N595" t="s">
        <v>1295</v>
      </c>
    </row>
    <row r="596" spans="1:17" x14ac:dyDescent="0.35">
      <c r="A596">
        <f t="shared" si="10"/>
        <v>1.4545454545454546</v>
      </c>
      <c r="B596" t="s">
        <v>1115</v>
      </c>
      <c r="C596" s="54" t="s">
        <v>1296</v>
      </c>
      <c r="D596" s="34">
        <v>1</v>
      </c>
      <c r="E596" s="1" t="s">
        <v>467</v>
      </c>
      <c r="F596" s="34">
        <v>16</v>
      </c>
      <c r="G596" s="46">
        <v>11</v>
      </c>
      <c r="H596" s="11" t="s">
        <v>670</v>
      </c>
      <c r="I596" s="46">
        <v>3</v>
      </c>
      <c r="J596" s="41" t="s">
        <v>789</v>
      </c>
      <c r="K596" s="41" t="s">
        <v>1297</v>
      </c>
      <c r="N596" t="s">
        <v>1298</v>
      </c>
    </row>
    <row r="597" spans="1:17" x14ac:dyDescent="0.35">
      <c r="A597">
        <f t="shared" si="10"/>
        <v>2.2222222222222223</v>
      </c>
      <c r="C597" s="54" t="s">
        <v>1299</v>
      </c>
      <c r="D597" s="34">
        <v>2</v>
      </c>
      <c r="E597" s="1" t="s">
        <v>663</v>
      </c>
      <c r="F597" s="34">
        <v>20</v>
      </c>
      <c r="G597" s="46">
        <v>9</v>
      </c>
      <c r="H597" s="11" t="s">
        <v>731</v>
      </c>
      <c r="I597" s="46">
        <v>4</v>
      </c>
      <c r="J597" s="41" t="s">
        <v>793</v>
      </c>
      <c r="K597" s="41" t="s">
        <v>1300</v>
      </c>
      <c r="N597" t="s">
        <v>1301</v>
      </c>
    </row>
    <row r="598" spans="1:17" x14ac:dyDescent="0.35">
      <c r="A598">
        <f t="shared" si="10"/>
        <v>1.0769230769230769</v>
      </c>
      <c r="B598" t="s">
        <v>1135</v>
      </c>
      <c r="C598" s="54" t="s">
        <v>1302</v>
      </c>
      <c r="D598" s="34">
        <v>3</v>
      </c>
      <c r="E598" s="1" t="s">
        <v>670</v>
      </c>
      <c r="F598" s="34">
        <v>14</v>
      </c>
      <c r="G598" s="46">
        <v>13</v>
      </c>
      <c r="H598" s="11" t="s">
        <v>467</v>
      </c>
      <c r="I598" s="46">
        <v>1</v>
      </c>
      <c r="J598" s="41" t="s">
        <v>721</v>
      </c>
      <c r="K598" s="41" t="s">
        <v>1303</v>
      </c>
      <c r="N598" t="s">
        <v>1304</v>
      </c>
    </row>
    <row r="599" spans="1:17" ht="15" thickBot="1" x14ac:dyDescent="0.4">
      <c r="A599">
        <f t="shared" si="10"/>
        <v>1.4545454545454546</v>
      </c>
      <c r="C599" s="55" t="s">
        <v>1305</v>
      </c>
      <c r="D599" s="49">
        <v>2</v>
      </c>
      <c r="E599" s="45" t="s">
        <v>663</v>
      </c>
      <c r="F599" s="49">
        <v>16</v>
      </c>
      <c r="G599" s="50">
        <v>11</v>
      </c>
      <c r="H599" s="51" t="s">
        <v>731</v>
      </c>
      <c r="I599" s="50">
        <v>4</v>
      </c>
      <c r="J599" s="40" t="s">
        <v>721</v>
      </c>
      <c r="K599" s="42" t="s">
        <v>1306</v>
      </c>
    </row>
    <row r="600" spans="1:17" x14ac:dyDescent="0.35">
      <c r="A600">
        <f t="shared" si="10"/>
        <v>1.0769230769230769</v>
      </c>
      <c r="B600" t="s">
        <v>1323</v>
      </c>
      <c r="C600" s="54" t="s">
        <v>1307</v>
      </c>
      <c r="D600" s="34">
        <v>2</v>
      </c>
      <c r="E600" s="1" t="s">
        <v>663</v>
      </c>
      <c r="F600" s="34">
        <v>14</v>
      </c>
      <c r="G600" s="46">
        <v>13</v>
      </c>
      <c r="H600" s="11" t="s">
        <v>467</v>
      </c>
      <c r="I600" s="46">
        <v>1</v>
      </c>
      <c r="J600" s="41" t="s">
        <v>741</v>
      </c>
      <c r="K600" s="41" t="s">
        <v>1308</v>
      </c>
      <c r="N600" t="s">
        <v>1309</v>
      </c>
    </row>
    <row r="601" spans="1:17" ht="15" thickBot="1" x14ac:dyDescent="0.4">
      <c r="A601">
        <f t="shared" si="10"/>
        <v>2.1428571428571428</v>
      </c>
      <c r="B601" t="s">
        <v>1324</v>
      </c>
      <c r="C601" s="55" t="s">
        <v>1310</v>
      </c>
      <c r="D601" s="49">
        <v>2</v>
      </c>
      <c r="E601" s="45" t="s">
        <v>663</v>
      </c>
      <c r="F601" s="49">
        <v>15</v>
      </c>
      <c r="G601" s="50">
        <v>7</v>
      </c>
      <c r="H601" s="51" t="s">
        <v>467</v>
      </c>
      <c r="I601" s="50">
        <v>1</v>
      </c>
      <c r="J601" s="42" t="s">
        <v>748</v>
      </c>
      <c r="K601" s="42" t="s">
        <v>1311</v>
      </c>
      <c r="N601" t="s">
        <v>1312</v>
      </c>
    </row>
    <row r="602" spans="1:17" x14ac:dyDescent="0.35">
      <c r="C602" s="54"/>
      <c r="K602" s="43" t="s">
        <v>1313</v>
      </c>
    </row>
    <row r="603" spans="1:17" x14ac:dyDescent="0.35">
      <c r="N603" s="18" t="s">
        <v>1314</v>
      </c>
    </row>
    <row r="604" spans="1:17" x14ac:dyDescent="0.35">
      <c r="N604" t="s">
        <v>1315</v>
      </c>
    </row>
    <row r="605" spans="1:17" x14ac:dyDescent="0.35">
      <c r="N605" t="s">
        <v>1316</v>
      </c>
    </row>
    <row r="607" spans="1:17" x14ac:dyDescent="0.35">
      <c r="O607" t="s">
        <v>243</v>
      </c>
      <c r="P607" s="33" t="s">
        <v>467</v>
      </c>
      <c r="Q607">
        <v>1</v>
      </c>
    </row>
    <row r="608" spans="1:17" x14ac:dyDescent="0.35">
      <c r="O608" t="s">
        <v>244</v>
      </c>
      <c r="P608" s="56" t="s">
        <v>663</v>
      </c>
      <c r="Q608">
        <v>2</v>
      </c>
    </row>
    <row r="609" spans="14:17" x14ac:dyDescent="0.35">
      <c r="O609" t="s">
        <v>362</v>
      </c>
      <c r="P609" s="57" t="s">
        <v>670</v>
      </c>
      <c r="Q609">
        <v>4</v>
      </c>
    </row>
    <row r="610" spans="14:17" x14ac:dyDescent="0.35">
      <c r="O610" t="s">
        <v>361</v>
      </c>
      <c r="P610" s="58" t="s">
        <v>731</v>
      </c>
      <c r="Q610">
        <v>3</v>
      </c>
    </row>
    <row r="612" spans="14:17" x14ac:dyDescent="0.35">
      <c r="N612" t="s">
        <v>1065</v>
      </c>
      <c r="O612" t="s">
        <v>1317</v>
      </c>
    </row>
    <row r="613" spans="14:17" x14ac:dyDescent="0.35">
      <c r="N613" t="s">
        <v>1055</v>
      </c>
      <c r="O613" t="s">
        <v>1318</v>
      </c>
    </row>
    <row r="614" spans="14:17" x14ac:dyDescent="0.35">
      <c r="N614" t="s">
        <v>1080</v>
      </c>
      <c r="O614" t="s">
        <v>1319</v>
      </c>
    </row>
    <row r="615" spans="14:17" x14ac:dyDescent="0.35">
      <c r="N615" t="s">
        <v>1087</v>
      </c>
      <c r="O615" t="s">
        <v>1320</v>
      </c>
    </row>
    <row r="616" spans="14:17" x14ac:dyDescent="0.35">
      <c r="N616" t="s">
        <v>1060</v>
      </c>
      <c r="O616" t="s">
        <v>1321</v>
      </c>
    </row>
    <row r="617" spans="14:17" x14ac:dyDescent="0.35">
      <c r="N617" t="s">
        <v>1092</v>
      </c>
      <c r="O617" t="s">
        <v>1322</v>
      </c>
    </row>
  </sheetData>
  <conditionalFormatting sqref="L1 Q1">
    <cfRule type="cellIs" dxfId="1" priority="1" operator="lessThan">
      <formula>26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81"/>
  <sheetViews>
    <sheetView workbookViewId="0">
      <selection activeCell="U2" sqref="U2:U81"/>
    </sheetView>
  </sheetViews>
  <sheetFormatPr defaultColWidth="8.90625" defaultRowHeight="14.5" x14ac:dyDescent="0.35"/>
  <cols>
    <col min="1" max="1" width="18.08984375" style="2" customWidth="1"/>
    <col min="2" max="16384" width="8.90625" style="2"/>
  </cols>
  <sheetData>
    <row r="1" spans="1:21" x14ac:dyDescent="0.35">
      <c r="A1" t="s">
        <v>3436</v>
      </c>
      <c r="B1" s="2" t="s">
        <v>3454</v>
      </c>
      <c r="C1" s="2" t="s">
        <v>1098</v>
      </c>
      <c r="D1" s="2" t="s">
        <v>1099</v>
      </c>
      <c r="E1" s="2" t="s">
        <v>1100</v>
      </c>
      <c r="F1" s="2" t="s">
        <v>1101</v>
      </c>
      <c r="G1" s="2" t="s">
        <v>1102</v>
      </c>
      <c r="H1" s="2" t="s">
        <v>1103</v>
      </c>
      <c r="I1" s="2" t="s">
        <v>1104</v>
      </c>
      <c r="J1" s="2" t="s">
        <v>1105</v>
      </c>
      <c r="K1" s="2" t="s">
        <v>1106</v>
      </c>
      <c r="L1" s="2" t="s">
        <v>1107</v>
      </c>
      <c r="M1" s="2" t="s">
        <v>1108</v>
      </c>
      <c r="N1" s="2" t="s">
        <v>1109</v>
      </c>
      <c r="O1" s="2" t="s">
        <v>1110</v>
      </c>
      <c r="P1" s="2" t="s">
        <v>1111</v>
      </c>
      <c r="Q1" s="2" t="s">
        <v>1112</v>
      </c>
      <c r="R1" s="2" t="s">
        <v>1113</v>
      </c>
      <c r="S1" s="2" t="s">
        <v>1114</v>
      </c>
      <c r="T1" s="2" t="s">
        <v>1115</v>
      </c>
      <c r="U1" s="2" t="s">
        <v>1135</v>
      </c>
    </row>
    <row r="2" spans="1:21" x14ac:dyDescent="0.35">
      <c r="A2" s="1" t="s">
        <v>731</v>
      </c>
      <c r="B2" s="2">
        <v>1800</v>
      </c>
      <c r="C2" s="2">
        <v>1815</v>
      </c>
      <c r="D2" s="2">
        <v>1831</v>
      </c>
      <c r="E2" s="2">
        <v>1818</v>
      </c>
      <c r="F2" s="2">
        <v>1829</v>
      </c>
      <c r="G2" s="2">
        <v>1847</v>
      </c>
      <c r="H2" s="2">
        <v>1858</v>
      </c>
      <c r="I2" s="2">
        <v>1868</v>
      </c>
      <c r="J2" s="2">
        <v>1883</v>
      </c>
      <c r="K2" s="2">
        <v>1898</v>
      </c>
      <c r="L2" s="2">
        <v>1910</v>
      </c>
      <c r="M2" s="2">
        <v>1919</v>
      </c>
      <c r="N2" s="2">
        <v>1928</v>
      </c>
      <c r="O2" s="2">
        <v>1936</v>
      </c>
      <c r="P2" s="2">
        <v>1953</v>
      </c>
      <c r="Q2" s="2">
        <v>1971</v>
      </c>
      <c r="R2" s="2">
        <v>1994</v>
      </c>
      <c r="S2" s="2">
        <v>1994</v>
      </c>
      <c r="T2" s="2">
        <v>2014</v>
      </c>
      <c r="U2" s="2">
        <v>1985</v>
      </c>
    </row>
    <row r="3" spans="1:21" x14ac:dyDescent="0.35">
      <c r="A3" s="1" t="s">
        <v>761</v>
      </c>
      <c r="B3" s="2">
        <v>1800</v>
      </c>
      <c r="C3" s="2">
        <v>1786</v>
      </c>
      <c r="D3" s="2">
        <v>1770</v>
      </c>
      <c r="E3" s="2">
        <v>1753</v>
      </c>
      <c r="F3" s="2">
        <v>1769</v>
      </c>
      <c r="G3" s="2">
        <v>1757</v>
      </c>
      <c r="H3" s="2">
        <v>1772</v>
      </c>
      <c r="I3" s="2">
        <v>1756</v>
      </c>
      <c r="J3" s="2">
        <v>1771</v>
      </c>
      <c r="K3" s="2">
        <v>1789</v>
      </c>
      <c r="L3" s="2">
        <v>1803</v>
      </c>
      <c r="M3" s="2">
        <v>1818</v>
      </c>
      <c r="N3" s="2">
        <v>1832</v>
      </c>
      <c r="O3" s="2">
        <v>1845</v>
      </c>
      <c r="P3" s="2">
        <v>1864</v>
      </c>
      <c r="Q3" s="2">
        <v>1892</v>
      </c>
      <c r="R3" s="2">
        <v>1869</v>
      </c>
      <c r="S3" s="2">
        <v>1899</v>
      </c>
      <c r="T3" s="2">
        <v>1926</v>
      </c>
      <c r="U3" s="2">
        <v>1955</v>
      </c>
    </row>
    <row r="4" spans="1:21" x14ac:dyDescent="0.35">
      <c r="A4" s="1" t="s">
        <v>644</v>
      </c>
      <c r="B4" s="2">
        <v>1800</v>
      </c>
      <c r="C4" s="2">
        <v>1812</v>
      </c>
      <c r="D4" s="2">
        <v>1798</v>
      </c>
      <c r="E4" s="2">
        <v>1813</v>
      </c>
      <c r="F4" s="2">
        <v>1826</v>
      </c>
      <c r="G4" s="2">
        <v>1840</v>
      </c>
      <c r="H4" s="2">
        <v>1850</v>
      </c>
      <c r="I4" s="2">
        <v>1863</v>
      </c>
      <c r="J4" s="2">
        <v>1877</v>
      </c>
      <c r="K4" s="2">
        <v>1888</v>
      </c>
      <c r="L4" s="2">
        <v>1902</v>
      </c>
      <c r="M4" s="2">
        <v>1885</v>
      </c>
      <c r="N4" s="2">
        <v>1867</v>
      </c>
      <c r="O4" s="2">
        <v>1880</v>
      </c>
      <c r="P4" s="2">
        <v>1899</v>
      </c>
      <c r="Q4" s="2">
        <v>1928</v>
      </c>
      <c r="R4" s="2">
        <v>1951</v>
      </c>
      <c r="S4" s="2">
        <v>1951</v>
      </c>
      <c r="T4" s="2">
        <v>1924</v>
      </c>
      <c r="U4" s="2">
        <v>1924</v>
      </c>
    </row>
    <row r="5" spans="1:21" x14ac:dyDescent="0.35">
      <c r="A5" s="1" t="s">
        <v>673</v>
      </c>
      <c r="B5" s="2">
        <v>1800</v>
      </c>
      <c r="C5" s="2">
        <v>1816</v>
      </c>
      <c r="D5" s="2">
        <v>1828</v>
      </c>
      <c r="E5" s="2">
        <v>1847</v>
      </c>
      <c r="F5" s="2">
        <v>1863</v>
      </c>
      <c r="G5" s="2">
        <v>1878</v>
      </c>
      <c r="H5" s="2">
        <v>1887</v>
      </c>
      <c r="I5" s="2">
        <v>1899</v>
      </c>
      <c r="J5" s="2">
        <v>1910</v>
      </c>
      <c r="K5" s="2">
        <v>1897</v>
      </c>
      <c r="L5" s="2">
        <v>1907</v>
      </c>
      <c r="M5" s="2">
        <v>1892</v>
      </c>
      <c r="N5" s="2">
        <v>1901</v>
      </c>
      <c r="O5" s="2">
        <v>1915</v>
      </c>
      <c r="P5" s="2">
        <v>1891</v>
      </c>
      <c r="Q5" s="2">
        <v>1916</v>
      </c>
      <c r="R5" s="2">
        <v>1893</v>
      </c>
      <c r="S5" s="2">
        <v>1919</v>
      </c>
      <c r="T5" s="2">
        <v>1899</v>
      </c>
      <c r="U5" s="2">
        <v>1899</v>
      </c>
    </row>
    <row r="6" spans="1:21" x14ac:dyDescent="0.35">
      <c r="A6" s="1" t="s">
        <v>760</v>
      </c>
      <c r="B6" s="2">
        <v>1800</v>
      </c>
      <c r="C6" s="2">
        <v>1817</v>
      </c>
      <c r="D6" s="2">
        <v>1829</v>
      </c>
      <c r="E6" s="2">
        <v>1810</v>
      </c>
      <c r="F6" s="2">
        <v>1820</v>
      </c>
      <c r="G6" s="2">
        <v>1831</v>
      </c>
      <c r="H6" s="2">
        <v>1844</v>
      </c>
      <c r="I6" s="2">
        <v>1853</v>
      </c>
      <c r="J6" s="2">
        <v>1863</v>
      </c>
      <c r="K6" s="2">
        <v>1872</v>
      </c>
      <c r="L6" s="2">
        <v>1887</v>
      </c>
      <c r="M6" s="2">
        <v>1896</v>
      </c>
      <c r="N6" s="2">
        <v>1906</v>
      </c>
      <c r="O6" s="2">
        <v>1914</v>
      </c>
      <c r="P6" s="2">
        <v>1914</v>
      </c>
      <c r="Q6" s="2">
        <v>1885</v>
      </c>
      <c r="R6" s="2">
        <v>1908</v>
      </c>
      <c r="S6" s="2">
        <v>1882</v>
      </c>
      <c r="T6" s="2">
        <v>1882</v>
      </c>
      <c r="U6" s="2">
        <v>1882</v>
      </c>
    </row>
    <row r="7" spans="1:21" x14ac:dyDescent="0.35">
      <c r="A7" s="2" t="s">
        <v>718</v>
      </c>
      <c r="B7" s="2">
        <v>1800</v>
      </c>
      <c r="C7" s="2">
        <v>1815</v>
      </c>
      <c r="D7" s="2">
        <v>1803</v>
      </c>
      <c r="E7" s="2">
        <v>1823</v>
      </c>
      <c r="F7" s="2">
        <v>1807</v>
      </c>
      <c r="G7" s="2">
        <v>1821</v>
      </c>
      <c r="H7" s="2">
        <v>1811</v>
      </c>
      <c r="I7" s="2">
        <v>1828</v>
      </c>
      <c r="J7" s="2">
        <v>1840</v>
      </c>
      <c r="K7" s="2">
        <v>1827</v>
      </c>
      <c r="L7" s="2">
        <v>1839</v>
      </c>
      <c r="M7" s="2">
        <v>1857</v>
      </c>
      <c r="N7" s="2">
        <v>1869</v>
      </c>
      <c r="O7" s="2">
        <v>1880</v>
      </c>
      <c r="P7" s="2">
        <v>1880</v>
      </c>
      <c r="Q7" s="2">
        <v>1880</v>
      </c>
      <c r="R7" s="2">
        <v>1880</v>
      </c>
      <c r="S7" s="2">
        <v>1880</v>
      </c>
      <c r="T7" s="2">
        <v>1880</v>
      </c>
      <c r="U7" s="2">
        <v>1880</v>
      </c>
    </row>
    <row r="8" spans="1:21" x14ac:dyDescent="0.35">
      <c r="A8" s="2" t="s">
        <v>750</v>
      </c>
      <c r="B8" s="2">
        <v>1800</v>
      </c>
      <c r="C8" s="2">
        <v>1817</v>
      </c>
      <c r="D8" s="2">
        <v>1831</v>
      </c>
      <c r="E8" s="2">
        <v>1814</v>
      </c>
      <c r="F8" s="2">
        <v>1825</v>
      </c>
      <c r="G8" s="2">
        <v>1840</v>
      </c>
      <c r="H8" s="2">
        <v>1849</v>
      </c>
      <c r="I8" s="2">
        <v>1865</v>
      </c>
      <c r="J8" s="2">
        <v>1874</v>
      </c>
      <c r="K8" s="2">
        <v>1882</v>
      </c>
      <c r="L8" s="2">
        <v>1896</v>
      </c>
      <c r="M8" s="2">
        <v>1880</v>
      </c>
      <c r="N8" s="2">
        <v>1889</v>
      </c>
      <c r="O8" s="2">
        <v>1900</v>
      </c>
      <c r="P8" s="2">
        <v>1879</v>
      </c>
      <c r="Q8" s="2">
        <v>1879</v>
      </c>
      <c r="R8" s="2">
        <v>1879</v>
      </c>
      <c r="S8" s="2">
        <v>1879</v>
      </c>
      <c r="T8" s="2">
        <v>1879</v>
      </c>
      <c r="U8" s="2">
        <v>1879</v>
      </c>
    </row>
    <row r="9" spans="1:21" x14ac:dyDescent="0.35">
      <c r="A9" s="1" t="s">
        <v>648</v>
      </c>
      <c r="B9" s="2">
        <v>1800</v>
      </c>
      <c r="C9" s="2">
        <v>1812</v>
      </c>
      <c r="D9" s="2">
        <v>1824</v>
      </c>
      <c r="E9" s="2">
        <v>1834</v>
      </c>
      <c r="F9" s="2">
        <v>1844</v>
      </c>
      <c r="G9" s="2">
        <v>1853</v>
      </c>
      <c r="H9" s="2">
        <v>1869</v>
      </c>
      <c r="I9" s="2">
        <v>1856</v>
      </c>
      <c r="J9" s="2">
        <v>1869</v>
      </c>
      <c r="K9" s="2">
        <v>1878</v>
      </c>
      <c r="L9" s="2">
        <v>1887</v>
      </c>
      <c r="M9" s="2">
        <v>1898</v>
      </c>
      <c r="N9" s="2">
        <v>1907</v>
      </c>
      <c r="O9" s="2">
        <v>1890</v>
      </c>
      <c r="P9" s="2">
        <v>1911</v>
      </c>
      <c r="Q9" s="2">
        <v>1883</v>
      </c>
      <c r="R9" s="2">
        <v>1908</v>
      </c>
      <c r="S9" s="2">
        <v>1878</v>
      </c>
      <c r="T9" s="2">
        <v>1878</v>
      </c>
      <c r="U9" s="2">
        <v>1878</v>
      </c>
    </row>
    <row r="10" spans="1:21" x14ac:dyDescent="0.35">
      <c r="A10" s="2" t="s">
        <v>751</v>
      </c>
      <c r="B10" s="2">
        <v>1800</v>
      </c>
      <c r="C10" s="2">
        <v>1783</v>
      </c>
      <c r="D10" s="2">
        <v>1797</v>
      </c>
      <c r="E10" s="2">
        <v>1809</v>
      </c>
      <c r="F10" s="2">
        <v>1824</v>
      </c>
      <c r="G10" s="2">
        <v>1834</v>
      </c>
      <c r="H10" s="2">
        <v>1851</v>
      </c>
      <c r="I10" s="2">
        <v>1862</v>
      </c>
      <c r="J10" s="2">
        <v>1872</v>
      </c>
      <c r="K10" s="2">
        <v>1883</v>
      </c>
      <c r="L10" s="2">
        <v>1869</v>
      </c>
      <c r="M10" s="2">
        <v>1880</v>
      </c>
      <c r="N10" s="2">
        <v>1891</v>
      </c>
      <c r="O10" s="2">
        <v>1875</v>
      </c>
      <c r="P10" s="2">
        <v>1875</v>
      </c>
      <c r="Q10" s="2">
        <v>1875</v>
      </c>
      <c r="R10" s="2">
        <v>1875</v>
      </c>
      <c r="S10" s="2">
        <v>1875</v>
      </c>
      <c r="T10" s="2">
        <v>1875</v>
      </c>
      <c r="U10" s="2">
        <v>1875</v>
      </c>
    </row>
    <row r="11" spans="1:21" x14ac:dyDescent="0.35">
      <c r="A11" s="2" t="s">
        <v>776</v>
      </c>
      <c r="B11" s="2">
        <v>1800</v>
      </c>
      <c r="C11" s="2">
        <v>1812</v>
      </c>
      <c r="D11" s="2">
        <v>1825</v>
      </c>
      <c r="E11" s="2">
        <v>1836</v>
      </c>
      <c r="F11" s="2">
        <v>1851</v>
      </c>
      <c r="G11" s="2">
        <v>1838</v>
      </c>
      <c r="H11" s="2">
        <v>1848</v>
      </c>
      <c r="I11" s="2">
        <v>1857</v>
      </c>
      <c r="J11" s="2">
        <v>1870</v>
      </c>
      <c r="K11" s="2">
        <v>1880</v>
      </c>
      <c r="L11" s="2">
        <v>1863</v>
      </c>
      <c r="M11" s="2">
        <v>1876</v>
      </c>
      <c r="N11" s="2">
        <v>1886</v>
      </c>
      <c r="O11" s="2">
        <v>1874</v>
      </c>
      <c r="P11" s="2">
        <v>1874</v>
      </c>
      <c r="Q11" s="2">
        <v>1874</v>
      </c>
      <c r="R11" s="2">
        <v>1874</v>
      </c>
      <c r="S11" s="2">
        <v>1874</v>
      </c>
      <c r="T11" s="2">
        <v>1874</v>
      </c>
      <c r="U11" s="2">
        <v>1874</v>
      </c>
    </row>
    <row r="12" spans="1:21" x14ac:dyDescent="0.35">
      <c r="A12" s="2" t="s">
        <v>743</v>
      </c>
      <c r="B12" s="2">
        <v>1800</v>
      </c>
      <c r="C12" s="2">
        <v>1789</v>
      </c>
      <c r="D12" s="2">
        <v>1800</v>
      </c>
      <c r="E12" s="2">
        <v>1812</v>
      </c>
      <c r="F12" s="2">
        <v>1824</v>
      </c>
      <c r="G12" s="2">
        <v>1835</v>
      </c>
      <c r="H12" s="2">
        <v>1846</v>
      </c>
      <c r="I12" s="2">
        <v>1829</v>
      </c>
      <c r="J12" s="2">
        <v>1840</v>
      </c>
      <c r="K12" s="2">
        <v>1848</v>
      </c>
      <c r="L12" s="2">
        <v>1834</v>
      </c>
      <c r="M12" s="2">
        <v>1852</v>
      </c>
      <c r="N12" s="2">
        <v>1861</v>
      </c>
      <c r="O12" s="2">
        <v>1872</v>
      </c>
      <c r="P12" s="2">
        <v>1872</v>
      </c>
      <c r="Q12" s="2">
        <v>1872</v>
      </c>
      <c r="R12" s="2">
        <v>1872</v>
      </c>
      <c r="S12" s="2">
        <v>1872</v>
      </c>
      <c r="T12" s="2">
        <v>1872</v>
      </c>
      <c r="U12" s="2">
        <v>1872</v>
      </c>
    </row>
    <row r="13" spans="1:21" x14ac:dyDescent="0.35">
      <c r="A13" s="2" t="s">
        <v>763</v>
      </c>
      <c r="B13" s="2">
        <v>1800</v>
      </c>
      <c r="C13" s="2">
        <v>1811</v>
      </c>
      <c r="D13" s="2">
        <v>1825</v>
      </c>
      <c r="E13" s="2">
        <v>1840</v>
      </c>
      <c r="F13" s="2">
        <v>1850</v>
      </c>
      <c r="G13" s="2">
        <v>1866</v>
      </c>
      <c r="H13" s="2">
        <v>1875</v>
      </c>
      <c r="I13" s="2">
        <v>1885</v>
      </c>
      <c r="J13" s="2">
        <v>1898</v>
      </c>
      <c r="K13" s="2">
        <v>1906</v>
      </c>
      <c r="L13" s="2">
        <v>1891</v>
      </c>
      <c r="M13" s="2">
        <v>1871</v>
      </c>
      <c r="N13" s="2">
        <v>1879</v>
      </c>
      <c r="O13" s="2">
        <v>1865</v>
      </c>
      <c r="P13" s="2">
        <v>1865</v>
      </c>
      <c r="Q13" s="2">
        <v>1865</v>
      </c>
      <c r="R13" s="2">
        <v>1865</v>
      </c>
      <c r="S13" s="2">
        <v>1865</v>
      </c>
      <c r="T13" s="2">
        <v>1865</v>
      </c>
      <c r="U13" s="2">
        <v>1865</v>
      </c>
    </row>
    <row r="14" spans="1:21" x14ac:dyDescent="0.35">
      <c r="A14" s="2" t="s">
        <v>780</v>
      </c>
      <c r="B14" s="2">
        <v>1800</v>
      </c>
      <c r="C14" s="2">
        <v>1812</v>
      </c>
      <c r="D14" s="2">
        <v>1825</v>
      </c>
      <c r="E14" s="2">
        <v>1840</v>
      </c>
      <c r="F14" s="2">
        <v>1856</v>
      </c>
      <c r="G14" s="2">
        <v>1844</v>
      </c>
      <c r="H14" s="2">
        <v>1853</v>
      </c>
      <c r="I14" s="2">
        <v>1836</v>
      </c>
      <c r="J14" s="2">
        <v>1849</v>
      </c>
      <c r="K14" s="2">
        <v>1862</v>
      </c>
      <c r="L14" s="2">
        <v>1850</v>
      </c>
      <c r="M14" s="2">
        <v>1865</v>
      </c>
      <c r="N14" s="2">
        <v>1873</v>
      </c>
      <c r="O14" s="2">
        <v>1857</v>
      </c>
      <c r="P14" s="2">
        <v>1857</v>
      </c>
      <c r="Q14" s="2">
        <v>1857</v>
      </c>
      <c r="R14" s="2">
        <v>1857</v>
      </c>
      <c r="S14" s="2">
        <v>1857</v>
      </c>
      <c r="T14" s="2">
        <v>1857</v>
      </c>
      <c r="U14" s="2">
        <v>1857</v>
      </c>
    </row>
    <row r="15" spans="1:21" x14ac:dyDescent="0.35">
      <c r="A15" s="2" t="s">
        <v>784</v>
      </c>
      <c r="B15" s="2">
        <v>1800</v>
      </c>
      <c r="C15" s="2">
        <v>1813</v>
      </c>
      <c r="D15" s="2">
        <v>1825</v>
      </c>
      <c r="E15" s="2">
        <v>1838</v>
      </c>
      <c r="F15" s="2">
        <v>1823</v>
      </c>
      <c r="G15" s="2">
        <v>1811</v>
      </c>
      <c r="H15" s="2">
        <v>1823</v>
      </c>
      <c r="I15" s="2">
        <v>1833</v>
      </c>
      <c r="J15" s="2">
        <v>1820</v>
      </c>
      <c r="K15" s="2">
        <v>1809</v>
      </c>
      <c r="L15" s="2">
        <v>1821</v>
      </c>
      <c r="M15" s="2">
        <v>1831</v>
      </c>
      <c r="N15" s="2">
        <v>1843</v>
      </c>
      <c r="O15" s="2">
        <v>1854</v>
      </c>
      <c r="P15" s="2">
        <v>1854</v>
      </c>
      <c r="Q15" s="2">
        <v>1854</v>
      </c>
      <c r="R15" s="2">
        <v>1854</v>
      </c>
      <c r="S15" s="2">
        <v>1854</v>
      </c>
      <c r="T15" s="2">
        <v>1854</v>
      </c>
      <c r="U15" s="2">
        <v>1854</v>
      </c>
    </row>
    <row r="16" spans="1:21" x14ac:dyDescent="0.35">
      <c r="A16" s="1" t="s">
        <v>467</v>
      </c>
      <c r="B16" s="2">
        <v>1800</v>
      </c>
      <c r="C16" s="2">
        <v>1814</v>
      </c>
      <c r="D16" s="2">
        <v>1834</v>
      </c>
      <c r="E16" s="2">
        <v>1844</v>
      </c>
      <c r="F16" s="2">
        <v>1853</v>
      </c>
      <c r="G16" s="2">
        <v>1865</v>
      </c>
      <c r="H16" s="2">
        <v>1877</v>
      </c>
      <c r="I16" s="2">
        <v>1861</v>
      </c>
      <c r="J16" s="2">
        <v>1872</v>
      </c>
      <c r="K16" s="2">
        <v>1882</v>
      </c>
      <c r="L16" s="2">
        <v>1890</v>
      </c>
      <c r="M16" s="2">
        <v>1872</v>
      </c>
      <c r="N16" s="2">
        <v>1860</v>
      </c>
      <c r="O16" s="2">
        <v>1871</v>
      </c>
      <c r="P16" s="2">
        <v>1895</v>
      </c>
      <c r="Q16" s="2">
        <v>1870</v>
      </c>
      <c r="R16" s="2">
        <v>1847</v>
      </c>
      <c r="S16" s="2">
        <v>1847</v>
      </c>
      <c r="T16" s="2">
        <v>1847</v>
      </c>
      <c r="U16" s="2">
        <v>1847</v>
      </c>
    </row>
    <row r="17" spans="1:21" x14ac:dyDescent="0.35">
      <c r="A17" s="2" t="s">
        <v>712</v>
      </c>
      <c r="B17" s="2">
        <v>1800</v>
      </c>
      <c r="C17" s="2">
        <v>1811</v>
      </c>
      <c r="D17" s="2">
        <v>1823</v>
      </c>
      <c r="E17" s="2">
        <v>1833</v>
      </c>
      <c r="F17" s="2">
        <v>1845</v>
      </c>
      <c r="G17" s="2">
        <v>1853</v>
      </c>
      <c r="H17" s="2">
        <v>1863</v>
      </c>
      <c r="I17" s="2">
        <v>1876</v>
      </c>
      <c r="J17" s="2">
        <v>1863</v>
      </c>
      <c r="K17" s="2">
        <v>1848</v>
      </c>
      <c r="L17" s="2">
        <v>1832</v>
      </c>
      <c r="M17" s="2">
        <v>1843</v>
      </c>
      <c r="N17" s="2">
        <v>1854</v>
      </c>
      <c r="O17" s="2">
        <v>1843</v>
      </c>
      <c r="P17" s="2">
        <v>1843</v>
      </c>
      <c r="Q17" s="2">
        <v>1843</v>
      </c>
      <c r="R17" s="2">
        <v>1843</v>
      </c>
      <c r="S17" s="2">
        <v>1843</v>
      </c>
      <c r="T17" s="2">
        <v>1843</v>
      </c>
      <c r="U17" s="2">
        <v>1843</v>
      </c>
    </row>
    <row r="18" spans="1:21" x14ac:dyDescent="0.35">
      <c r="A18" s="2" t="s">
        <v>649</v>
      </c>
      <c r="B18" s="2">
        <v>1800</v>
      </c>
      <c r="C18" s="2">
        <v>1812</v>
      </c>
      <c r="D18" s="2">
        <v>1828</v>
      </c>
      <c r="E18" s="2">
        <v>1841</v>
      </c>
      <c r="F18" s="2">
        <v>1853</v>
      </c>
      <c r="G18" s="2">
        <v>1838</v>
      </c>
      <c r="H18" s="2">
        <v>1825</v>
      </c>
      <c r="I18" s="2">
        <v>1836</v>
      </c>
      <c r="J18" s="2">
        <v>1823</v>
      </c>
      <c r="K18" s="2">
        <v>1813</v>
      </c>
      <c r="L18" s="2">
        <v>1824</v>
      </c>
      <c r="M18" s="2">
        <v>1841</v>
      </c>
      <c r="N18" s="2">
        <v>1852</v>
      </c>
      <c r="O18" s="2">
        <v>1839</v>
      </c>
      <c r="P18" s="2">
        <v>1839</v>
      </c>
      <c r="Q18" s="2">
        <v>1839</v>
      </c>
      <c r="R18" s="2">
        <v>1839</v>
      </c>
      <c r="S18" s="2">
        <v>1839</v>
      </c>
      <c r="T18" s="2">
        <v>1839</v>
      </c>
      <c r="U18" s="2">
        <v>1839</v>
      </c>
    </row>
    <row r="19" spans="1:21" x14ac:dyDescent="0.35">
      <c r="A19" s="2" t="s">
        <v>757</v>
      </c>
      <c r="B19" s="2">
        <v>1800</v>
      </c>
      <c r="C19" s="2">
        <v>1815</v>
      </c>
      <c r="D19" s="2">
        <v>1828</v>
      </c>
      <c r="E19" s="2">
        <v>1843</v>
      </c>
      <c r="F19" s="2">
        <v>1854</v>
      </c>
      <c r="G19" s="2">
        <v>1838</v>
      </c>
      <c r="H19" s="2">
        <v>1849</v>
      </c>
      <c r="I19" s="2">
        <v>1832</v>
      </c>
      <c r="J19" s="2">
        <v>1821</v>
      </c>
      <c r="K19" s="2">
        <v>1836</v>
      </c>
      <c r="L19" s="2">
        <v>1823</v>
      </c>
      <c r="M19" s="2">
        <v>1836</v>
      </c>
      <c r="N19" s="2">
        <v>1826</v>
      </c>
      <c r="O19" s="2">
        <v>1839</v>
      </c>
      <c r="P19" s="2">
        <v>1839</v>
      </c>
      <c r="Q19" s="2">
        <v>1839</v>
      </c>
      <c r="R19" s="2">
        <v>1839</v>
      </c>
      <c r="S19" s="2">
        <v>1839</v>
      </c>
      <c r="T19" s="2">
        <v>1839</v>
      </c>
      <c r="U19" s="2">
        <v>1839</v>
      </c>
    </row>
    <row r="20" spans="1:21" x14ac:dyDescent="0.35">
      <c r="A20" s="2" t="s">
        <v>720</v>
      </c>
      <c r="B20" s="2">
        <v>1800</v>
      </c>
      <c r="C20" s="2">
        <v>1811</v>
      </c>
      <c r="D20" s="2">
        <v>1799</v>
      </c>
      <c r="E20" s="2">
        <v>1815</v>
      </c>
      <c r="F20" s="2">
        <v>1800</v>
      </c>
      <c r="G20" s="2">
        <v>1786</v>
      </c>
      <c r="H20" s="2">
        <v>1776</v>
      </c>
      <c r="I20" s="2">
        <v>1792</v>
      </c>
      <c r="J20" s="2">
        <v>1782</v>
      </c>
      <c r="K20" s="2">
        <v>1770</v>
      </c>
      <c r="L20" s="2">
        <v>1792</v>
      </c>
      <c r="M20" s="2">
        <v>1807</v>
      </c>
      <c r="N20" s="2">
        <v>1826</v>
      </c>
      <c r="O20" s="2">
        <v>1838</v>
      </c>
      <c r="P20" s="2">
        <v>1838</v>
      </c>
      <c r="Q20" s="2">
        <v>1838</v>
      </c>
      <c r="R20" s="2">
        <v>1838</v>
      </c>
      <c r="S20" s="2">
        <v>1838</v>
      </c>
      <c r="T20" s="2">
        <v>1838</v>
      </c>
      <c r="U20" s="2">
        <v>1838</v>
      </c>
    </row>
    <row r="21" spans="1:21" x14ac:dyDescent="0.35">
      <c r="A21" s="2" t="s">
        <v>676</v>
      </c>
      <c r="B21" s="2">
        <v>1800</v>
      </c>
      <c r="C21" s="2">
        <v>1814</v>
      </c>
      <c r="D21" s="2">
        <v>1802</v>
      </c>
      <c r="E21" s="2">
        <v>1816</v>
      </c>
      <c r="F21" s="2">
        <v>1827</v>
      </c>
      <c r="G21" s="2">
        <v>1810</v>
      </c>
      <c r="H21" s="2">
        <v>1794</v>
      </c>
      <c r="I21" s="2">
        <v>1779</v>
      </c>
      <c r="J21" s="2">
        <v>1792</v>
      </c>
      <c r="K21" s="2">
        <v>1805</v>
      </c>
      <c r="L21" s="2">
        <v>1816</v>
      </c>
      <c r="M21" s="2">
        <v>1828</v>
      </c>
      <c r="N21" s="2">
        <v>1816</v>
      </c>
      <c r="O21" s="2">
        <v>1833</v>
      </c>
      <c r="P21" s="2">
        <v>1833</v>
      </c>
      <c r="Q21" s="2">
        <v>1833</v>
      </c>
      <c r="R21" s="2">
        <v>1833</v>
      </c>
      <c r="S21" s="2">
        <v>1833</v>
      </c>
      <c r="T21" s="2">
        <v>1833</v>
      </c>
      <c r="U21" s="2">
        <v>1833</v>
      </c>
    </row>
    <row r="22" spans="1:21" x14ac:dyDescent="0.35">
      <c r="A22" s="2" t="s">
        <v>642</v>
      </c>
      <c r="B22" s="2">
        <v>1800</v>
      </c>
      <c r="C22" s="2">
        <v>1783</v>
      </c>
      <c r="D22" s="2">
        <v>1768</v>
      </c>
      <c r="E22" s="2">
        <v>1758</v>
      </c>
      <c r="F22" s="2">
        <v>1745</v>
      </c>
      <c r="G22" s="2">
        <v>1761</v>
      </c>
      <c r="H22" s="2">
        <v>1776</v>
      </c>
      <c r="I22" s="2">
        <v>1791</v>
      </c>
      <c r="J22" s="2">
        <v>1806</v>
      </c>
      <c r="K22" s="2">
        <v>1817</v>
      </c>
      <c r="L22" s="2">
        <v>1803</v>
      </c>
      <c r="M22" s="2">
        <v>1814</v>
      </c>
      <c r="N22" s="2">
        <v>1823</v>
      </c>
      <c r="O22" s="2">
        <v>1833</v>
      </c>
      <c r="P22" s="2">
        <v>1833</v>
      </c>
      <c r="Q22" s="2">
        <v>1833</v>
      </c>
      <c r="R22" s="2">
        <v>1833</v>
      </c>
      <c r="S22" s="2">
        <v>1833</v>
      </c>
      <c r="T22" s="2">
        <v>1833</v>
      </c>
      <c r="U22" s="2">
        <v>1833</v>
      </c>
    </row>
    <row r="23" spans="1:21" x14ac:dyDescent="0.35">
      <c r="A23" s="2" t="s">
        <v>663</v>
      </c>
      <c r="B23" s="2">
        <v>1800</v>
      </c>
      <c r="C23" s="2">
        <v>1788</v>
      </c>
      <c r="D23" s="2">
        <v>1768</v>
      </c>
      <c r="E23" s="2">
        <v>1756</v>
      </c>
      <c r="F23" s="2">
        <v>1776</v>
      </c>
      <c r="G23" s="2">
        <v>1794</v>
      </c>
      <c r="H23" s="2">
        <v>1782</v>
      </c>
      <c r="I23" s="2">
        <v>1768</v>
      </c>
      <c r="J23" s="2">
        <v>1782</v>
      </c>
      <c r="K23" s="2">
        <v>1794</v>
      </c>
      <c r="L23" s="2">
        <v>1811</v>
      </c>
      <c r="M23" s="2">
        <v>1829</v>
      </c>
      <c r="N23" s="2">
        <v>1844</v>
      </c>
      <c r="O23" s="2">
        <v>1830</v>
      </c>
      <c r="P23" s="2">
        <v>1830</v>
      </c>
      <c r="Q23" s="2">
        <v>1830</v>
      </c>
      <c r="R23" s="2">
        <v>1830</v>
      </c>
      <c r="S23" s="2">
        <v>1830</v>
      </c>
      <c r="T23" s="2">
        <v>1830</v>
      </c>
      <c r="U23" s="2">
        <v>1830</v>
      </c>
    </row>
    <row r="24" spans="1:21" x14ac:dyDescent="0.35">
      <c r="A24" s="2" t="s">
        <v>704</v>
      </c>
      <c r="B24" s="2">
        <v>1800</v>
      </c>
      <c r="C24" s="2">
        <v>1812</v>
      </c>
      <c r="D24" s="2">
        <v>1825</v>
      </c>
      <c r="E24" s="2">
        <v>1839</v>
      </c>
      <c r="F24" s="2">
        <v>1823</v>
      </c>
      <c r="G24" s="2">
        <v>1798</v>
      </c>
      <c r="H24" s="2">
        <v>1814</v>
      </c>
      <c r="I24" s="2">
        <v>1803</v>
      </c>
      <c r="J24" s="2">
        <v>1787</v>
      </c>
      <c r="K24" s="2">
        <v>1799</v>
      </c>
      <c r="L24" s="2">
        <v>1814</v>
      </c>
      <c r="M24" s="2">
        <v>1830</v>
      </c>
      <c r="N24" s="2">
        <v>1817</v>
      </c>
      <c r="O24" s="2">
        <v>1828</v>
      </c>
      <c r="P24" s="2">
        <v>1828</v>
      </c>
      <c r="Q24" s="2">
        <v>1828</v>
      </c>
      <c r="R24" s="2">
        <v>1828</v>
      </c>
      <c r="S24" s="2">
        <v>1828</v>
      </c>
      <c r="T24" s="2">
        <v>1828</v>
      </c>
      <c r="U24" s="2">
        <v>1828</v>
      </c>
    </row>
    <row r="25" spans="1:21" x14ac:dyDescent="0.35">
      <c r="A25" s="2" t="s">
        <v>742</v>
      </c>
      <c r="B25" s="2">
        <v>1800</v>
      </c>
      <c r="C25" s="2">
        <v>1811</v>
      </c>
      <c r="D25" s="2">
        <v>1825</v>
      </c>
      <c r="E25" s="2">
        <v>1836</v>
      </c>
      <c r="F25" s="2">
        <v>1823</v>
      </c>
      <c r="G25" s="2">
        <v>1811</v>
      </c>
      <c r="H25" s="2">
        <v>1797</v>
      </c>
      <c r="I25" s="2">
        <v>1812</v>
      </c>
      <c r="J25" s="2">
        <v>1825</v>
      </c>
      <c r="K25" s="2">
        <v>1810</v>
      </c>
      <c r="L25" s="2">
        <v>1820</v>
      </c>
      <c r="M25" s="2">
        <v>1804</v>
      </c>
      <c r="N25" s="2">
        <v>1816</v>
      </c>
      <c r="O25" s="2">
        <v>1828</v>
      </c>
      <c r="P25" s="2">
        <v>1828</v>
      </c>
      <c r="Q25" s="2">
        <v>1828</v>
      </c>
      <c r="R25" s="2">
        <v>1828</v>
      </c>
      <c r="S25" s="2">
        <v>1828</v>
      </c>
      <c r="T25" s="2">
        <v>1828</v>
      </c>
      <c r="U25" s="2">
        <v>1828</v>
      </c>
    </row>
    <row r="26" spans="1:21" x14ac:dyDescent="0.35">
      <c r="A26" s="2" t="s">
        <v>660</v>
      </c>
      <c r="B26" s="2">
        <v>1800</v>
      </c>
      <c r="C26" s="2">
        <v>1813</v>
      </c>
      <c r="D26" s="2">
        <v>1802</v>
      </c>
      <c r="E26" s="2">
        <v>1814</v>
      </c>
      <c r="F26" s="2">
        <v>1802</v>
      </c>
      <c r="G26" s="2">
        <v>1815</v>
      </c>
      <c r="H26" s="2">
        <v>1804</v>
      </c>
      <c r="I26" s="2">
        <v>1793</v>
      </c>
      <c r="J26" s="2">
        <v>1808</v>
      </c>
      <c r="K26" s="2">
        <v>1796</v>
      </c>
      <c r="L26" s="2">
        <v>1782</v>
      </c>
      <c r="M26" s="2">
        <v>1798</v>
      </c>
      <c r="N26" s="2">
        <v>1812</v>
      </c>
      <c r="O26" s="2">
        <v>1825</v>
      </c>
      <c r="P26" s="2">
        <v>1825</v>
      </c>
      <c r="Q26" s="2">
        <v>1825</v>
      </c>
      <c r="R26" s="2">
        <v>1825</v>
      </c>
      <c r="S26" s="2">
        <v>1825</v>
      </c>
      <c r="T26" s="2">
        <v>1825</v>
      </c>
      <c r="U26" s="2">
        <v>1825</v>
      </c>
    </row>
    <row r="27" spans="1:21" x14ac:dyDescent="0.35">
      <c r="A27" s="2" t="s">
        <v>641</v>
      </c>
      <c r="B27" s="2">
        <v>1800</v>
      </c>
      <c r="C27" s="2">
        <v>1789</v>
      </c>
      <c r="D27" s="2">
        <v>1806</v>
      </c>
      <c r="E27" s="2">
        <v>1824</v>
      </c>
      <c r="F27" s="2">
        <v>1837</v>
      </c>
      <c r="G27" s="2">
        <v>1823</v>
      </c>
      <c r="H27" s="2">
        <v>1804</v>
      </c>
      <c r="I27" s="2">
        <v>1818</v>
      </c>
      <c r="J27" s="2">
        <v>1836</v>
      </c>
      <c r="K27" s="2">
        <v>1846</v>
      </c>
      <c r="L27" s="2">
        <v>1834</v>
      </c>
      <c r="M27" s="2">
        <v>1823</v>
      </c>
      <c r="N27" s="2">
        <v>1835</v>
      </c>
      <c r="O27" s="2">
        <v>1821</v>
      </c>
      <c r="P27" s="2">
        <v>1821</v>
      </c>
      <c r="Q27" s="2">
        <v>1821</v>
      </c>
      <c r="R27" s="2">
        <v>1821</v>
      </c>
      <c r="S27" s="2">
        <v>1821</v>
      </c>
      <c r="T27" s="2">
        <v>1821</v>
      </c>
      <c r="U27" s="2">
        <v>1821</v>
      </c>
    </row>
    <row r="28" spans="1:21" x14ac:dyDescent="0.35">
      <c r="A28" s="2" t="s">
        <v>746</v>
      </c>
      <c r="B28" s="2">
        <v>1800</v>
      </c>
      <c r="C28" s="2">
        <v>1811</v>
      </c>
      <c r="D28" s="2">
        <v>1797</v>
      </c>
      <c r="E28" s="2">
        <v>1785</v>
      </c>
      <c r="F28" s="2">
        <v>1803</v>
      </c>
      <c r="G28" s="2">
        <v>1816</v>
      </c>
      <c r="H28" s="2">
        <v>1802</v>
      </c>
      <c r="I28" s="2">
        <v>1818</v>
      </c>
      <c r="J28" s="2">
        <v>1806</v>
      </c>
      <c r="K28" s="2">
        <v>1819</v>
      </c>
      <c r="L28" s="2">
        <v>1833</v>
      </c>
      <c r="M28" s="2">
        <v>1822</v>
      </c>
      <c r="N28" s="2">
        <v>1831</v>
      </c>
      <c r="O28" s="2">
        <v>1820</v>
      </c>
      <c r="P28" s="2">
        <v>1820</v>
      </c>
      <c r="Q28" s="2">
        <v>1820</v>
      </c>
      <c r="R28" s="2">
        <v>1820</v>
      </c>
      <c r="S28" s="2">
        <v>1820</v>
      </c>
      <c r="T28" s="2">
        <v>1820</v>
      </c>
      <c r="U28" s="2">
        <v>1820</v>
      </c>
    </row>
    <row r="29" spans="1:21" x14ac:dyDescent="0.35">
      <c r="A29" s="1" t="s">
        <v>778</v>
      </c>
      <c r="B29" s="2">
        <v>1800</v>
      </c>
      <c r="C29" s="2">
        <v>1814</v>
      </c>
      <c r="D29" s="2">
        <v>1825</v>
      </c>
      <c r="E29" s="2">
        <v>1837</v>
      </c>
      <c r="F29" s="2">
        <v>1855</v>
      </c>
      <c r="G29" s="2">
        <v>1867</v>
      </c>
      <c r="H29" s="2">
        <v>1877</v>
      </c>
      <c r="I29" s="2">
        <v>1862</v>
      </c>
      <c r="J29" s="2">
        <v>1876</v>
      </c>
      <c r="K29" s="2">
        <v>1884</v>
      </c>
      <c r="L29" s="2">
        <v>1900</v>
      </c>
      <c r="M29" s="2">
        <v>1882</v>
      </c>
      <c r="N29" s="2">
        <v>1865</v>
      </c>
      <c r="O29" s="2">
        <v>1877</v>
      </c>
      <c r="P29" s="2">
        <v>1858</v>
      </c>
      <c r="Q29" s="2">
        <v>1840</v>
      </c>
      <c r="R29" s="2">
        <v>1815</v>
      </c>
      <c r="S29" s="2">
        <v>1815</v>
      </c>
      <c r="T29" s="2">
        <v>1815</v>
      </c>
      <c r="U29" s="2">
        <v>1815</v>
      </c>
    </row>
    <row r="30" spans="1:21" x14ac:dyDescent="0.35">
      <c r="A30" s="2" t="s">
        <v>779</v>
      </c>
      <c r="B30" s="2">
        <v>1800</v>
      </c>
      <c r="C30" s="2">
        <v>1786</v>
      </c>
      <c r="D30" s="2">
        <v>1800</v>
      </c>
      <c r="E30" s="2">
        <v>1788</v>
      </c>
      <c r="F30" s="2">
        <v>1801</v>
      </c>
      <c r="G30" s="2">
        <v>1788</v>
      </c>
      <c r="H30" s="2">
        <v>1802</v>
      </c>
      <c r="I30" s="2">
        <v>1789</v>
      </c>
      <c r="J30" s="2">
        <v>1800</v>
      </c>
      <c r="K30" s="2">
        <v>1811</v>
      </c>
      <c r="L30" s="2">
        <v>1822</v>
      </c>
      <c r="M30" s="2">
        <v>1804</v>
      </c>
      <c r="N30" s="2">
        <v>1817</v>
      </c>
      <c r="O30" s="2">
        <v>1831</v>
      </c>
      <c r="P30" s="2">
        <v>1814</v>
      </c>
      <c r="Q30" s="2">
        <v>1814</v>
      </c>
      <c r="R30" s="2">
        <v>1814</v>
      </c>
      <c r="S30" s="2">
        <v>1814</v>
      </c>
      <c r="T30" s="2">
        <v>1814</v>
      </c>
      <c r="U30" s="2">
        <v>1814</v>
      </c>
    </row>
    <row r="31" spans="1:21" x14ac:dyDescent="0.35">
      <c r="A31" s="2" t="s">
        <v>765</v>
      </c>
      <c r="B31" s="2">
        <v>1800</v>
      </c>
      <c r="C31" s="2">
        <v>1784</v>
      </c>
      <c r="D31" s="2">
        <v>1802</v>
      </c>
      <c r="E31" s="2">
        <v>1790</v>
      </c>
      <c r="F31" s="2">
        <v>1805</v>
      </c>
      <c r="G31" s="2">
        <v>1817</v>
      </c>
      <c r="H31" s="2">
        <v>1828</v>
      </c>
      <c r="I31" s="2">
        <v>1841</v>
      </c>
      <c r="J31" s="2">
        <v>1826</v>
      </c>
      <c r="K31" s="2">
        <v>1813</v>
      </c>
      <c r="L31" s="2">
        <v>1799</v>
      </c>
      <c r="M31" s="2">
        <v>1785</v>
      </c>
      <c r="N31" s="2">
        <v>1797</v>
      </c>
      <c r="O31" s="2">
        <v>1812</v>
      </c>
      <c r="P31" s="2">
        <v>1812</v>
      </c>
      <c r="Q31" s="2">
        <v>1812</v>
      </c>
      <c r="R31" s="2">
        <v>1812</v>
      </c>
      <c r="S31" s="2">
        <v>1812</v>
      </c>
      <c r="T31" s="2">
        <v>1812</v>
      </c>
      <c r="U31" s="2">
        <v>1812</v>
      </c>
    </row>
    <row r="32" spans="1:21" x14ac:dyDescent="0.35">
      <c r="A32" s="2" t="s">
        <v>245</v>
      </c>
      <c r="B32" s="2">
        <v>1800</v>
      </c>
      <c r="C32" s="2">
        <v>1812</v>
      </c>
      <c r="D32" s="2">
        <v>1823</v>
      </c>
      <c r="E32" s="2">
        <v>1812</v>
      </c>
      <c r="F32" s="2">
        <v>1828</v>
      </c>
      <c r="G32" s="2">
        <v>1808</v>
      </c>
      <c r="H32" s="2">
        <v>1796</v>
      </c>
      <c r="I32" s="2">
        <v>1813</v>
      </c>
      <c r="J32" s="2">
        <v>1825</v>
      </c>
      <c r="K32" s="2">
        <v>1812</v>
      </c>
      <c r="L32" s="2">
        <v>1796</v>
      </c>
      <c r="M32" s="2">
        <v>1808</v>
      </c>
      <c r="N32" s="2">
        <v>1796</v>
      </c>
      <c r="O32" s="2">
        <v>1810</v>
      </c>
      <c r="P32" s="2">
        <v>1810</v>
      </c>
      <c r="Q32" s="2">
        <v>1810</v>
      </c>
      <c r="R32" s="2">
        <v>1810</v>
      </c>
      <c r="S32" s="2">
        <v>1810</v>
      </c>
      <c r="T32" s="2">
        <v>1810</v>
      </c>
      <c r="U32" s="2">
        <v>1810</v>
      </c>
    </row>
    <row r="33" spans="1:21" x14ac:dyDescent="0.35">
      <c r="A33" s="2" t="s">
        <v>706</v>
      </c>
      <c r="B33" s="2">
        <v>1800</v>
      </c>
      <c r="C33" s="2">
        <v>1789</v>
      </c>
      <c r="D33" s="2">
        <v>1802</v>
      </c>
      <c r="E33" s="2">
        <v>1786</v>
      </c>
      <c r="F33" s="2">
        <v>1797</v>
      </c>
      <c r="G33" s="2">
        <v>1782</v>
      </c>
      <c r="H33" s="2">
        <v>1798</v>
      </c>
      <c r="I33" s="2">
        <v>1780</v>
      </c>
      <c r="J33" s="2">
        <v>1793</v>
      </c>
      <c r="K33" s="2">
        <v>1806</v>
      </c>
      <c r="L33" s="2">
        <v>1794</v>
      </c>
      <c r="M33" s="2">
        <v>1805</v>
      </c>
      <c r="N33" s="2">
        <v>1817</v>
      </c>
      <c r="O33" s="2">
        <v>1806</v>
      </c>
      <c r="P33" s="2">
        <v>1806</v>
      </c>
      <c r="Q33" s="2">
        <v>1806</v>
      </c>
      <c r="R33" s="2">
        <v>1806</v>
      </c>
      <c r="S33" s="2">
        <v>1806</v>
      </c>
      <c r="T33" s="2">
        <v>1806</v>
      </c>
      <c r="U33" s="2">
        <v>1806</v>
      </c>
    </row>
    <row r="34" spans="1:21" x14ac:dyDescent="0.35">
      <c r="A34" s="2" t="s">
        <v>650</v>
      </c>
      <c r="B34" s="2">
        <v>1800</v>
      </c>
      <c r="C34" s="2">
        <v>1811</v>
      </c>
      <c r="D34" s="2">
        <v>1822</v>
      </c>
      <c r="E34" s="2">
        <v>1835</v>
      </c>
      <c r="F34" s="2">
        <v>1847</v>
      </c>
      <c r="G34" s="2">
        <v>1860</v>
      </c>
      <c r="H34" s="2">
        <v>1872</v>
      </c>
      <c r="I34" s="2">
        <v>1859</v>
      </c>
      <c r="J34" s="2">
        <v>1845</v>
      </c>
      <c r="K34" s="2">
        <v>1829</v>
      </c>
      <c r="L34" s="2">
        <v>1813</v>
      </c>
      <c r="M34" s="2">
        <v>1830</v>
      </c>
      <c r="N34" s="2">
        <v>1815</v>
      </c>
      <c r="O34" s="2">
        <v>1804</v>
      </c>
      <c r="P34" s="2">
        <v>1804</v>
      </c>
      <c r="Q34" s="2">
        <v>1804</v>
      </c>
      <c r="R34" s="2">
        <v>1804</v>
      </c>
      <c r="S34" s="2">
        <v>1804</v>
      </c>
      <c r="T34" s="2">
        <v>1804</v>
      </c>
      <c r="U34" s="2">
        <v>1804</v>
      </c>
    </row>
    <row r="35" spans="1:21" x14ac:dyDescent="0.35">
      <c r="A35" s="2" t="s">
        <v>582</v>
      </c>
      <c r="B35" s="2">
        <v>1800</v>
      </c>
      <c r="C35" s="2">
        <v>1786</v>
      </c>
      <c r="D35" s="2">
        <v>1775</v>
      </c>
      <c r="E35" s="2">
        <v>1760</v>
      </c>
      <c r="F35" s="2">
        <v>1774</v>
      </c>
      <c r="G35" s="2">
        <v>1762</v>
      </c>
      <c r="H35" s="2">
        <v>1746</v>
      </c>
      <c r="I35" s="2">
        <v>1761</v>
      </c>
      <c r="J35" s="2">
        <v>1747</v>
      </c>
      <c r="K35" s="2">
        <v>1764</v>
      </c>
      <c r="L35" s="2">
        <v>1778</v>
      </c>
      <c r="M35" s="2">
        <v>1767</v>
      </c>
      <c r="N35" s="2">
        <v>1787</v>
      </c>
      <c r="O35" s="2">
        <v>1804</v>
      </c>
      <c r="P35" s="2">
        <v>1804</v>
      </c>
      <c r="Q35" s="2">
        <v>1804</v>
      </c>
      <c r="R35" s="2">
        <v>1804</v>
      </c>
      <c r="S35" s="2">
        <v>1804</v>
      </c>
      <c r="T35" s="2">
        <v>1804</v>
      </c>
      <c r="U35" s="2">
        <v>1804</v>
      </c>
    </row>
    <row r="36" spans="1:21" x14ac:dyDescent="0.35">
      <c r="A36" s="2" t="s">
        <v>646</v>
      </c>
      <c r="B36" s="2">
        <v>1800</v>
      </c>
      <c r="C36" s="2">
        <v>1785</v>
      </c>
      <c r="D36" s="2">
        <v>1773</v>
      </c>
      <c r="E36" s="2">
        <v>1759</v>
      </c>
      <c r="F36" s="2">
        <v>1744</v>
      </c>
      <c r="G36" s="2">
        <v>1769</v>
      </c>
      <c r="H36" s="2">
        <v>1787</v>
      </c>
      <c r="I36" s="2">
        <v>1772</v>
      </c>
      <c r="J36" s="2">
        <v>1759</v>
      </c>
      <c r="K36" s="2">
        <v>1746</v>
      </c>
      <c r="L36" s="2">
        <v>1758</v>
      </c>
      <c r="M36" s="2">
        <v>1779</v>
      </c>
      <c r="N36" s="2">
        <v>1791</v>
      </c>
      <c r="O36" s="2">
        <v>1802</v>
      </c>
      <c r="P36" s="2">
        <v>1802</v>
      </c>
      <c r="Q36" s="2">
        <v>1802</v>
      </c>
      <c r="R36" s="2">
        <v>1802</v>
      </c>
      <c r="S36" s="2">
        <v>1802</v>
      </c>
      <c r="T36" s="2">
        <v>1802</v>
      </c>
      <c r="U36" s="2">
        <v>1802</v>
      </c>
    </row>
    <row r="37" spans="1:21" x14ac:dyDescent="0.35">
      <c r="A37" s="2" t="s">
        <v>764</v>
      </c>
      <c r="B37" s="2">
        <v>1800</v>
      </c>
      <c r="C37" s="2">
        <v>1789</v>
      </c>
      <c r="D37" s="2">
        <v>1801</v>
      </c>
      <c r="E37" s="2">
        <v>1788</v>
      </c>
      <c r="F37" s="2">
        <v>1770</v>
      </c>
      <c r="G37" s="2">
        <v>1760</v>
      </c>
      <c r="H37" s="2">
        <v>1775</v>
      </c>
      <c r="I37" s="2">
        <v>1765</v>
      </c>
      <c r="J37" s="2">
        <v>1781</v>
      </c>
      <c r="K37" s="2">
        <v>1794</v>
      </c>
      <c r="L37" s="2">
        <v>1782</v>
      </c>
      <c r="M37" s="2">
        <v>1795</v>
      </c>
      <c r="N37" s="2">
        <v>1813</v>
      </c>
      <c r="O37" s="2">
        <v>1801</v>
      </c>
      <c r="P37" s="2">
        <v>1801</v>
      </c>
      <c r="Q37" s="2">
        <v>1801</v>
      </c>
      <c r="R37" s="2">
        <v>1801</v>
      </c>
      <c r="S37" s="2">
        <v>1801</v>
      </c>
      <c r="T37" s="2">
        <v>1801</v>
      </c>
      <c r="U37" s="2">
        <v>1801</v>
      </c>
    </row>
    <row r="38" spans="1:21" x14ac:dyDescent="0.35">
      <c r="A38" s="2" t="s">
        <v>722</v>
      </c>
      <c r="B38" s="2">
        <v>1800</v>
      </c>
      <c r="C38" s="2">
        <v>1811</v>
      </c>
      <c r="D38" s="2">
        <v>1793</v>
      </c>
      <c r="E38" s="2">
        <v>1806</v>
      </c>
      <c r="F38" s="2">
        <v>1793</v>
      </c>
      <c r="G38" s="2">
        <v>1772</v>
      </c>
      <c r="H38" s="2">
        <v>1791</v>
      </c>
      <c r="I38" s="2">
        <v>1778</v>
      </c>
      <c r="J38" s="2">
        <v>1763</v>
      </c>
      <c r="K38" s="2">
        <v>1752</v>
      </c>
      <c r="L38" s="2">
        <v>1765</v>
      </c>
      <c r="M38" s="2">
        <v>1776</v>
      </c>
      <c r="N38" s="2">
        <v>1788</v>
      </c>
      <c r="O38" s="2">
        <v>1801</v>
      </c>
      <c r="P38" s="2">
        <v>1801</v>
      </c>
      <c r="Q38" s="2">
        <v>1801</v>
      </c>
      <c r="R38" s="2">
        <v>1801</v>
      </c>
      <c r="S38" s="2">
        <v>1801</v>
      </c>
      <c r="T38" s="2">
        <v>1801</v>
      </c>
      <c r="U38" s="2">
        <v>1801</v>
      </c>
    </row>
    <row r="39" spans="1:21" x14ac:dyDescent="0.35">
      <c r="A39" s="2" t="s">
        <v>753</v>
      </c>
      <c r="B39" s="2">
        <v>1800</v>
      </c>
      <c r="C39" s="2">
        <v>1787</v>
      </c>
      <c r="D39" s="2">
        <v>1799</v>
      </c>
      <c r="E39" s="2">
        <v>1814</v>
      </c>
      <c r="F39" s="2">
        <v>1800</v>
      </c>
      <c r="G39" s="2">
        <v>1789</v>
      </c>
      <c r="H39" s="2">
        <v>1803</v>
      </c>
      <c r="I39" s="2">
        <v>1789</v>
      </c>
      <c r="J39" s="2">
        <v>1807</v>
      </c>
      <c r="K39" s="2">
        <v>1796</v>
      </c>
      <c r="L39" s="2">
        <v>1811</v>
      </c>
      <c r="M39" s="2">
        <v>1796</v>
      </c>
      <c r="N39" s="2">
        <v>1787</v>
      </c>
      <c r="O39" s="2">
        <v>1798</v>
      </c>
      <c r="P39" s="2">
        <v>1798</v>
      </c>
      <c r="Q39" s="2">
        <v>1798</v>
      </c>
      <c r="R39" s="2">
        <v>1798</v>
      </c>
      <c r="S39" s="2">
        <v>1798</v>
      </c>
      <c r="T39" s="2">
        <v>1798</v>
      </c>
      <c r="U39" s="2">
        <v>1798</v>
      </c>
    </row>
    <row r="40" spans="1:21" x14ac:dyDescent="0.35">
      <c r="A40" s="2" t="s">
        <v>747</v>
      </c>
      <c r="B40" s="2">
        <v>1800</v>
      </c>
      <c r="C40" s="2">
        <v>1789</v>
      </c>
      <c r="D40" s="2">
        <v>1776</v>
      </c>
      <c r="E40" s="2">
        <v>1765</v>
      </c>
      <c r="F40" s="2">
        <v>1751</v>
      </c>
      <c r="G40" s="2">
        <v>1764</v>
      </c>
      <c r="H40" s="2">
        <v>1751</v>
      </c>
      <c r="I40" s="2">
        <v>1766</v>
      </c>
      <c r="J40" s="2">
        <v>1783</v>
      </c>
      <c r="K40" s="2">
        <v>1795</v>
      </c>
      <c r="L40" s="2">
        <v>1784</v>
      </c>
      <c r="M40" s="2">
        <v>1796</v>
      </c>
      <c r="N40" s="2">
        <v>1783</v>
      </c>
      <c r="O40" s="2">
        <v>1797</v>
      </c>
      <c r="P40" s="2">
        <v>1797</v>
      </c>
      <c r="Q40" s="2">
        <v>1797</v>
      </c>
      <c r="R40" s="2">
        <v>1797</v>
      </c>
      <c r="S40" s="2">
        <v>1797</v>
      </c>
      <c r="T40" s="2">
        <v>1797</v>
      </c>
      <c r="U40" s="2">
        <v>1797</v>
      </c>
    </row>
    <row r="41" spans="1:21" x14ac:dyDescent="0.35">
      <c r="A41" s="2" t="s">
        <v>783</v>
      </c>
      <c r="B41" s="2">
        <v>1800</v>
      </c>
      <c r="C41" s="2">
        <v>1788</v>
      </c>
      <c r="D41" s="2">
        <v>1804</v>
      </c>
      <c r="E41" s="2">
        <v>1816</v>
      </c>
      <c r="F41" s="2">
        <v>1800</v>
      </c>
      <c r="G41" s="2">
        <v>1812</v>
      </c>
      <c r="H41" s="2">
        <v>1825</v>
      </c>
      <c r="I41" s="2">
        <v>1808</v>
      </c>
      <c r="J41" s="2">
        <v>1790</v>
      </c>
      <c r="K41" s="2">
        <v>1805</v>
      </c>
      <c r="L41" s="2">
        <v>1819</v>
      </c>
      <c r="M41" s="2">
        <v>1798</v>
      </c>
      <c r="N41" s="2">
        <v>1809</v>
      </c>
      <c r="O41" s="2">
        <v>1794</v>
      </c>
      <c r="P41" s="2">
        <v>1794</v>
      </c>
      <c r="Q41" s="2">
        <v>1794</v>
      </c>
      <c r="R41" s="2">
        <v>1794</v>
      </c>
      <c r="S41" s="2">
        <v>1794</v>
      </c>
      <c r="T41" s="2">
        <v>1794</v>
      </c>
      <c r="U41" s="2">
        <v>1794</v>
      </c>
    </row>
    <row r="42" spans="1:21" x14ac:dyDescent="0.35">
      <c r="A42" s="2" t="s">
        <v>713</v>
      </c>
      <c r="B42" s="2">
        <v>1800</v>
      </c>
      <c r="C42" s="2">
        <v>1789</v>
      </c>
      <c r="D42" s="2">
        <v>1775</v>
      </c>
      <c r="E42" s="2">
        <v>1761</v>
      </c>
      <c r="F42" s="2">
        <v>1775</v>
      </c>
      <c r="G42" s="2">
        <v>1792</v>
      </c>
      <c r="H42" s="2">
        <v>1774</v>
      </c>
      <c r="I42" s="2">
        <v>1793</v>
      </c>
      <c r="J42" s="2">
        <v>1775</v>
      </c>
      <c r="K42" s="2">
        <v>1786</v>
      </c>
      <c r="L42" s="2">
        <v>1798</v>
      </c>
      <c r="M42" s="2">
        <v>1786</v>
      </c>
      <c r="N42" s="2">
        <v>1797</v>
      </c>
      <c r="O42" s="2">
        <v>1812</v>
      </c>
      <c r="P42" s="2">
        <v>1793</v>
      </c>
      <c r="Q42" s="2">
        <v>1793</v>
      </c>
      <c r="R42" s="2">
        <v>1793</v>
      </c>
      <c r="S42" s="2">
        <v>1793</v>
      </c>
      <c r="T42" s="2">
        <v>1793</v>
      </c>
      <c r="U42" s="2">
        <v>1793</v>
      </c>
    </row>
    <row r="43" spans="1:21" x14ac:dyDescent="0.35">
      <c r="A43" s="2" t="s">
        <v>734</v>
      </c>
      <c r="B43" s="2">
        <v>1800</v>
      </c>
      <c r="C43" s="2">
        <v>1815</v>
      </c>
      <c r="D43" s="2">
        <v>1801</v>
      </c>
      <c r="E43" s="2">
        <v>1783</v>
      </c>
      <c r="F43" s="2">
        <v>1797</v>
      </c>
      <c r="G43" s="2">
        <v>1818</v>
      </c>
      <c r="H43" s="2">
        <v>1831</v>
      </c>
      <c r="I43" s="2">
        <v>1816</v>
      </c>
      <c r="J43" s="2">
        <v>1827</v>
      </c>
      <c r="K43" s="2">
        <v>1813</v>
      </c>
      <c r="L43" s="2">
        <v>1828</v>
      </c>
      <c r="M43" s="2">
        <v>1817</v>
      </c>
      <c r="N43" s="2">
        <v>1800</v>
      </c>
      <c r="O43" s="2">
        <v>1792</v>
      </c>
      <c r="P43" s="2">
        <v>1792</v>
      </c>
      <c r="Q43" s="2">
        <v>1792</v>
      </c>
      <c r="R43" s="2">
        <v>1792</v>
      </c>
      <c r="S43" s="2">
        <v>1792</v>
      </c>
      <c r="T43" s="2">
        <v>1792</v>
      </c>
      <c r="U43" s="2">
        <v>1792</v>
      </c>
    </row>
    <row r="44" spans="1:21" x14ac:dyDescent="0.35">
      <c r="A44" s="2" t="s">
        <v>716</v>
      </c>
      <c r="B44" s="2">
        <v>1800</v>
      </c>
      <c r="C44" s="2">
        <v>1811</v>
      </c>
      <c r="D44" s="2">
        <v>1799</v>
      </c>
      <c r="E44" s="2">
        <v>1784</v>
      </c>
      <c r="F44" s="2">
        <v>1772</v>
      </c>
      <c r="G44" s="2">
        <v>1787</v>
      </c>
      <c r="H44" s="2">
        <v>1773</v>
      </c>
      <c r="I44" s="2">
        <v>1787</v>
      </c>
      <c r="J44" s="2">
        <v>1774</v>
      </c>
      <c r="K44" s="2">
        <v>1785</v>
      </c>
      <c r="L44" s="2">
        <v>1774</v>
      </c>
      <c r="M44" s="2">
        <v>1764</v>
      </c>
      <c r="N44" s="2">
        <v>1777</v>
      </c>
      <c r="O44" s="2">
        <v>1792</v>
      </c>
      <c r="P44" s="2">
        <v>1792</v>
      </c>
      <c r="Q44" s="2">
        <v>1792</v>
      </c>
      <c r="R44" s="2">
        <v>1792</v>
      </c>
      <c r="S44" s="2">
        <v>1792</v>
      </c>
      <c r="T44" s="2">
        <v>1792</v>
      </c>
      <c r="U44" s="2">
        <v>1792</v>
      </c>
    </row>
    <row r="45" spans="1:21" x14ac:dyDescent="0.35">
      <c r="A45" s="2" t="s">
        <v>777</v>
      </c>
      <c r="B45" s="2">
        <v>1800</v>
      </c>
      <c r="C45" s="2">
        <v>1788</v>
      </c>
      <c r="D45" s="2">
        <v>1776</v>
      </c>
      <c r="E45" s="2">
        <v>1791</v>
      </c>
      <c r="F45" s="2">
        <v>1776</v>
      </c>
      <c r="G45" s="2">
        <v>1761</v>
      </c>
      <c r="H45" s="2">
        <v>1772</v>
      </c>
      <c r="I45" s="2">
        <v>1786</v>
      </c>
      <c r="J45" s="2">
        <v>1798</v>
      </c>
      <c r="K45" s="2">
        <v>1812</v>
      </c>
      <c r="L45" s="2">
        <v>1803</v>
      </c>
      <c r="M45" s="2">
        <v>1815</v>
      </c>
      <c r="N45" s="2">
        <v>1801</v>
      </c>
      <c r="O45" s="2">
        <v>1791</v>
      </c>
      <c r="P45" s="2">
        <v>1791</v>
      </c>
      <c r="Q45" s="2">
        <v>1791</v>
      </c>
      <c r="R45" s="2">
        <v>1791</v>
      </c>
      <c r="S45" s="2">
        <v>1791</v>
      </c>
      <c r="T45" s="2">
        <v>1791</v>
      </c>
      <c r="U45" s="2">
        <v>1791</v>
      </c>
    </row>
    <row r="46" spans="1:21" x14ac:dyDescent="0.35">
      <c r="A46" s="2" t="s">
        <v>647</v>
      </c>
      <c r="B46" s="2">
        <v>1800</v>
      </c>
      <c r="C46" s="2">
        <v>1786</v>
      </c>
      <c r="D46" s="2">
        <v>1773</v>
      </c>
      <c r="E46" s="2">
        <v>1788</v>
      </c>
      <c r="F46" s="2">
        <v>1800</v>
      </c>
      <c r="G46" s="2">
        <v>1785</v>
      </c>
      <c r="H46" s="2">
        <v>1773</v>
      </c>
      <c r="I46" s="2">
        <v>1761</v>
      </c>
      <c r="J46" s="2">
        <v>1779</v>
      </c>
      <c r="K46" s="2">
        <v>1793</v>
      </c>
      <c r="L46" s="2">
        <v>1804</v>
      </c>
      <c r="M46" s="2">
        <v>1815</v>
      </c>
      <c r="N46" s="2">
        <v>1802</v>
      </c>
      <c r="O46" s="2">
        <v>1790</v>
      </c>
      <c r="P46" s="2">
        <v>1790</v>
      </c>
      <c r="Q46" s="2">
        <v>1790</v>
      </c>
      <c r="R46" s="2">
        <v>1790</v>
      </c>
      <c r="S46" s="2">
        <v>1790</v>
      </c>
      <c r="T46" s="2">
        <v>1790</v>
      </c>
      <c r="U46" s="2">
        <v>1790</v>
      </c>
    </row>
    <row r="47" spans="1:21" x14ac:dyDescent="0.35">
      <c r="A47" s="2" t="s">
        <v>738</v>
      </c>
      <c r="B47" s="2">
        <v>1800</v>
      </c>
      <c r="C47" s="2">
        <v>1785</v>
      </c>
      <c r="D47" s="2">
        <v>1801</v>
      </c>
      <c r="E47" s="2">
        <v>1785</v>
      </c>
      <c r="F47" s="2">
        <v>1800</v>
      </c>
      <c r="G47" s="2">
        <v>1812</v>
      </c>
      <c r="H47" s="2">
        <v>1800</v>
      </c>
      <c r="I47" s="2">
        <v>1790</v>
      </c>
      <c r="J47" s="2">
        <v>1805</v>
      </c>
      <c r="K47" s="2">
        <v>1818</v>
      </c>
      <c r="L47" s="2">
        <v>1830</v>
      </c>
      <c r="M47" s="2">
        <v>1813</v>
      </c>
      <c r="N47" s="2">
        <v>1799</v>
      </c>
      <c r="O47" s="2">
        <v>1784</v>
      </c>
      <c r="P47" s="2">
        <v>1784</v>
      </c>
      <c r="Q47" s="2">
        <v>1784</v>
      </c>
      <c r="R47" s="2">
        <v>1784</v>
      </c>
      <c r="S47" s="2">
        <v>1784</v>
      </c>
      <c r="T47" s="2">
        <v>1784</v>
      </c>
      <c r="U47" s="2">
        <v>1784</v>
      </c>
    </row>
    <row r="48" spans="1:21" x14ac:dyDescent="0.35">
      <c r="A48" s="2" t="s">
        <v>661</v>
      </c>
      <c r="B48" s="2">
        <v>1800</v>
      </c>
      <c r="C48" s="2">
        <v>1788</v>
      </c>
      <c r="D48" s="2">
        <v>1767</v>
      </c>
      <c r="E48" s="2">
        <v>1780</v>
      </c>
      <c r="F48" s="2">
        <v>1768</v>
      </c>
      <c r="G48" s="2">
        <v>1781</v>
      </c>
      <c r="H48" s="2">
        <v>1797</v>
      </c>
      <c r="I48" s="2">
        <v>1810</v>
      </c>
      <c r="J48" s="2">
        <v>1825</v>
      </c>
      <c r="K48" s="2">
        <v>1813</v>
      </c>
      <c r="L48" s="2">
        <v>1798</v>
      </c>
      <c r="M48" s="2">
        <v>1782</v>
      </c>
      <c r="N48" s="2">
        <v>1770</v>
      </c>
      <c r="O48" s="2">
        <v>1784</v>
      </c>
      <c r="P48" s="2">
        <v>1784</v>
      </c>
      <c r="Q48" s="2">
        <v>1784</v>
      </c>
      <c r="R48" s="2">
        <v>1784</v>
      </c>
      <c r="S48" s="2">
        <v>1784</v>
      </c>
      <c r="T48" s="2">
        <v>1784</v>
      </c>
      <c r="U48" s="2">
        <v>1784</v>
      </c>
    </row>
    <row r="49" spans="1:21" x14ac:dyDescent="0.35">
      <c r="A49" s="2" t="s">
        <v>729</v>
      </c>
      <c r="B49" s="2">
        <v>1800</v>
      </c>
      <c r="C49" s="2">
        <v>1814</v>
      </c>
      <c r="D49" s="2">
        <v>1798</v>
      </c>
      <c r="E49" s="2">
        <v>1785</v>
      </c>
      <c r="F49" s="2">
        <v>1801</v>
      </c>
      <c r="G49" s="2">
        <v>1815</v>
      </c>
      <c r="H49" s="2">
        <v>1802</v>
      </c>
      <c r="I49" s="2">
        <v>1816</v>
      </c>
      <c r="J49" s="2">
        <v>1801</v>
      </c>
      <c r="K49" s="2">
        <v>1815</v>
      </c>
      <c r="L49" s="2">
        <v>1796</v>
      </c>
      <c r="M49" s="2">
        <v>1781</v>
      </c>
      <c r="N49" s="2">
        <v>1772</v>
      </c>
      <c r="O49" s="2">
        <v>1784</v>
      </c>
      <c r="P49" s="2">
        <v>1784</v>
      </c>
      <c r="Q49" s="2">
        <v>1784</v>
      </c>
      <c r="R49" s="2">
        <v>1784</v>
      </c>
      <c r="S49" s="2">
        <v>1784</v>
      </c>
      <c r="T49" s="2">
        <v>1784</v>
      </c>
      <c r="U49" s="2">
        <v>1784</v>
      </c>
    </row>
    <row r="50" spans="1:21" x14ac:dyDescent="0.35">
      <c r="A50" s="2" t="s">
        <v>767</v>
      </c>
      <c r="B50" s="2">
        <v>1800</v>
      </c>
      <c r="C50" s="2">
        <v>1811</v>
      </c>
      <c r="D50" s="2">
        <v>1800</v>
      </c>
      <c r="E50" s="2">
        <v>1816</v>
      </c>
      <c r="F50" s="2">
        <v>1805</v>
      </c>
      <c r="G50" s="2">
        <v>1792</v>
      </c>
      <c r="H50" s="2">
        <v>1777</v>
      </c>
      <c r="I50" s="2">
        <v>1789</v>
      </c>
      <c r="J50" s="2">
        <v>1774</v>
      </c>
      <c r="K50" s="2">
        <v>1789</v>
      </c>
      <c r="L50" s="2">
        <v>1803</v>
      </c>
      <c r="M50" s="2">
        <v>1791</v>
      </c>
      <c r="N50" s="2">
        <v>1800</v>
      </c>
      <c r="O50" s="2">
        <v>1783</v>
      </c>
      <c r="P50" s="2">
        <v>1783</v>
      </c>
      <c r="Q50" s="2">
        <v>1783</v>
      </c>
      <c r="R50" s="2">
        <v>1783</v>
      </c>
      <c r="S50" s="2">
        <v>1783</v>
      </c>
      <c r="T50" s="2">
        <v>1783</v>
      </c>
      <c r="U50" s="2">
        <v>1783</v>
      </c>
    </row>
    <row r="51" spans="1:21" x14ac:dyDescent="0.35">
      <c r="A51" s="2" t="s">
        <v>701</v>
      </c>
      <c r="B51" s="2">
        <v>1800</v>
      </c>
      <c r="C51" s="2">
        <v>1789</v>
      </c>
      <c r="D51" s="2">
        <v>1804</v>
      </c>
      <c r="E51" s="2">
        <v>1816</v>
      </c>
      <c r="F51" s="2">
        <v>1796</v>
      </c>
      <c r="G51" s="2">
        <v>1784</v>
      </c>
      <c r="H51" s="2">
        <v>1768</v>
      </c>
      <c r="I51" s="2">
        <v>1778</v>
      </c>
      <c r="J51" s="2">
        <v>1796</v>
      </c>
      <c r="K51" s="2">
        <v>1783</v>
      </c>
      <c r="L51" s="2">
        <v>1771</v>
      </c>
      <c r="M51" s="2">
        <v>1785</v>
      </c>
      <c r="N51" s="2">
        <v>1798</v>
      </c>
      <c r="O51" s="2">
        <v>1781</v>
      </c>
      <c r="P51" s="2">
        <v>1781</v>
      </c>
      <c r="Q51" s="2">
        <v>1781</v>
      </c>
      <c r="R51" s="2">
        <v>1781</v>
      </c>
      <c r="S51" s="2">
        <v>1781</v>
      </c>
      <c r="T51" s="2">
        <v>1781</v>
      </c>
      <c r="U51" s="2">
        <v>1781</v>
      </c>
    </row>
    <row r="52" spans="1:21" x14ac:dyDescent="0.35">
      <c r="A52" s="2" t="s">
        <v>692</v>
      </c>
      <c r="B52" s="2">
        <v>1800</v>
      </c>
      <c r="C52" s="2">
        <v>1813</v>
      </c>
      <c r="D52" s="2">
        <v>1800</v>
      </c>
      <c r="E52" s="2">
        <v>1817</v>
      </c>
      <c r="F52" s="2">
        <v>1828</v>
      </c>
      <c r="G52" s="2">
        <v>1840</v>
      </c>
      <c r="H52" s="2">
        <v>1825</v>
      </c>
      <c r="I52" s="2">
        <v>1812</v>
      </c>
      <c r="J52" s="2">
        <v>1794</v>
      </c>
      <c r="K52" s="2">
        <v>1782</v>
      </c>
      <c r="L52" s="2">
        <v>1768</v>
      </c>
      <c r="M52" s="2">
        <v>1781</v>
      </c>
      <c r="N52" s="2">
        <v>1792</v>
      </c>
      <c r="O52" s="2">
        <v>1781</v>
      </c>
      <c r="P52" s="2">
        <v>1781</v>
      </c>
      <c r="Q52" s="2">
        <v>1781</v>
      </c>
      <c r="R52" s="2">
        <v>1781</v>
      </c>
      <c r="S52" s="2">
        <v>1781</v>
      </c>
      <c r="T52" s="2">
        <v>1781</v>
      </c>
      <c r="U52" s="2">
        <v>1781</v>
      </c>
    </row>
    <row r="53" spans="1:21" x14ac:dyDescent="0.35">
      <c r="A53" s="2" t="s">
        <v>672</v>
      </c>
      <c r="B53" s="2">
        <v>1800</v>
      </c>
      <c r="C53" s="2">
        <v>1811</v>
      </c>
      <c r="D53" s="2">
        <v>1822</v>
      </c>
      <c r="E53" s="2">
        <v>1834</v>
      </c>
      <c r="F53" s="2">
        <v>1846</v>
      </c>
      <c r="G53" s="2">
        <v>1833</v>
      </c>
      <c r="H53" s="2">
        <v>1822</v>
      </c>
      <c r="I53" s="2">
        <v>1804</v>
      </c>
      <c r="J53" s="2">
        <v>1786</v>
      </c>
      <c r="K53" s="2">
        <v>1775</v>
      </c>
      <c r="L53" s="2">
        <v>1762</v>
      </c>
      <c r="M53" s="2">
        <v>1776</v>
      </c>
      <c r="N53" s="2">
        <v>1793</v>
      </c>
      <c r="O53" s="2">
        <v>1781</v>
      </c>
      <c r="P53" s="2">
        <v>1781</v>
      </c>
      <c r="Q53" s="2">
        <v>1781</v>
      </c>
      <c r="R53" s="2">
        <v>1781</v>
      </c>
      <c r="S53" s="2">
        <v>1781</v>
      </c>
      <c r="T53" s="2">
        <v>1781</v>
      </c>
      <c r="U53" s="2">
        <v>1781</v>
      </c>
    </row>
    <row r="54" spans="1:21" x14ac:dyDescent="0.35">
      <c r="A54" s="2" t="s">
        <v>665</v>
      </c>
      <c r="B54" s="2">
        <v>1800</v>
      </c>
      <c r="C54" s="2">
        <v>1787</v>
      </c>
      <c r="D54" s="2">
        <v>1801</v>
      </c>
      <c r="E54" s="2">
        <v>1786</v>
      </c>
      <c r="F54" s="2">
        <v>1774</v>
      </c>
      <c r="G54" s="2">
        <v>1788</v>
      </c>
      <c r="H54" s="2">
        <v>1771</v>
      </c>
      <c r="I54" s="2">
        <v>1785</v>
      </c>
      <c r="J54" s="2">
        <v>1769</v>
      </c>
      <c r="K54" s="2">
        <v>1781</v>
      </c>
      <c r="L54" s="2">
        <v>1763</v>
      </c>
      <c r="M54" s="2">
        <v>1777</v>
      </c>
      <c r="N54" s="2">
        <v>1764</v>
      </c>
      <c r="O54" s="2">
        <v>1780</v>
      </c>
      <c r="P54" s="2">
        <v>1780</v>
      </c>
      <c r="Q54" s="2">
        <v>1780</v>
      </c>
      <c r="R54" s="2">
        <v>1780</v>
      </c>
      <c r="S54" s="2">
        <v>1780</v>
      </c>
      <c r="T54" s="2">
        <v>1780</v>
      </c>
      <c r="U54" s="2">
        <v>1780</v>
      </c>
    </row>
    <row r="55" spans="1:21" x14ac:dyDescent="0.35">
      <c r="A55" s="2" t="s">
        <v>737</v>
      </c>
      <c r="B55" s="2">
        <v>1800</v>
      </c>
      <c r="C55" s="2">
        <v>1815</v>
      </c>
      <c r="D55" s="2">
        <v>1803</v>
      </c>
      <c r="E55" s="2">
        <v>1814</v>
      </c>
      <c r="F55" s="2">
        <v>1827</v>
      </c>
      <c r="G55" s="2">
        <v>1812</v>
      </c>
      <c r="H55" s="2">
        <v>1827</v>
      </c>
      <c r="I55" s="2">
        <v>1811</v>
      </c>
      <c r="J55" s="2">
        <v>1823</v>
      </c>
      <c r="K55" s="2">
        <v>1806</v>
      </c>
      <c r="L55" s="2">
        <v>1791</v>
      </c>
      <c r="M55" s="2">
        <v>1778</v>
      </c>
      <c r="N55" s="2">
        <v>1769</v>
      </c>
      <c r="O55" s="2">
        <v>1779</v>
      </c>
      <c r="P55" s="2">
        <v>1779</v>
      </c>
      <c r="Q55" s="2">
        <v>1779</v>
      </c>
      <c r="R55" s="2">
        <v>1779</v>
      </c>
      <c r="S55" s="2">
        <v>1779</v>
      </c>
      <c r="T55" s="2">
        <v>1779</v>
      </c>
      <c r="U55" s="2">
        <v>1779</v>
      </c>
    </row>
    <row r="56" spans="1:21" x14ac:dyDescent="0.35">
      <c r="A56" s="2" t="s">
        <v>756</v>
      </c>
      <c r="B56" s="2">
        <v>1800</v>
      </c>
      <c r="C56" s="2">
        <v>1788</v>
      </c>
      <c r="D56" s="2">
        <v>1809</v>
      </c>
      <c r="E56" s="2">
        <v>1793</v>
      </c>
      <c r="F56" s="2">
        <v>1777</v>
      </c>
      <c r="G56" s="2">
        <v>1763</v>
      </c>
      <c r="H56" s="2">
        <v>1780</v>
      </c>
      <c r="I56" s="2">
        <v>1793</v>
      </c>
      <c r="J56" s="2">
        <v>1777</v>
      </c>
      <c r="K56" s="2">
        <v>1769</v>
      </c>
      <c r="L56" s="2">
        <v>1781</v>
      </c>
      <c r="M56" s="2">
        <v>1769</v>
      </c>
      <c r="N56" s="2">
        <v>1758</v>
      </c>
      <c r="O56" s="2">
        <v>1775</v>
      </c>
      <c r="P56" s="2">
        <v>1775</v>
      </c>
      <c r="Q56" s="2">
        <v>1775</v>
      </c>
      <c r="R56" s="2">
        <v>1775</v>
      </c>
      <c r="S56" s="2">
        <v>1775</v>
      </c>
      <c r="T56" s="2">
        <v>1775</v>
      </c>
      <c r="U56" s="2">
        <v>1775</v>
      </c>
    </row>
    <row r="57" spans="1:21" x14ac:dyDescent="0.35">
      <c r="A57" s="2" t="s">
        <v>771</v>
      </c>
      <c r="B57" s="2">
        <v>1800</v>
      </c>
      <c r="C57" s="2">
        <v>1813</v>
      </c>
      <c r="D57" s="2">
        <v>1797</v>
      </c>
      <c r="E57" s="2">
        <v>1784</v>
      </c>
      <c r="F57" s="2">
        <v>1771</v>
      </c>
      <c r="G57" s="2">
        <v>1791</v>
      </c>
      <c r="H57" s="2">
        <v>1781</v>
      </c>
      <c r="I57" s="2">
        <v>1769</v>
      </c>
      <c r="J57" s="2">
        <v>1755</v>
      </c>
      <c r="K57" s="2">
        <v>1744</v>
      </c>
      <c r="L57" s="2">
        <v>1732</v>
      </c>
      <c r="M57" s="2">
        <v>1744</v>
      </c>
      <c r="N57" s="2">
        <v>1761</v>
      </c>
      <c r="O57" s="2">
        <v>1774</v>
      </c>
      <c r="P57" s="2">
        <v>1774</v>
      </c>
      <c r="Q57" s="2">
        <v>1774</v>
      </c>
      <c r="R57" s="2">
        <v>1774</v>
      </c>
      <c r="S57" s="2">
        <v>1774</v>
      </c>
      <c r="T57" s="2">
        <v>1774</v>
      </c>
      <c r="U57" s="2">
        <v>1774</v>
      </c>
    </row>
    <row r="58" spans="1:21" x14ac:dyDescent="0.35">
      <c r="A58" s="2" t="s">
        <v>774</v>
      </c>
      <c r="B58" s="2">
        <v>1800</v>
      </c>
      <c r="C58" s="2">
        <v>1815</v>
      </c>
      <c r="D58" s="2">
        <v>1803</v>
      </c>
      <c r="E58" s="2">
        <v>1790</v>
      </c>
      <c r="F58" s="2">
        <v>1802</v>
      </c>
      <c r="G58" s="2">
        <v>1784</v>
      </c>
      <c r="H58" s="2">
        <v>1774</v>
      </c>
      <c r="I58" s="2">
        <v>1785</v>
      </c>
      <c r="J58" s="2">
        <v>1773</v>
      </c>
      <c r="K58" s="2">
        <v>1761</v>
      </c>
      <c r="L58" s="2">
        <v>1777</v>
      </c>
      <c r="M58" s="2">
        <v>1791</v>
      </c>
      <c r="N58" s="2">
        <v>1781</v>
      </c>
      <c r="O58" s="2">
        <v>1768</v>
      </c>
      <c r="P58" s="2">
        <v>1768</v>
      </c>
      <c r="Q58" s="2">
        <v>1768</v>
      </c>
      <c r="R58" s="2">
        <v>1768</v>
      </c>
      <c r="S58" s="2">
        <v>1768</v>
      </c>
      <c r="T58" s="2">
        <v>1768</v>
      </c>
      <c r="U58" s="2">
        <v>1768</v>
      </c>
    </row>
    <row r="59" spans="1:21" x14ac:dyDescent="0.35">
      <c r="A59" s="2" t="s">
        <v>758</v>
      </c>
      <c r="B59" s="2">
        <v>1800</v>
      </c>
      <c r="C59" s="2">
        <v>1785</v>
      </c>
      <c r="D59" s="2">
        <v>1773</v>
      </c>
      <c r="E59" s="2">
        <v>1785</v>
      </c>
      <c r="F59" s="2">
        <v>1805</v>
      </c>
      <c r="G59" s="2">
        <v>1792</v>
      </c>
      <c r="H59" s="2">
        <v>1803</v>
      </c>
      <c r="I59" s="2">
        <v>1789</v>
      </c>
      <c r="J59" s="2">
        <v>1769</v>
      </c>
      <c r="K59" s="2">
        <v>1782</v>
      </c>
      <c r="L59" s="2">
        <v>1770</v>
      </c>
      <c r="M59" s="2">
        <v>1761</v>
      </c>
      <c r="N59" s="2">
        <v>1747</v>
      </c>
      <c r="O59" s="2">
        <v>1764</v>
      </c>
      <c r="P59" s="2">
        <v>1764</v>
      </c>
      <c r="Q59" s="2">
        <v>1764</v>
      </c>
      <c r="R59" s="2">
        <v>1764</v>
      </c>
      <c r="S59" s="2">
        <v>1764</v>
      </c>
      <c r="T59" s="2">
        <v>1764</v>
      </c>
      <c r="U59" s="2">
        <v>1764</v>
      </c>
    </row>
    <row r="60" spans="1:21" x14ac:dyDescent="0.35">
      <c r="A60" s="2" t="s">
        <v>732</v>
      </c>
      <c r="B60" s="2">
        <v>1800</v>
      </c>
      <c r="C60" s="2">
        <v>1785</v>
      </c>
      <c r="D60" s="2">
        <v>1772</v>
      </c>
      <c r="E60" s="2">
        <v>1785</v>
      </c>
      <c r="F60" s="2">
        <v>1767</v>
      </c>
      <c r="G60" s="2">
        <v>1782</v>
      </c>
      <c r="H60" s="2">
        <v>1798</v>
      </c>
      <c r="I60" s="2">
        <v>1785</v>
      </c>
      <c r="J60" s="2">
        <v>1770</v>
      </c>
      <c r="K60" s="2">
        <v>1782</v>
      </c>
      <c r="L60" s="2">
        <v>1769</v>
      </c>
      <c r="M60" s="2">
        <v>1755</v>
      </c>
      <c r="N60" s="2">
        <v>1746</v>
      </c>
      <c r="O60" s="2">
        <v>1764</v>
      </c>
      <c r="P60" s="2">
        <v>1764</v>
      </c>
      <c r="Q60" s="2">
        <v>1764</v>
      </c>
      <c r="R60" s="2">
        <v>1764</v>
      </c>
      <c r="S60" s="2">
        <v>1764</v>
      </c>
      <c r="T60" s="2">
        <v>1764</v>
      </c>
      <c r="U60" s="2">
        <v>1764</v>
      </c>
    </row>
    <row r="61" spans="1:21" x14ac:dyDescent="0.35">
      <c r="A61" s="2" t="s">
        <v>242</v>
      </c>
      <c r="B61" s="2">
        <v>1800</v>
      </c>
      <c r="C61" s="2">
        <v>1785</v>
      </c>
      <c r="D61" s="2">
        <v>1768</v>
      </c>
      <c r="E61" s="2">
        <v>1785</v>
      </c>
      <c r="F61" s="2">
        <v>1771</v>
      </c>
      <c r="G61" s="2">
        <v>1784</v>
      </c>
      <c r="H61" s="2">
        <v>1796</v>
      </c>
      <c r="I61" s="2">
        <v>1783</v>
      </c>
      <c r="J61" s="2">
        <v>1803</v>
      </c>
      <c r="K61" s="2">
        <v>1790</v>
      </c>
      <c r="L61" s="2">
        <v>1801</v>
      </c>
      <c r="M61" s="2">
        <v>1787</v>
      </c>
      <c r="N61" s="2">
        <v>1775</v>
      </c>
      <c r="O61" s="2">
        <v>1762</v>
      </c>
      <c r="P61" s="2">
        <v>1762</v>
      </c>
      <c r="Q61" s="2">
        <v>1762</v>
      </c>
      <c r="R61" s="2">
        <v>1762</v>
      </c>
      <c r="S61" s="2">
        <v>1762</v>
      </c>
      <c r="T61" s="2">
        <v>1762</v>
      </c>
      <c r="U61" s="2">
        <v>1762</v>
      </c>
    </row>
    <row r="62" spans="1:21" x14ac:dyDescent="0.35">
      <c r="A62" s="2" t="s">
        <v>677</v>
      </c>
      <c r="B62" s="2">
        <v>1800</v>
      </c>
      <c r="C62" s="2">
        <v>1811</v>
      </c>
      <c r="D62" s="2">
        <v>1799</v>
      </c>
      <c r="E62" s="2">
        <v>1787</v>
      </c>
      <c r="F62" s="2">
        <v>1800</v>
      </c>
      <c r="G62" s="2">
        <v>1782</v>
      </c>
      <c r="H62" s="2">
        <v>1766</v>
      </c>
      <c r="I62" s="2">
        <v>1779</v>
      </c>
      <c r="J62" s="2">
        <v>1768</v>
      </c>
      <c r="K62" s="2">
        <v>1753</v>
      </c>
      <c r="L62" s="2">
        <v>1772</v>
      </c>
      <c r="M62" s="2">
        <v>1785</v>
      </c>
      <c r="N62" s="2">
        <v>1773</v>
      </c>
      <c r="O62" s="2">
        <v>1760</v>
      </c>
      <c r="P62" s="2">
        <v>1760</v>
      </c>
      <c r="Q62" s="2">
        <v>1760</v>
      </c>
      <c r="R62" s="2">
        <v>1760</v>
      </c>
      <c r="S62" s="2">
        <v>1760</v>
      </c>
      <c r="T62" s="2">
        <v>1760</v>
      </c>
      <c r="U62" s="2">
        <v>1760</v>
      </c>
    </row>
    <row r="63" spans="1:21" x14ac:dyDescent="0.35">
      <c r="A63" s="2" t="s">
        <v>700</v>
      </c>
      <c r="B63" s="2">
        <v>1800</v>
      </c>
      <c r="C63" s="2">
        <v>1811</v>
      </c>
      <c r="D63" s="2">
        <v>1795</v>
      </c>
      <c r="E63" s="2">
        <v>1810</v>
      </c>
      <c r="F63" s="2">
        <v>1797</v>
      </c>
      <c r="G63" s="2">
        <v>1813</v>
      </c>
      <c r="H63" s="2">
        <v>1825</v>
      </c>
      <c r="I63" s="2">
        <v>1843</v>
      </c>
      <c r="J63" s="2">
        <v>1826</v>
      </c>
      <c r="K63" s="2">
        <v>1812</v>
      </c>
      <c r="L63" s="2">
        <v>1798</v>
      </c>
      <c r="M63" s="2">
        <v>1785</v>
      </c>
      <c r="N63" s="2">
        <v>1773</v>
      </c>
      <c r="O63" s="2">
        <v>1759</v>
      </c>
      <c r="P63" s="2">
        <v>1759</v>
      </c>
      <c r="Q63" s="2">
        <v>1759</v>
      </c>
      <c r="R63" s="2">
        <v>1759</v>
      </c>
      <c r="S63" s="2">
        <v>1759</v>
      </c>
      <c r="T63" s="2">
        <v>1759</v>
      </c>
      <c r="U63" s="2">
        <v>1759</v>
      </c>
    </row>
    <row r="64" spans="1:21" x14ac:dyDescent="0.35">
      <c r="A64" s="2" t="s">
        <v>768</v>
      </c>
      <c r="B64" s="2">
        <v>1800</v>
      </c>
      <c r="C64" s="2">
        <v>1789</v>
      </c>
      <c r="D64" s="2">
        <v>1807</v>
      </c>
      <c r="E64" s="2">
        <v>1792</v>
      </c>
      <c r="F64" s="2">
        <v>1783</v>
      </c>
      <c r="G64" s="2">
        <v>1770</v>
      </c>
      <c r="H64" s="2">
        <v>1761</v>
      </c>
      <c r="I64" s="2">
        <v>1774</v>
      </c>
      <c r="J64" s="2">
        <v>1764</v>
      </c>
      <c r="K64" s="2">
        <v>1775</v>
      </c>
      <c r="L64" s="2">
        <v>1764</v>
      </c>
      <c r="M64" s="2">
        <v>1752</v>
      </c>
      <c r="N64" s="2">
        <v>1743</v>
      </c>
      <c r="O64" s="2">
        <v>1758</v>
      </c>
      <c r="P64" s="2">
        <v>1758</v>
      </c>
      <c r="Q64" s="2">
        <v>1758</v>
      </c>
      <c r="R64" s="2">
        <v>1758</v>
      </c>
      <c r="S64" s="2">
        <v>1758</v>
      </c>
      <c r="T64" s="2">
        <v>1758</v>
      </c>
      <c r="U64" s="2">
        <v>1758</v>
      </c>
    </row>
    <row r="65" spans="1:21" x14ac:dyDescent="0.35">
      <c r="A65" s="2" t="s">
        <v>726</v>
      </c>
      <c r="B65" s="2">
        <v>1800</v>
      </c>
      <c r="C65" s="2">
        <v>1789</v>
      </c>
      <c r="D65" s="2">
        <v>1774</v>
      </c>
      <c r="E65" s="2">
        <v>1787</v>
      </c>
      <c r="F65" s="2">
        <v>1767</v>
      </c>
      <c r="G65" s="2">
        <v>1784</v>
      </c>
      <c r="H65" s="2">
        <v>1767</v>
      </c>
      <c r="I65" s="2">
        <v>1785</v>
      </c>
      <c r="J65" s="2">
        <v>1771</v>
      </c>
      <c r="K65" s="2">
        <v>1761</v>
      </c>
      <c r="L65" s="2">
        <v>1739</v>
      </c>
      <c r="M65" s="2">
        <v>1755</v>
      </c>
      <c r="N65" s="2">
        <v>1768</v>
      </c>
      <c r="O65" s="2">
        <v>1751</v>
      </c>
      <c r="P65" s="2">
        <v>1751</v>
      </c>
      <c r="Q65" s="2">
        <v>1751</v>
      </c>
      <c r="R65" s="2">
        <v>1751</v>
      </c>
      <c r="S65" s="2">
        <v>1751</v>
      </c>
      <c r="T65" s="2">
        <v>1751</v>
      </c>
      <c r="U65" s="2">
        <v>1751</v>
      </c>
    </row>
    <row r="66" spans="1:21" x14ac:dyDescent="0.35">
      <c r="A66" s="2" t="s">
        <v>785</v>
      </c>
      <c r="B66" s="2">
        <v>1800</v>
      </c>
      <c r="C66" s="2">
        <v>1787</v>
      </c>
      <c r="D66" s="2">
        <v>1776</v>
      </c>
      <c r="E66" s="2">
        <v>1766</v>
      </c>
      <c r="F66" s="2">
        <v>1754</v>
      </c>
      <c r="G66" s="2">
        <v>1740</v>
      </c>
      <c r="H66" s="2">
        <v>1753</v>
      </c>
      <c r="I66" s="2">
        <v>1742</v>
      </c>
      <c r="J66" s="2">
        <v>1764</v>
      </c>
      <c r="K66" s="2">
        <v>1753</v>
      </c>
      <c r="L66" s="2">
        <v>1745</v>
      </c>
      <c r="M66" s="2">
        <v>1733</v>
      </c>
      <c r="N66" s="2">
        <v>1725</v>
      </c>
      <c r="O66" s="2">
        <v>1751</v>
      </c>
      <c r="P66" s="2">
        <v>1751</v>
      </c>
      <c r="Q66" s="2">
        <v>1751</v>
      </c>
      <c r="R66" s="2">
        <v>1751</v>
      </c>
      <c r="S66" s="2">
        <v>1751</v>
      </c>
      <c r="T66" s="2">
        <v>1751</v>
      </c>
      <c r="U66" s="2">
        <v>1751</v>
      </c>
    </row>
    <row r="67" spans="1:21" x14ac:dyDescent="0.35">
      <c r="A67" s="2" t="s">
        <v>643</v>
      </c>
      <c r="B67" s="2">
        <v>1800</v>
      </c>
      <c r="C67" s="2">
        <v>1788</v>
      </c>
      <c r="D67" s="2">
        <v>1803</v>
      </c>
      <c r="E67" s="2">
        <v>1790</v>
      </c>
      <c r="F67" s="2">
        <v>1778</v>
      </c>
      <c r="G67" s="2">
        <v>1767</v>
      </c>
      <c r="H67" s="2">
        <v>1758</v>
      </c>
      <c r="I67" s="2">
        <v>1775</v>
      </c>
      <c r="J67" s="2">
        <v>1787</v>
      </c>
      <c r="K67" s="2">
        <v>1773</v>
      </c>
      <c r="L67" s="2">
        <v>1786</v>
      </c>
      <c r="M67" s="2">
        <v>1772</v>
      </c>
      <c r="N67" s="2">
        <v>1764</v>
      </c>
      <c r="O67" s="2">
        <v>1749</v>
      </c>
      <c r="P67" s="2">
        <v>1749</v>
      </c>
      <c r="Q67" s="2">
        <v>1749</v>
      </c>
      <c r="R67" s="2">
        <v>1749</v>
      </c>
      <c r="S67" s="2">
        <v>1749</v>
      </c>
      <c r="T67" s="2">
        <v>1749</v>
      </c>
      <c r="U67" s="2">
        <v>1749</v>
      </c>
    </row>
    <row r="68" spans="1:21" x14ac:dyDescent="0.35">
      <c r="A68" s="2" t="s">
        <v>640</v>
      </c>
      <c r="B68" s="2">
        <v>1800</v>
      </c>
      <c r="C68" s="2">
        <v>1789</v>
      </c>
      <c r="D68" s="2">
        <v>1802</v>
      </c>
      <c r="E68" s="2">
        <v>1790</v>
      </c>
      <c r="F68" s="2">
        <v>1775</v>
      </c>
      <c r="G68" s="2">
        <v>1790</v>
      </c>
      <c r="H68" s="2">
        <v>1804</v>
      </c>
      <c r="I68" s="2">
        <v>1791</v>
      </c>
      <c r="J68" s="2">
        <v>1807</v>
      </c>
      <c r="K68" s="2">
        <v>1792</v>
      </c>
      <c r="L68" s="2">
        <v>1781</v>
      </c>
      <c r="M68" s="2">
        <v>1770</v>
      </c>
      <c r="N68" s="2">
        <v>1759</v>
      </c>
      <c r="O68" s="2">
        <v>1748</v>
      </c>
      <c r="P68" s="2">
        <v>1748</v>
      </c>
      <c r="Q68" s="2">
        <v>1748</v>
      </c>
      <c r="R68" s="2">
        <v>1748</v>
      </c>
      <c r="S68" s="2">
        <v>1748</v>
      </c>
      <c r="T68" s="2">
        <v>1748</v>
      </c>
      <c r="U68" s="2">
        <v>1748</v>
      </c>
    </row>
    <row r="69" spans="1:21" x14ac:dyDescent="0.35">
      <c r="A69" s="2" t="s">
        <v>466</v>
      </c>
      <c r="B69" s="2">
        <v>1800</v>
      </c>
      <c r="C69" s="2">
        <v>1788</v>
      </c>
      <c r="D69" s="2">
        <v>1770</v>
      </c>
      <c r="E69" s="2">
        <v>1757</v>
      </c>
      <c r="F69" s="2">
        <v>1745</v>
      </c>
      <c r="G69" s="2">
        <v>1757</v>
      </c>
      <c r="H69" s="2">
        <v>1746</v>
      </c>
      <c r="I69" s="2">
        <v>1763</v>
      </c>
      <c r="J69" s="2">
        <v>1750</v>
      </c>
      <c r="K69" s="2">
        <v>1742</v>
      </c>
      <c r="L69" s="2">
        <v>1753</v>
      </c>
      <c r="M69" s="2">
        <v>1744</v>
      </c>
      <c r="N69" s="2">
        <v>1735</v>
      </c>
      <c r="O69" s="2">
        <v>1748</v>
      </c>
      <c r="P69" s="2">
        <v>1748</v>
      </c>
      <c r="Q69" s="2">
        <v>1748</v>
      </c>
      <c r="R69" s="2">
        <v>1748</v>
      </c>
      <c r="S69" s="2">
        <v>1748</v>
      </c>
      <c r="T69" s="2">
        <v>1748</v>
      </c>
      <c r="U69" s="2">
        <v>1748</v>
      </c>
    </row>
    <row r="70" spans="1:21" x14ac:dyDescent="0.35">
      <c r="A70" s="2" t="s">
        <v>693</v>
      </c>
      <c r="B70" s="2">
        <v>1800</v>
      </c>
      <c r="C70" s="2">
        <v>1814</v>
      </c>
      <c r="D70" s="2">
        <v>1828</v>
      </c>
      <c r="E70" s="2">
        <v>1813</v>
      </c>
      <c r="F70" s="2">
        <v>1797</v>
      </c>
      <c r="G70" s="2">
        <v>1810</v>
      </c>
      <c r="H70" s="2">
        <v>1799</v>
      </c>
      <c r="I70" s="2">
        <v>1785</v>
      </c>
      <c r="J70" s="2">
        <v>1773</v>
      </c>
      <c r="K70" s="2">
        <v>1786</v>
      </c>
      <c r="L70" s="2">
        <v>1776</v>
      </c>
      <c r="M70" s="2">
        <v>1765</v>
      </c>
      <c r="N70" s="2">
        <v>1754</v>
      </c>
      <c r="O70" s="2">
        <v>1746</v>
      </c>
      <c r="P70" s="2">
        <v>1746</v>
      </c>
      <c r="Q70" s="2">
        <v>1746</v>
      </c>
      <c r="R70" s="2">
        <v>1746</v>
      </c>
      <c r="S70" s="2">
        <v>1746</v>
      </c>
      <c r="T70" s="2">
        <v>1746</v>
      </c>
      <c r="U70" s="2">
        <v>1746</v>
      </c>
    </row>
    <row r="71" spans="1:21" x14ac:dyDescent="0.35">
      <c r="A71" s="2" t="s">
        <v>680</v>
      </c>
      <c r="B71" s="2">
        <v>1800</v>
      </c>
      <c r="C71" s="2">
        <v>1789</v>
      </c>
      <c r="D71" s="2">
        <v>1778</v>
      </c>
      <c r="E71" s="2">
        <v>1766</v>
      </c>
      <c r="F71" s="2">
        <v>1754</v>
      </c>
      <c r="G71" s="2">
        <v>1737</v>
      </c>
      <c r="H71" s="2">
        <v>1722</v>
      </c>
      <c r="I71" s="2">
        <v>1712</v>
      </c>
      <c r="J71" s="2">
        <v>1728</v>
      </c>
      <c r="K71" s="2">
        <v>1744</v>
      </c>
      <c r="L71" s="2">
        <v>1762</v>
      </c>
      <c r="M71" s="2">
        <v>1773</v>
      </c>
      <c r="N71" s="2">
        <v>1754</v>
      </c>
      <c r="O71" s="2">
        <v>1741</v>
      </c>
      <c r="P71" s="2">
        <v>1741</v>
      </c>
      <c r="Q71" s="2">
        <v>1741</v>
      </c>
      <c r="R71" s="2">
        <v>1741</v>
      </c>
      <c r="S71" s="2">
        <v>1741</v>
      </c>
      <c r="T71" s="2">
        <v>1741</v>
      </c>
      <c r="U71" s="2">
        <v>1741</v>
      </c>
    </row>
    <row r="72" spans="1:21" x14ac:dyDescent="0.35">
      <c r="A72" s="2" t="s">
        <v>792</v>
      </c>
      <c r="B72" s="2">
        <v>1800</v>
      </c>
      <c r="C72" s="2">
        <v>1814</v>
      </c>
      <c r="D72" s="2">
        <v>1829</v>
      </c>
      <c r="E72" s="2">
        <v>1814</v>
      </c>
      <c r="F72" s="2">
        <v>1804</v>
      </c>
      <c r="G72" s="2">
        <v>1816</v>
      </c>
      <c r="H72" s="2">
        <v>1804</v>
      </c>
      <c r="I72" s="2">
        <v>1817</v>
      </c>
      <c r="J72" s="2">
        <v>1795</v>
      </c>
      <c r="K72" s="2">
        <v>1786</v>
      </c>
      <c r="L72" s="2">
        <v>1770</v>
      </c>
      <c r="M72" s="2">
        <v>1757</v>
      </c>
      <c r="N72" s="2">
        <v>1746</v>
      </c>
      <c r="O72" s="2">
        <v>1735</v>
      </c>
      <c r="P72" s="2">
        <v>1735</v>
      </c>
      <c r="Q72" s="2">
        <v>1735</v>
      </c>
      <c r="R72" s="2">
        <v>1735</v>
      </c>
      <c r="S72" s="2">
        <v>1735</v>
      </c>
      <c r="T72" s="2">
        <v>1735</v>
      </c>
      <c r="U72" s="2">
        <v>1735</v>
      </c>
    </row>
    <row r="73" spans="1:21" x14ac:dyDescent="0.35">
      <c r="A73" s="2" t="s">
        <v>679</v>
      </c>
      <c r="B73" s="2">
        <v>1800</v>
      </c>
      <c r="C73" s="2">
        <v>1785</v>
      </c>
      <c r="D73" s="2">
        <v>1772</v>
      </c>
      <c r="E73" s="2">
        <v>1762</v>
      </c>
      <c r="F73" s="2">
        <v>1751</v>
      </c>
      <c r="G73" s="2">
        <v>1739</v>
      </c>
      <c r="H73" s="2">
        <v>1730</v>
      </c>
      <c r="I73" s="2">
        <v>1744</v>
      </c>
      <c r="J73" s="2">
        <v>1732</v>
      </c>
      <c r="K73" s="2">
        <v>1746</v>
      </c>
      <c r="L73" s="2">
        <v>1762</v>
      </c>
      <c r="M73" s="2">
        <v>1749</v>
      </c>
      <c r="N73" s="2">
        <v>1758</v>
      </c>
      <c r="O73" s="2">
        <v>1732</v>
      </c>
      <c r="P73" s="2">
        <v>1732</v>
      </c>
      <c r="Q73" s="2">
        <v>1732</v>
      </c>
      <c r="R73" s="2">
        <v>1732</v>
      </c>
      <c r="S73" s="2">
        <v>1732</v>
      </c>
      <c r="T73" s="2">
        <v>1732</v>
      </c>
      <c r="U73" s="2">
        <v>1732</v>
      </c>
    </row>
    <row r="74" spans="1:21" x14ac:dyDescent="0.35">
      <c r="A74" s="2" t="s">
        <v>671</v>
      </c>
      <c r="B74" s="2">
        <v>1800</v>
      </c>
      <c r="C74" s="2">
        <v>1789</v>
      </c>
      <c r="D74" s="2">
        <v>1774</v>
      </c>
      <c r="E74" s="2">
        <v>1790</v>
      </c>
      <c r="F74" s="2">
        <v>1802</v>
      </c>
      <c r="G74" s="2">
        <v>1814</v>
      </c>
      <c r="H74" s="2">
        <v>1800</v>
      </c>
      <c r="I74" s="2">
        <v>1787</v>
      </c>
      <c r="J74" s="2">
        <v>1774</v>
      </c>
      <c r="K74" s="2">
        <v>1756</v>
      </c>
      <c r="L74" s="2">
        <v>1741</v>
      </c>
      <c r="M74" s="2">
        <v>1753</v>
      </c>
      <c r="N74" s="2">
        <v>1741</v>
      </c>
      <c r="O74" s="2">
        <v>1726</v>
      </c>
      <c r="P74" s="2">
        <v>1726</v>
      </c>
      <c r="Q74" s="2">
        <v>1726</v>
      </c>
      <c r="R74" s="2">
        <v>1726</v>
      </c>
      <c r="S74" s="2">
        <v>1726</v>
      </c>
      <c r="T74" s="2">
        <v>1726</v>
      </c>
      <c r="U74" s="2">
        <v>1726</v>
      </c>
    </row>
    <row r="75" spans="1:21" x14ac:dyDescent="0.35">
      <c r="A75" s="2" t="s">
        <v>678</v>
      </c>
      <c r="B75" s="2">
        <v>1800</v>
      </c>
      <c r="C75" s="2">
        <v>1786</v>
      </c>
      <c r="D75" s="2">
        <v>1772</v>
      </c>
      <c r="E75" s="2">
        <v>1757</v>
      </c>
      <c r="F75" s="2">
        <v>1772</v>
      </c>
      <c r="G75" s="2">
        <v>1759</v>
      </c>
      <c r="H75" s="2">
        <v>1748</v>
      </c>
      <c r="I75" s="2">
        <v>1761</v>
      </c>
      <c r="J75" s="2">
        <v>1752</v>
      </c>
      <c r="K75" s="2">
        <v>1743</v>
      </c>
      <c r="L75" s="2">
        <v>1730</v>
      </c>
      <c r="M75" s="2">
        <v>1743</v>
      </c>
      <c r="N75" s="2">
        <v>1732</v>
      </c>
      <c r="O75" s="2">
        <v>1722</v>
      </c>
      <c r="P75" s="2">
        <v>1722</v>
      </c>
      <c r="Q75" s="2">
        <v>1722</v>
      </c>
      <c r="R75" s="2">
        <v>1722</v>
      </c>
      <c r="S75" s="2">
        <v>1722</v>
      </c>
      <c r="T75" s="2">
        <v>1722</v>
      </c>
      <c r="U75" s="2">
        <v>1722</v>
      </c>
    </row>
    <row r="76" spans="1:21" x14ac:dyDescent="0.35">
      <c r="A76" s="2" t="s">
        <v>670</v>
      </c>
      <c r="B76" s="2">
        <v>1800</v>
      </c>
      <c r="C76" s="2">
        <v>1789</v>
      </c>
      <c r="D76" s="2">
        <v>1776</v>
      </c>
      <c r="E76" s="2">
        <v>1762</v>
      </c>
      <c r="F76" s="2">
        <v>1751</v>
      </c>
      <c r="G76" s="2">
        <v>1742</v>
      </c>
      <c r="H76" s="2">
        <v>1727</v>
      </c>
      <c r="I76" s="2">
        <v>1718</v>
      </c>
      <c r="J76" s="2">
        <v>1732</v>
      </c>
      <c r="K76" s="2">
        <v>1719</v>
      </c>
      <c r="L76" s="2">
        <v>1732</v>
      </c>
      <c r="M76" s="2">
        <v>1721</v>
      </c>
      <c r="N76" s="2">
        <v>1735</v>
      </c>
      <c r="O76" s="2">
        <v>1722</v>
      </c>
      <c r="P76" s="2">
        <v>1722</v>
      </c>
      <c r="Q76" s="2">
        <v>1722</v>
      </c>
      <c r="R76" s="2">
        <v>1722</v>
      </c>
      <c r="S76" s="2">
        <v>1722</v>
      </c>
      <c r="T76" s="2">
        <v>1722</v>
      </c>
      <c r="U76" s="2">
        <v>1722</v>
      </c>
    </row>
    <row r="77" spans="1:21" x14ac:dyDescent="0.35">
      <c r="A77" s="2" t="s">
        <v>709</v>
      </c>
      <c r="B77" s="2">
        <v>1800</v>
      </c>
      <c r="C77" s="2">
        <v>1811</v>
      </c>
      <c r="D77" s="2">
        <v>1797</v>
      </c>
      <c r="E77" s="2">
        <v>1811</v>
      </c>
      <c r="F77" s="2">
        <v>1800</v>
      </c>
      <c r="G77" s="2">
        <v>1784</v>
      </c>
      <c r="H77" s="2">
        <v>1768</v>
      </c>
      <c r="I77" s="2">
        <v>1758</v>
      </c>
      <c r="J77" s="2">
        <v>1746</v>
      </c>
      <c r="K77" s="2">
        <v>1738</v>
      </c>
      <c r="L77" s="2">
        <v>1727</v>
      </c>
      <c r="M77" s="2">
        <v>1747</v>
      </c>
      <c r="N77" s="2">
        <v>1727</v>
      </c>
      <c r="O77" s="2">
        <v>1709</v>
      </c>
      <c r="P77" s="2">
        <v>1709</v>
      </c>
      <c r="Q77" s="2">
        <v>1709</v>
      </c>
      <c r="R77" s="2">
        <v>1709</v>
      </c>
      <c r="S77" s="2">
        <v>1709</v>
      </c>
      <c r="T77" s="2">
        <v>1709</v>
      </c>
      <c r="U77" s="2">
        <v>1709</v>
      </c>
    </row>
    <row r="78" spans="1:21" x14ac:dyDescent="0.35">
      <c r="A78" s="2" t="s">
        <v>465</v>
      </c>
      <c r="B78" s="2">
        <v>1800</v>
      </c>
      <c r="C78" s="2">
        <v>1811</v>
      </c>
      <c r="D78" s="2">
        <v>1823</v>
      </c>
      <c r="E78" s="2">
        <v>1808</v>
      </c>
      <c r="F78" s="2">
        <v>1797</v>
      </c>
      <c r="G78" s="2">
        <v>1781</v>
      </c>
      <c r="H78" s="2">
        <v>1795</v>
      </c>
      <c r="I78" s="2">
        <v>1776</v>
      </c>
      <c r="J78" s="2">
        <v>1765</v>
      </c>
      <c r="K78" s="2">
        <v>1755</v>
      </c>
      <c r="L78" s="2">
        <v>1745</v>
      </c>
      <c r="M78" s="2">
        <v>1733</v>
      </c>
      <c r="N78" s="2">
        <v>1722</v>
      </c>
      <c r="O78" s="2">
        <v>1708</v>
      </c>
      <c r="P78" s="2">
        <v>1708</v>
      </c>
      <c r="Q78" s="2">
        <v>1708</v>
      </c>
      <c r="R78" s="2">
        <v>1708</v>
      </c>
      <c r="S78" s="2">
        <v>1708</v>
      </c>
      <c r="T78" s="2">
        <v>1708</v>
      </c>
      <c r="U78" s="2">
        <v>1708</v>
      </c>
    </row>
    <row r="79" spans="1:21" x14ac:dyDescent="0.35">
      <c r="A79" s="2" t="s">
        <v>755</v>
      </c>
      <c r="B79" s="2">
        <v>1800</v>
      </c>
      <c r="C79" s="2">
        <v>1786</v>
      </c>
      <c r="D79" s="2">
        <v>1798</v>
      </c>
      <c r="E79" s="2">
        <v>1787</v>
      </c>
      <c r="F79" s="2">
        <v>1777</v>
      </c>
      <c r="G79" s="2">
        <v>1765</v>
      </c>
      <c r="H79" s="2">
        <v>1756</v>
      </c>
      <c r="I79" s="2">
        <v>1742</v>
      </c>
      <c r="J79" s="2">
        <v>1731</v>
      </c>
      <c r="K79" s="2">
        <v>1717</v>
      </c>
      <c r="L79" s="2">
        <v>1730</v>
      </c>
      <c r="M79" s="2">
        <v>1719</v>
      </c>
      <c r="N79" s="2">
        <v>1710</v>
      </c>
      <c r="O79" s="2">
        <v>1699</v>
      </c>
      <c r="P79" s="2">
        <v>1699</v>
      </c>
      <c r="Q79" s="2">
        <v>1699</v>
      </c>
      <c r="R79" s="2">
        <v>1699</v>
      </c>
      <c r="S79" s="2">
        <v>1699</v>
      </c>
      <c r="T79" s="2">
        <v>1699</v>
      </c>
      <c r="U79" s="2">
        <v>1699</v>
      </c>
    </row>
    <row r="80" spans="1:21" x14ac:dyDescent="0.35">
      <c r="A80" s="2" t="s">
        <v>772</v>
      </c>
      <c r="B80" s="2">
        <v>1800</v>
      </c>
      <c r="C80" s="2">
        <v>1787</v>
      </c>
      <c r="D80" s="2">
        <v>1773</v>
      </c>
      <c r="E80" s="2">
        <v>1753</v>
      </c>
      <c r="F80" s="2">
        <v>1743</v>
      </c>
      <c r="G80" s="2">
        <v>1735</v>
      </c>
      <c r="H80" s="2">
        <v>1722</v>
      </c>
      <c r="I80" s="2">
        <v>1708</v>
      </c>
      <c r="J80" s="2">
        <v>1697</v>
      </c>
      <c r="K80" s="2">
        <v>1689</v>
      </c>
      <c r="L80" s="2">
        <v>1705</v>
      </c>
      <c r="M80" s="2">
        <v>1692</v>
      </c>
      <c r="N80" s="2">
        <v>1683</v>
      </c>
      <c r="O80" s="2">
        <v>1699</v>
      </c>
      <c r="P80" s="2">
        <v>1699</v>
      </c>
      <c r="Q80" s="2">
        <v>1699</v>
      </c>
      <c r="R80" s="2">
        <v>1699</v>
      </c>
      <c r="S80" s="2">
        <v>1699</v>
      </c>
      <c r="T80" s="2">
        <v>1699</v>
      </c>
      <c r="U80" s="2">
        <v>1699</v>
      </c>
    </row>
    <row r="81" spans="1:21" x14ac:dyDescent="0.35">
      <c r="A81" s="2" t="s">
        <v>723</v>
      </c>
      <c r="B81" s="2">
        <v>1800</v>
      </c>
      <c r="C81" s="2">
        <v>1789</v>
      </c>
      <c r="D81" s="2">
        <v>1801</v>
      </c>
      <c r="E81" s="2">
        <v>1789</v>
      </c>
      <c r="F81" s="2">
        <v>1778</v>
      </c>
      <c r="G81" s="2">
        <v>1766</v>
      </c>
      <c r="H81" s="2">
        <v>1755</v>
      </c>
      <c r="I81" s="2">
        <v>1746</v>
      </c>
      <c r="J81" s="2">
        <v>1731</v>
      </c>
      <c r="K81" s="2">
        <v>1720</v>
      </c>
      <c r="L81" s="2">
        <v>1709</v>
      </c>
      <c r="M81" s="2">
        <v>1696</v>
      </c>
      <c r="N81" s="2">
        <v>1687</v>
      </c>
      <c r="O81" s="2">
        <v>1674</v>
      </c>
      <c r="P81" s="2">
        <v>1674</v>
      </c>
      <c r="Q81" s="2">
        <v>1674</v>
      </c>
      <c r="R81" s="2">
        <v>1674</v>
      </c>
      <c r="S81" s="2">
        <v>1674</v>
      </c>
      <c r="T81" s="2">
        <v>1674</v>
      </c>
      <c r="U81" s="2">
        <v>1674</v>
      </c>
    </row>
  </sheetData>
  <sortState xmlns:xlrd2="http://schemas.microsoft.com/office/spreadsheetml/2017/richdata2" ref="A2:U81">
    <sortCondition descending="1" ref="U2:U81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R548"/>
  <sheetViews>
    <sheetView workbookViewId="0">
      <pane ySplit="1" topLeftCell="A521" activePane="bottomLeft" state="frozen"/>
      <selection pane="bottomLeft" activeCell="D539" sqref="D539:G539"/>
    </sheetView>
  </sheetViews>
  <sheetFormatPr defaultRowHeight="14.5" x14ac:dyDescent="0.35"/>
  <cols>
    <col min="2" max="2" width="7" customWidth="1"/>
    <col min="4" max="4" width="20.36328125" customWidth="1"/>
    <col min="5" max="6" width="5.90625" bestFit="1" customWidth="1"/>
    <col min="7" max="7" width="18.08984375" customWidth="1"/>
    <col min="8" max="8" width="6.6328125" customWidth="1"/>
    <col min="9" max="9" width="36.08984375" customWidth="1"/>
    <col min="11" max="11" width="20" customWidth="1"/>
    <col min="12" max="13" width="4.90625" customWidth="1"/>
    <col min="14" max="14" width="19.6328125" customWidth="1"/>
  </cols>
  <sheetData>
    <row r="1" spans="1:17" s="1" customFormat="1" x14ac:dyDescent="0.35">
      <c r="D1" s="1" t="s">
        <v>694</v>
      </c>
      <c r="E1" s="1" t="s">
        <v>695</v>
      </c>
      <c r="F1" s="1" t="s">
        <v>695</v>
      </c>
      <c r="G1" s="1" t="s">
        <v>696</v>
      </c>
      <c r="H1" s="1" t="s">
        <v>697</v>
      </c>
      <c r="I1" s="1" t="s">
        <v>698</v>
      </c>
      <c r="J1" s="36">
        <f>[1]ScoreboardNCAA!I4</f>
        <v>3</v>
      </c>
      <c r="K1" s="1" t="str">
        <f>[1]ScoreboardNCAA!B2</f>
        <v>Resort Area</v>
      </c>
      <c r="L1" s="1">
        <f>[1]ScoreboardNCAA!F6</f>
        <v>0</v>
      </c>
      <c r="M1" s="1">
        <f>[1]ScoreboardNCAA!N6</f>
        <v>4</v>
      </c>
      <c r="N1" s="37" t="str">
        <f>[1]ScoreboardNCAA!N2</f>
        <v>Cinnabar Island</v>
      </c>
      <c r="O1" s="38">
        <f>[1]ScoreboardNCAA!M4</f>
        <v>1</v>
      </c>
    </row>
    <row r="2" spans="1:17" x14ac:dyDescent="0.35">
      <c r="A2" t="s">
        <v>1116</v>
      </c>
      <c r="B2" s="39">
        <v>41916</v>
      </c>
      <c r="D2" t="s">
        <v>676</v>
      </c>
      <c r="E2">
        <v>20</v>
      </c>
      <c r="F2">
        <v>12</v>
      </c>
      <c r="G2" t="s">
        <v>647</v>
      </c>
      <c r="H2" t="s">
        <v>699</v>
      </c>
      <c r="L2">
        <f t="shared" ref="L2:L65" si="0">E2-F2</f>
        <v>8</v>
      </c>
      <c r="M2">
        <f>24+L2-4</f>
        <v>28</v>
      </c>
      <c r="O2">
        <f>1600+ROUNDUP((M2*0.5),0)</f>
        <v>1614</v>
      </c>
      <c r="P2">
        <f>1600-ROUNDUP((M2*0.5),0)</f>
        <v>1586</v>
      </c>
      <c r="Q2">
        <f>COUNTIF(L:L, "&gt;22")</f>
        <v>3</v>
      </c>
    </row>
    <row r="3" spans="1:17" x14ac:dyDescent="0.35">
      <c r="D3" t="s">
        <v>700</v>
      </c>
      <c r="E3">
        <v>18</v>
      </c>
      <c r="F3">
        <v>16</v>
      </c>
      <c r="G3" t="s">
        <v>701</v>
      </c>
      <c r="H3" t="s">
        <v>702</v>
      </c>
      <c r="I3" t="s">
        <v>703</v>
      </c>
      <c r="L3">
        <f t="shared" si="0"/>
        <v>2</v>
      </c>
      <c r="M3">
        <f t="shared" ref="M3:M66" si="1">24+L3-4</f>
        <v>22</v>
      </c>
      <c r="O3">
        <f t="shared" ref="O3:O41" si="2">1600+ROUNDUP((M3*0.5),0)</f>
        <v>1611</v>
      </c>
      <c r="P3">
        <f t="shared" ref="P3:P41" si="3">1600-ROUNDUP((M3*0.5),0)</f>
        <v>1589</v>
      </c>
      <c r="Q3">
        <f>COUNT(L:L)</f>
        <v>521</v>
      </c>
    </row>
    <row r="4" spans="1:17" x14ac:dyDescent="0.35">
      <c r="D4" t="s">
        <v>704</v>
      </c>
      <c r="E4">
        <v>18</v>
      </c>
      <c r="F4">
        <v>14</v>
      </c>
      <c r="G4" t="s">
        <v>466</v>
      </c>
      <c r="H4" t="s">
        <v>705</v>
      </c>
      <c r="J4">
        <v>48</v>
      </c>
      <c r="L4">
        <f t="shared" si="0"/>
        <v>4</v>
      </c>
      <c r="M4">
        <f t="shared" si="1"/>
        <v>24</v>
      </c>
      <c r="O4">
        <f t="shared" si="2"/>
        <v>1612</v>
      </c>
      <c r="P4">
        <f t="shared" si="3"/>
        <v>1588</v>
      </c>
      <c r="Q4">
        <f>30*(IF(L3&lt;13,1+((L3-3)/12),1.75+((L3-12)/24)))</f>
        <v>27.5</v>
      </c>
    </row>
    <row r="5" spans="1:17" x14ac:dyDescent="0.35">
      <c r="D5" t="s">
        <v>465</v>
      </c>
      <c r="E5">
        <v>9</v>
      </c>
      <c r="F5">
        <v>8</v>
      </c>
      <c r="G5" t="s">
        <v>706</v>
      </c>
      <c r="H5" t="s">
        <v>707</v>
      </c>
      <c r="I5" t="s">
        <v>708</v>
      </c>
      <c r="J5">
        <v>40</v>
      </c>
      <c r="L5">
        <f t="shared" si="0"/>
        <v>1</v>
      </c>
      <c r="M5">
        <f t="shared" si="1"/>
        <v>21</v>
      </c>
      <c r="O5">
        <f t="shared" si="2"/>
        <v>1611</v>
      </c>
      <c r="P5">
        <f t="shared" si="3"/>
        <v>1589</v>
      </c>
    </row>
    <row r="6" spans="1:17" x14ac:dyDescent="0.35">
      <c r="D6" t="s">
        <v>709</v>
      </c>
      <c r="E6">
        <v>13</v>
      </c>
      <c r="F6">
        <v>12</v>
      </c>
      <c r="G6" t="s">
        <v>671</v>
      </c>
      <c r="H6" t="s">
        <v>710</v>
      </c>
      <c r="I6" t="s">
        <v>711</v>
      </c>
      <c r="J6">
        <v>32</v>
      </c>
      <c r="L6">
        <f t="shared" si="0"/>
        <v>1</v>
      </c>
      <c r="M6">
        <f t="shared" si="1"/>
        <v>21</v>
      </c>
      <c r="O6">
        <f t="shared" si="2"/>
        <v>1611</v>
      </c>
      <c r="P6">
        <f t="shared" si="3"/>
        <v>1589</v>
      </c>
    </row>
    <row r="7" spans="1:17" x14ac:dyDescent="0.35">
      <c r="D7" t="s">
        <v>712</v>
      </c>
      <c r="E7">
        <v>11</v>
      </c>
      <c r="F7">
        <v>9</v>
      </c>
      <c r="G7" t="s">
        <v>713</v>
      </c>
      <c r="H7" t="s">
        <v>714</v>
      </c>
      <c r="I7" t="s">
        <v>715</v>
      </c>
      <c r="J7">
        <v>24</v>
      </c>
      <c r="L7">
        <f t="shared" si="0"/>
        <v>2</v>
      </c>
      <c r="M7">
        <f t="shared" si="1"/>
        <v>22</v>
      </c>
      <c r="O7">
        <f t="shared" si="2"/>
        <v>1611</v>
      </c>
      <c r="P7">
        <f t="shared" si="3"/>
        <v>1589</v>
      </c>
    </row>
    <row r="8" spans="1:17" x14ac:dyDescent="0.35">
      <c r="D8" t="s">
        <v>716</v>
      </c>
      <c r="E8">
        <v>15</v>
      </c>
      <c r="F8">
        <v>14</v>
      </c>
      <c r="G8" t="s">
        <v>640</v>
      </c>
      <c r="H8" t="s">
        <v>717</v>
      </c>
      <c r="L8">
        <f t="shared" si="0"/>
        <v>1</v>
      </c>
      <c r="M8">
        <f t="shared" si="1"/>
        <v>21</v>
      </c>
      <c r="O8">
        <f t="shared" si="2"/>
        <v>1611</v>
      </c>
      <c r="P8">
        <f t="shared" si="3"/>
        <v>1589</v>
      </c>
    </row>
    <row r="9" spans="1:17" x14ac:dyDescent="0.35">
      <c r="D9" t="s">
        <v>718</v>
      </c>
      <c r="E9">
        <v>21</v>
      </c>
      <c r="F9">
        <v>12</v>
      </c>
      <c r="G9" t="s">
        <v>646</v>
      </c>
      <c r="H9" t="s">
        <v>719</v>
      </c>
      <c r="L9">
        <f t="shared" si="0"/>
        <v>9</v>
      </c>
      <c r="M9">
        <f t="shared" si="1"/>
        <v>29</v>
      </c>
      <c r="O9">
        <f t="shared" si="2"/>
        <v>1615</v>
      </c>
      <c r="P9">
        <f t="shared" si="3"/>
        <v>1585</v>
      </c>
    </row>
    <row r="10" spans="1:17" x14ac:dyDescent="0.35">
      <c r="D10" t="s">
        <v>720</v>
      </c>
      <c r="E10">
        <v>15</v>
      </c>
      <c r="F10">
        <v>13</v>
      </c>
      <c r="G10" t="s">
        <v>641</v>
      </c>
      <c r="H10" t="s">
        <v>702</v>
      </c>
      <c r="L10">
        <f t="shared" si="0"/>
        <v>2</v>
      </c>
      <c r="M10">
        <f t="shared" si="1"/>
        <v>22</v>
      </c>
      <c r="O10">
        <f t="shared" si="2"/>
        <v>1611</v>
      </c>
      <c r="P10">
        <f t="shared" si="3"/>
        <v>1589</v>
      </c>
    </row>
    <row r="11" spans="1:17" x14ac:dyDescent="0.35">
      <c r="D11" t="s">
        <v>648</v>
      </c>
      <c r="E11">
        <v>13</v>
      </c>
      <c r="F11">
        <v>9</v>
      </c>
      <c r="G11" t="s">
        <v>661</v>
      </c>
      <c r="H11" t="s">
        <v>721</v>
      </c>
      <c r="J11" t="s">
        <v>3439</v>
      </c>
      <c r="L11">
        <f t="shared" si="0"/>
        <v>4</v>
      </c>
      <c r="M11">
        <f t="shared" si="1"/>
        <v>24</v>
      </c>
      <c r="O11">
        <f t="shared" si="2"/>
        <v>1612</v>
      </c>
      <c r="P11">
        <f t="shared" si="3"/>
        <v>1588</v>
      </c>
    </row>
    <row r="12" spans="1:17" x14ac:dyDescent="0.35">
      <c r="D12" t="s">
        <v>722</v>
      </c>
      <c r="E12">
        <v>13</v>
      </c>
      <c r="F12">
        <v>12</v>
      </c>
      <c r="G12" t="s">
        <v>723</v>
      </c>
      <c r="H12" t="s">
        <v>724</v>
      </c>
      <c r="I12" t="s">
        <v>725</v>
      </c>
      <c r="J12" t="s">
        <v>3440</v>
      </c>
      <c r="L12">
        <f t="shared" si="0"/>
        <v>1</v>
      </c>
      <c r="M12">
        <f t="shared" si="1"/>
        <v>21</v>
      </c>
      <c r="O12">
        <f t="shared" si="2"/>
        <v>1611</v>
      </c>
      <c r="P12">
        <f t="shared" si="3"/>
        <v>1589</v>
      </c>
    </row>
    <row r="13" spans="1:17" x14ac:dyDescent="0.35">
      <c r="D13" t="s">
        <v>677</v>
      </c>
      <c r="E13">
        <v>14</v>
      </c>
      <c r="F13">
        <v>13</v>
      </c>
      <c r="G13" t="s">
        <v>726</v>
      </c>
      <c r="H13" t="s">
        <v>727</v>
      </c>
      <c r="I13" t="s">
        <v>728</v>
      </c>
      <c r="J13" t="s">
        <v>3441</v>
      </c>
      <c r="L13">
        <f t="shared" si="0"/>
        <v>1</v>
      </c>
      <c r="M13">
        <f t="shared" si="1"/>
        <v>21</v>
      </c>
      <c r="O13">
        <f t="shared" si="2"/>
        <v>1611</v>
      </c>
      <c r="P13">
        <f t="shared" si="3"/>
        <v>1589</v>
      </c>
    </row>
    <row r="14" spans="1:17" x14ac:dyDescent="0.35">
      <c r="D14" t="s">
        <v>672</v>
      </c>
      <c r="E14">
        <v>16</v>
      </c>
      <c r="F14">
        <v>15</v>
      </c>
      <c r="G14" t="s">
        <v>680</v>
      </c>
      <c r="H14" t="s">
        <v>710</v>
      </c>
      <c r="J14" t="s">
        <v>3442</v>
      </c>
      <c r="L14">
        <f t="shared" si="0"/>
        <v>1</v>
      </c>
      <c r="M14">
        <f t="shared" si="1"/>
        <v>21</v>
      </c>
      <c r="O14">
        <f t="shared" si="2"/>
        <v>1611</v>
      </c>
      <c r="P14">
        <f t="shared" si="3"/>
        <v>1589</v>
      </c>
    </row>
    <row r="15" spans="1:17" x14ac:dyDescent="0.35">
      <c r="D15" t="s">
        <v>729</v>
      </c>
      <c r="E15">
        <v>12</v>
      </c>
      <c r="F15">
        <v>5</v>
      </c>
      <c r="G15" t="s">
        <v>582</v>
      </c>
      <c r="H15" t="s">
        <v>730</v>
      </c>
      <c r="J15" t="s">
        <v>3443</v>
      </c>
      <c r="L15">
        <f t="shared" si="0"/>
        <v>7</v>
      </c>
      <c r="M15">
        <f t="shared" si="1"/>
        <v>27</v>
      </c>
      <c r="O15">
        <f t="shared" si="2"/>
        <v>1614</v>
      </c>
      <c r="P15">
        <f t="shared" si="3"/>
        <v>1586</v>
      </c>
    </row>
    <row r="16" spans="1:17" x14ac:dyDescent="0.35">
      <c r="D16" t="s">
        <v>731</v>
      </c>
      <c r="E16">
        <v>25</v>
      </c>
      <c r="F16">
        <v>16</v>
      </c>
      <c r="G16" t="s">
        <v>732</v>
      </c>
      <c r="H16" t="s">
        <v>699</v>
      </c>
      <c r="I16" t="s">
        <v>733</v>
      </c>
      <c r="J16" t="s">
        <v>3444</v>
      </c>
      <c r="L16">
        <f t="shared" si="0"/>
        <v>9</v>
      </c>
      <c r="M16">
        <f t="shared" si="1"/>
        <v>29</v>
      </c>
      <c r="O16">
        <f t="shared" si="2"/>
        <v>1615</v>
      </c>
      <c r="P16">
        <f t="shared" si="3"/>
        <v>1585</v>
      </c>
    </row>
    <row r="17" spans="2:16" x14ac:dyDescent="0.35">
      <c r="B17" s="39">
        <v>41917</v>
      </c>
      <c r="D17" t="s">
        <v>734</v>
      </c>
      <c r="E17">
        <v>20</v>
      </c>
      <c r="F17">
        <v>11</v>
      </c>
      <c r="G17" t="s">
        <v>242</v>
      </c>
      <c r="H17" t="s">
        <v>735</v>
      </c>
      <c r="I17" t="s">
        <v>736</v>
      </c>
      <c r="J17" s="1" t="s">
        <v>3452</v>
      </c>
      <c r="K17" s="22">
        <v>45</v>
      </c>
      <c r="L17">
        <f t="shared" si="0"/>
        <v>9</v>
      </c>
      <c r="M17">
        <f t="shared" si="1"/>
        <v>29</v>
      </c>
      <c r="O17">
        <f t="shared" si="2"/>
        <v>1615</v>
      </c>
      <c r="P17">
        <f t="shared" si="3"/>
        <v>1585</v>
      </c>
    </row>
    <row r="18" spans="2:16" x14ac:dyDescent="0.35">
      <c r="D18" t="s">
        <v>737</v>
      </c>
      <c r="E18">
        <v>13</v>
      </c>
      <c r="F18">
        <v>3</v>
      </c>
      <c r="G18" t="s">
        <v>738</v>
      </c>
      <c r="H18" t="s">
        <v>739</v>
      </c>
      <c r="J18" s="1" t="s">
        <v>3445</v>
      </c>
      <c r="K18" s="22">
        <v>48</v>
      </c>
      <c r="L18">
        <f t="shared" si="0"/>
        <v>10</v>
      </c>
      <c r="M18">
        <f t="shared" si="1"/>
        <v>30</v>
      </c>
      <c r="O18">
        <f t="shared" si="2"/>
        <v>1615</v>
      </c>
      <c r="P18">
        <f t="shared" si="3"/>
        <v>1585</v>
      </c>
    </row>
    <row r="19" spans="2:16" x14ac:dyDescent="0.35">
      <c r="D19" t="s">
        <v>792</v>
      </c>
      <c r="E19">
        <v>17</v>
      </c>
      <c r="F19">
        <v>9</v>
      </c>
      <c r="G19" t="s">
        <v>678</v>
      </c>
      <c r="H19" t="s">
        <v>740</v>
      </c>
      <c r="J19" s="1" t="s">
        <v>3446</v>
      </c>
      <c r="K19" s="22">
        <v>54</v>
      </c>
      <c r="L19">
        <f t="shared" si="0"/>
        <v>8</v>
      </c>
      <c r="M19">
        <f t="shared" si="1"/>
        <v>28</v>
      </c>
      <c r="O19">
        <f t="shared" si="2"/>
        <v>1614</v>
      </c>
      <c r="P19">
        <f t="shared" si="3"/>
        <v>1586</v>
      </c>
    </row>
    <row r="20" spans="2:16" x14ac:dyDescent="0.35">
      <c r="D20" t="s">
        <v>692</v>
      </c>
      <c r="E20">
        <v>14</v>
      </c>
      <c r="F20">
        <v>8</v>
      </c>
      <c r="G20" t="s">
        <v>665</v>
      </c>
      <c r="H20" t="s">
        <v>741</v>
      </c>
      <c r="J20" s="1" t="s">
        <v>3447</v>
      </c>
      <c r="K20" s="22">
        <v>60</v>
      </c>
      <c r="L20">
        <f t="shared" si="0"/>
        <v>6</v>
      </c>
      <c r="M20">
        <f t="shared" si="1"/>
        <v>26</v>
      </c>
      <c r="O20">
        <f t="shared" si="2"/>
        <v>1613</v>
      </c>
      <c r="P20">
        <f t="shared" si="3"/>
        <v>1587</v>
      </c>
    </row>
    <row r="21" spans="2:16" x14ac:dyDescent="0.35">
      <c r="D21" t="s">
        <v>742</v>
      </c>
      <c r="E21">
        <v>16</v>
      </c>
      <c r="F21">
        <v>14</v>
      </c>
      <c r="G21" t="s">
        <v>743</v>
      </c>
      <c r="H21" t="s">
        <v>744</v>
      </c>
      <c r="I21" t="s">
        <v>745</v>
      </c>
      <c r="J21" s="1" t="s">
        <v>3448</v>
      </c>
      <c r="K21" s="22">
        <v>66</v>
      </c>
      <c r="L21">
        <f t="shared" si="0"/>
        <v>2</v>
      </c>
      <c r="M21">
        <f t="shared" si="1"/>
        <v>22</v>
      </c>
      <c r="O21">
        <f t="shared" si="2"/>
        <v>1611</v>
      </c>
      <c r="P21">
        <f t="shared" si="3"/>
        <v>1589</v>
      </c>
    </row>
    <row r="22" spans="2:16" x14ac:dyDescent="0.35">
      <c r="B22" s="39">
        <v>41918</v>
      </c>
      <c r="D22" t="s">
        <v>746</v>
      </c>
      <c r="E22">
        <v>14</v>
      </c>
      <c r="F22">
        <v>12</v>
      </c>
      <c r="G22" t="s">
        <v>747</v>
      </c>
      <c r="H22" t="s">
        <v>748</v>
      </c>
      <c r="I22" t="s">
        <v>749</v>
      </c>
      <c r="J22" s="1" t="s">
        <v>3449</v>
      </c>
      <c r="K22" s="22">
        <v>72</v>
      </c>
      <c r="L22">
        <f t="shared" si="0"/>
        <v>2</v>
      </c>
      <c r="M22">
        <f t="shared" si="1"/>
        <v>22</v>
      </c>
      <c r="O22">
        <f t="shared" si="2"/>
        <v>1611</v>
      </c>
      <c r="P22">
        <f t="shared" si="3"/>
        <v>1589</v>
      </c>
    </row>
    <row r="23" spans="2:16" x14ac:dyDescent="0.35">
      <c r="D23" t="s">
        <v>750</v>
      </c>
      <c r="E23">
        <v>19</v>
      </c>
      <c r="F23">
        <v>5</v>
      </c>
      <c r="G23" t="s">
        <v>751</v>
      </c>
      <c r="H23" t="s">
        <v>752</v>
      </c>
      <c r="J23" s="1" t="s">
        <v>3450</v>
      </c>
      <c r="K23" s="22">
        <v>78</v>
      </c>
      <c r="L23">
        <f t="shared" si="0"/>
        <v>14</v>
      </c>
      <c r="M23">
        <f t="shared" si="1"/>
        <v>34</v>
      </c>
      <c r="O23">
        <f t="shared" si="2"/>
        <v>1617</v>
      </c>
      <c r="P23">
        <f t="shared" si="3"/>
        <v>1583</v>
      </c>
    </row>
    <row r="24" spans="2:16" x14ac:dyDescent="0.35">
      <c r="D24" t="s">
        <v>660</v>
      </c>
      <c r="E24">
        <v>19</v>
      </c>
      <c r="F24">
        <v>13</v>
      </c>
      <c r="G24" t="s">
        <v>753</v>
      </c>
      <c r="H24" t="s">
        <v>754</v>
      </c>
      <c r="J24" s="1" t="s">
        <v>3451</v>
      </c>
      <c r="K24" s="22">
        <v>84</v>
      </c>
      <c r="L24">
        <f t="shared" si="0"/>
        <v>6</v>
      </c>
      <c r="M24">
        <f t="shared" si="1"/>
        <v>26</v>
      </c>
      <c r="O24">
        <f t="shared" si="2"/>
        <v>1613</v>
      </c>
      <c r="P24">
        <f t="shared" si="3"/>
        <v>1587</v>
      </c>
    </row>
    <row r="25" spans="2:16" x14ac:dyDescent="0.35">
      <c r="D25" t="s">
        <v>467</v>
      </c>
      <c r="E25">
        <v>22</v>
      </c>
      <c r="F25">
        <v>14</v>
      </c>
      <c r="G25" t="s">
        <v>755</v>
      </c>
      <c r="H25" t="s">
        <v>754</v>
      </c>
      <c r="K25" s="22"/>
      <c r="L25">
        <f t="shared" si="0"/>
        <v>8</v>
      </c>
      <c r="M25">
        <f t="shared" si="1"/>
        <v>28</v>
      </c>
      <c r="O25">
        <f t="shared" si="2"/>
        <v>1614</v>
      </c>
      <c r="P25">
        <f t="shared" si="3"/>
        <v>1586</v>
      </c>
    </row>
    <row r="26" spans="2:16" x14ac:dyDescent="0.35">
      <c r="D26" t="s">
        <v>649</v>
      </c>
      <c r="E26">
        <v>11</v>
      </c>
      <c r="F26">
        <v>7</v>
      </c>
      <c r="G26" t="s">
        <v>756</v>
      </c>
      <c r="H26" t="s">
        <v>714</v>
      </c>
      <c r="K26" s="22"/>
      <c r="L26">
        <f t="shared" si="0"/>
        <v>4</v>
      </c>
      <c r="M26">
        <f t="shared" si="1"/>
        <v>24</v>
      </c>
      <c r="O26">
        <f t="shared" si="2"/>
        <v>1612</v>
      </c>
      <c r="P26">
        <f t="shared" si="3"/>
        <v>1588</v>
      </c>
    </row>
    <row r="27" spans="2:16" x14ac:dyDescent="0.35">
      <c r="D27" t="s">
        <v>757</v>
      </c>
      <c r="E27">
        <v>21</v>
      </c>
      <c r="F27">
        <v>11</v>
      </c>
      <c r="G27" t="s">
        <v>758</v>
      </c>
      <c r="H27" t="s">
        <v>759</v>
      </c>
      <c r="K27" s="22"/>
      <c r="L27">
        <f t="shared" si="0"/>
        <v>10</v>
      </c>
      <c r="M27">
        <f t="shared" si="1"/>
        <v>30</v>
      </c>
      <c r="O27">
        <f t="shared" si="2"/>
        <v>1615</v>
      </c>
      <c r="P27">
        <f t="shared" si="3"/>
        <v>1585</v>
      </c>
    </row>
    <row r="28" spans="2:16" x14ac:dyDescent="0.35">
      <c r="D28" t="s">
        <v>760</v>
      </c>
      <c r="E28">
        <v>24</v>
      </c>
      <c r="F28">
        <v>10</v>
      </c>
      <c r="G28" t="s">
        <v>642</v>
      </c>
      <c r="H28" t="s">
        <v>759</v>
      </c>
      <c r="K28" s="22"/>
      <c r="L28">
        <f t="shared" si="0"/>
        <v>14</v>
      </c>
      <c r="M28">
        <f t="shared" si="1"/>
        <v>34</v>
      </c>
      <c r="O28">
        <f t="shared" si="2"/>
        <v>1617</v>
      </c>
      <c r="P28">
        <f t="shared" si="3"/>
        <v>1583</v>
      </c>
    </row>
    <row r="29" spans="2:16" x14ac:dyDescent="0.35">
      <c r="B29" s="39">
        <v>41919</v>
      </c>
      <c r="D29" t="s">
        <v>693</v>
      </c>
      <c r="E29">
        <v>13</v>
      </c>
      <c r="F29">
        <v>5</v>
      </c>
      <c r="G29" t="s">
        <v>761</v>
      </c>
      <c r="H29" t="s">
        <v>762</v>
      </c>
      <c r="K29" s="22"/>
      <c r="L29">
        <f t="shared" si="0"/>
        <v>8</v>
      </c>
      <c r="M29">
        <f t="shared" si="1"/>
        <v>28</v>
      </c>
      <c r="O29">
        <f t="shared" si="2"/>
        <v>1614</v>
      </c>
      <c r="P29">
        <f t="shared" si="3"/>
        <v>1586</v>
      </c>
    </row>
    <row r="30" spans="2:16" x14ac:dyDescent="0.35">
      <c r="D30" t="s">
        <v>763</v>
      </c>
      <c r="E30">
        <v>16</v>
      </c>
      <c r="F30">
        <v>15</v>
      </c>
      <c r="G30" t="s">
        <v>764</v>
      </c>
      <c r="H30" t="s">
        <v>702</v>
      </c>
      <c r="K30" s="22"/>
      <c r="L30">
        <f t="shared" si="0"/>
        <v>1</v>
      </c>
      <c r="M30">
        <f t="shared" si="1"/>
        <v>21</v>
      </c>
      <c r="O30">
        <f t="shared" si="2"/>
        <v>1611</v>
      </c>
      <c r="P30">
        <f t="shared" si="3"/>
        <v>1589</v>
      </c>
    </row>
    <row r="31" spans="2:16" x14ac:dyDescent="0.35">
      <c r="D31" t="s">
        <v>673</v>
      </c>
      <c r="E31">
        <v>15</v>
      </c>
      <c r="F31">
        <v>4</v>
      </c>
      <c r="G31" t="s">
        <v>765</v>
      </c>
      <c r="H31" t="s">
        <v>766</v>
      </c>
      <c r="K31" s="22"/>
      <c r="L31">
        <f t="shared" si="0"/>
        <v>11</v>
      </c>
      <c r="M31">
        <f t="shared" si="1"/>
        <v>31</v>
      </c>
      <c r="O31">
        <f t="shared" si="2"/>
        <v>1616</v>
      </c>
      <c r="P31">
        <f t="shared" si="3"/>
        <v>1584</v>
      </c>
    </row>
    <row r="32" spans="2:16" x14ac:dyDescent="0.35">
      <c r="D32" t="s">
        <v>767</v>
      </c>
      <c r="E32">
        <v>12</v>
      </c>
      <c r="F32">
        <v>11</v>
      </c>
      <c r="G32" t="s">
        <v>768</v>
      </c>
      <c r="H32" t="s">
        <v>769</v>
      </c>
      <c r="K32" s="22"/>
      <c r="L32">
        <f t="shared" si="0"/>
        <v>1</v>
      </c>
      <c r="M32">
        <f t="shared" si="1"/>
        <v>21</v>
      </c>
      <c r="O32">
        <f t="shared" si="2"/>
        <v>1611</v>
      </c>
      <c r="P32">
        <f t="shared" si="3"/>
        <v>1589</v>
      </c>
    </row>
    <row r="33" spans="1:16" x14ac:dyDescent="0.35">
      <c r="D33" t="s">
        <v>644</v>
      </c>
      <c r="E33">
        <v>12</v>
      </c>
      <c r="F33">
        <v>9</v>
      </c>
      <c r="G33" t="s">
        <v>643</v>
      </c>
      <c r="H33" t="s">
        <v>770</v>
      </c>
      <c r="K33" s="22"/>
      <c r="L33">
        <f t="shared" si="0"/>
        <v>3</v>
      </c>
      <c r="M33">
        <f t="shared" si="1"/>
        <v>23</v>
      </c>
      <c r="O33">
        <f t="shared" si="2"/>
        <v>1612</v>
      </c>
      <c r="P33">
        <f t="shared" si="3"/>
        <v>1588</v>
      </c>
    </row>
    <row r="34" spans="1:16" x14ac:dyDescent="0.35">
      <c r="D34" t="s">
        <v>771</v>
      </c>
      <c r="E34">
        <v>16</v>
      </c>
      <c r="F34">
        <v>11</v>
      </c>
      <c r="G34" t="s">
        <v>772</v>
      </c>
      <c r="H34" t="s">
        <v>773</v>
      </c>
      <c r="K34" s="22"/>
      <c r="L34">
        <f t="shared" si="0"/>
        <v>5</v>
      </c>
      <c r="M34">
        <f t="shared" si="1"/>
        <v>25</v>
      </c>
      <c r="O34">
        <f t="shared" si="2"/>
        <v>1613</v>
      </c>
      <c r="P34">
        <f t="shared" si="3"/>
        <v>1587</v>
      </c>
    </row>
    <row r="35" spans="1:16" x14ac:dyDescent="0.35">
      <c r="B35" s="39">
        <v>41920</v>
      </c>
      <c r="D35" t="s">
        <v>774</v>
      </c>
      <c r="E35">
        <v>15</v>
      </c>
      <c r="F35">
        <v>5</v>
      </c>
      <c r="G35" t="s">
        <v>679</v>
      </c>
      <c r="H35" t="s">
        <v>775</v>
      </c>
      <c r="K35" s="22"/>
      <c r="L35">
        <f t="shared" si="0"/>
        <v>10</v>
      </c>
      <c r="M35">
        <f t="shared" si="1"/>
        <v>30</v>
      </c>
      <c r="O35">
        <f t="shared" si="2"/>
        <v>1615</v>
      </c>
      <c r="P35">
        <f t="shared" si="3"/>
        <v>1585</v>
      </c>
    </row>
    <row r="36" spans="1:16" x14ac:dyDescent="0.35">
      <c r="D36" t="s">
        <v>776</v>
      </c>
      <c r="E36">
        <v>14</v>
      </c>
      <c r="F36">
        <v>11</v>
      </c>
      <c r="G36" t="s">
        <v>777</v>
      </c>
      <c r="H36" t="s">
        <v>710</v>
      </c>
      <c r="K36" s="22"/>
      <c r="L36">
        <f t="shared" si="0"/>
        <v>3</v>
      </c>
      <c r="M36">
        <f t="shared" si="1"/>
        <v>23</v>
      </c>
      <c r="O36">
        <f t="shared" si="2"/>
        <v>1612</v>
      </c>
      <c r="P36">
        <f t="shared" si="3"/>
        <v>1588</v>
      </c>
    </row>
    <row r="37" spans="1:16" x14ac:dyDescent="0.35">
      <c r="D37" t="s">
        <v>778</v>
      </c>
      <c r="E37">
        <v>18</v>
      </c>
      <c r="F37">
        <v>10</v>
      </c>
      <c r="G37" t="s">
        <v>779</v>
      </c>
      <c r="H37" t="s">
        <v>699</v>
      </c>
      <c r="L37">
        <f t="shared" si="0"/>
        <v>8</v>
      </c>
      <c r="M37">
        <f t="shared" si="1"/>
        <v>28</v>
      </c>
      <c r="O37">
        <f t="shared" si="2"/>
        <v>1614</v>
      </c>
      <c r="P37">
        <f t="shared" si="3"/>
        <v>1586</v>
      </c>
    </row>
    <row r="38" spans="1:16" x14ac:dyDescent="0.35">
      <c r="D38" t="s">
        <v>780</v>
      </c>
      <c r="E38">
        <v>15</v>
      </c>
      <c r="F38">
        <v>12</v>
      </c>
      <c r="G38" t="s">
        <v>663</v>
      </c>
      <c r="H38" t="s">
        <v>781</v>
      </c>
      <c r="I38" t="s">
        <v>782</v>
      </c>
      <c r="L38">
        <f t="shared" si="0"/>
        <v>3</v>
      </c>
      <c r="M38">
        <f t="shared" si="1"/>
        <v>23</v>
      </c>
      <c r="O38">
        <f t="shared" si="2"/>
        <v>1612</v>
      </c>
      <c r="P38">
        <f t="shared" si="3"/>
        <v>1588</v>
      </c>
    </row>
    <row r="39" spans="1:16" x14ac:dyDescent="0.35">
      <c r="D39" t="s">
        <v>245</v>
      </c>
      <c r="E39">
        <v>14</v>
      </c>
      <c r="F39">
        <v>10</v>
      </c>
      <c r="G39" t="s">
        <v>783</v>
      </c>
      <c r="H39" t="s">
        <v>781</v>
      </c>
      <c r="L39">
        <f t="shared" si="0"/>
        <v>4</v>
      </c>
      <c r="M39">
        <f t="shared" si="1"/>
        <v>24</v>
      </c>
      <c r="O39">
        <f t="shared" si="2"/>
        <v>1612</v>
      </c>
      <c r="P39">
        <f t="shared" si="3"/>
        <v>1588</v>
      </c>
    </row>
    <row r="40" spans="1:16" x14ac:dyDescent="0.35">
      <c r="D40" t="s">
        <v>784</v>
      </c>
      <c r="E40">
        <v>16</v>
      </c>
      <c r="F40">
        <v>11</v>
      </c>
      <c r="G40" t="s">
        <v>785</v>
      </c>
      <c r="H40" t="s">
        <v>773</v>
      </c>
      <c r="L40">
        <f t="shared" si="0"/>
        <v>5</v>
      </c>
      <c r="M40">
        <f t="shared" si="1"/>
        <v>25</v>
      </c>
      <c r="O40">
        <f t="shared" si="2"/>
        <v>1613</v>
      </c>
      <c r="P40">
        <f t="shared" si="3"/>
        <v>1587</v>
      </c>
    </row>
    <row r="41" spans="1:16" ht="15" thickBot="1" x14ac:dyDescent="0.4">
      <c r="C41" s="40"/>
      <c r="D41" s="40" t="s">
        <v>650</v>
      </c>
      <c r="E41" s="40">
        <v>13</v>
      </c>
      <c r="F41" s="40">
        <v>11</v>
      </c>
      <c r="G41" s="40" t="s">
        <v>670</v>
      </c>
      <c r="H41" s="40" t="s">
        <v>786</v>
      </c>
      <c r="I41" s="40"/>
      <c r="L41">
        <f t="shared" si="0"/>
        <v>2</v>
      </c>
      <c r="M41">
        <f t="shared" si="1"/>
        <v>22</v>
      </c>
      <c r="O41">
        <f t="shared" si="2"/>
        <v>1611</v>
      </c>
      <c r="P41">
        <f t="shared" si="3"/>
        <v>1589</v>
      </c>
    </row>
    <row r="42" spans="1:16" x14ac:dyDescent="0.35">
      <c r="A42" t="s">
        <v>1117</v>
      </c>
      <c r="B42" s="39">
        <v>41921</v>
      </c>
      <c r="C42" t="s">
        <v>787</v>
      </c>
      <c r="D42" s="41" t="s">
        <v>465</v>
      </c>
      <c r="E42" s="41">
        <v>15</v>
      </c>
      <c r="F42" s="41">
        <v>12</v>
      </c>
      <c r="G42" s="41" t="s">
        <v>676</v>
      </c>
      <c r="H42" s="41" t="s">
        <v>721</v>
      </c>
      <c r="J42">
        <v>1613</v>
      </c>
      <c r="K42">
        <v>1622</v>
      </c>
      <c r="L42">
        <f t="shared" si="0"/>
        <v>3</v>
      </c>
      <c r="M42">
        <f t="shared" si="1"/>
        <v>23</v>
      </c>
      <c r="N42">
        <f>1/(10^(-(J42-K42)/400)+1)</f>
        <v>0.48705085510713625</v>
      </c>
      <c r="O42">
        <f>J42+ROUNDUP((M42*N42),0)</f>
        <v>1625</v>
      </c>
      <c r="P42">
        <f t="shared" ref="P42:P51" si="4">K42-ROUNDUP((M42*(1-N42)),0)</f>
        <v>1610</v>
      </c>
    </row>
    <row r="43" spans="1:16" x14ac:dyDescent="0.35">
      <c r="D43" s="41" t="s">
        <v>701</v>
      </c>
      <c r="E43" s="41">
        <v>16</v>
      </c>
      <c r="F43" s="41">
        <v>7</v>
      </c>
      <c r="G43" s="41" t="s">
        <v>642</v>
      </c>
      <c r="H43" s="41" t="s">
        <v>748</v>
      </c>
      <c r="J43">
        <v>1586</v>
      </c>
      <c r="K43">
        <v>1572</v>
      </c>
      <c r="L43">
        <f t="shared" si="0"/>
        <v>9</v>
      </c>
      <c r="M43">
        <f t="shared" si="1"/>
        <v>29</v>
      </c>
      <c r="N43">
        <f t="shared" ref="N43:N51" si="5">1/(10^(-(J43-K43)/400)+1)</f>
        <v>0.52013672203581651</v>
      </c>
      <c r="O43">
        <f t="shared" ref="O43:O51" si="6">J43+ROUNDUP((M43*N43),0)</f>
        <v>1602</v>
      </c>
      <c r="P43">
        <f t="shared" si="4"/>
        <v>1558</v>
      </c>
    </row>
    <row r="44" spans="1:16" x14ac:dyDescent="0.35">
      <c r="B44" s="39">
        <v>41922</v>
      </c>
      <c r="C44" t="s">
        <v>788</v>
      </c>
      <c r="D44" s="41" t="s">
        <v>704</v>
      </c>
      <c r="E44" s="41">
        <v>20</v>
      </c>
      <c r="F44" s="41">
        <v>14</v>
      </c>
      <c r="G44" s="41" t="s">
        <v>647</v>
      </c>
      <c r="H44" s="41" t="s">
        <v>789</v>
      </c>
      <c r="J44">
        <v>1617</v>
      </c>
      <c r="K44">
        <v>1578</v>
      </c>
      <c r="L44">
        <f t="shared" si="0"/>
        <v>6</v>
      </c>
      <c r="M44">
        <f t="shared" si="1"/>
        <v>26</v>
      </c>
      <c r="N44">
        <f t="shared" si="5"/>
        <v>0.5558909611168531</v>
      </c>
      <c r="O44">
        <f t="shared" si="6"/>
        <v>1632</v>
      </c>
      <c r="P44">
        <f t="shared" si="4"/>
        <v>1566</v>
      </c>
    </row>
    <row r="45" spans="1:16" x14ac:dyDescent="0.35">
      <c r="B45" s="39">
        <v>41923</v>
      </c>
      <c r="D45" s="41" t="s">
        <v>706</v>
      </c>
      <c r="E45" s="41">
        <v>17</v>
      </c>
      <c r="F45" s="41">
        <v>12</v>
      </c>
      <c r="G45" s="41" t="s">
        <v>747</v>
      </c>
      <c r="H45" s="41" t="s">
        <v>790</v>
      </c>
      <c r="J45">
        <v>1587</v>
      </c>
      <c r="K45">
        <v>1586</v>
      </c>
      <c r="L45">
        <f t="shared" si="0"/>
        <v>5</v>
      </c>
      <c r="M45">
        <f t="shared" si="1"/>
        <v>25</v>
      </c>
      <c r="N45">
        <f t="shared" si="5"/>
        <v>0.5014391117091529</v>
      </c>
      <c r="O45">
        <f t="shared" si="6"/>
        <v>1600</v>
      </c>
      <c r="P45">
        <f t="shared" si="4"/>
        <v>1573</v>
      </c>
    </row>
    <row r="46" spans="1:16" x14ac:dyDescent="0.35">
      <c r="C46" t="s">
        <v>791</v>
      </c>
      <c r="D46" s="41" t="s">
        <v>792</v>
      </c>
      <c r="E46" s="41">
        <v>21</v>
      </c>
      <c r="F46" s="41">
        <v>9</v>
      </c>
      <c r="G46" s="41" t="s">
        <v>671</v>
      </c>
      <c r="H46" s="41" t="s">
        <v>793</v>
      </c>
      <c r="J46">
        <v>1622</v>
      </c>
      <c r="K46">
        <v>1587</v>
      </c>
      <c r="L46">
        <f t="shared" si="0"/>
        <v>12</v>
      </c>
      <c r="M46">
        <f t="shared" si="1"/>
        <v>32</v>
      </c>
      <c r="N46">
        <f t="shared" si="5"/>
        <v>0.55019935325353697</v>
      </c>
      <c r="O46">
        <f t="shared" si="6"/>
        <v>1640</v>
      </c>
      <c r="P46">
        <f t="shared" si="4"/>
        <v>1572</v>
      </c>
    </row>
    <row r="47" spans="1:16" x14ac:dyDescent="0.35">
      <c r="D47" s="41" t="s">
        <v>742</v>
      </c>
      <c r="E47" s="41">
        <v>17</v>
      </c>
      <c r="F47" s="41">
        <v>9</v>
      </c>
      <c r="G47" s="41" t="s">
        <v>713</v>
      </c>
      <c r="H47" s="41" t="s">
        <v>699</v>
      </c>
      <c r="J47">
        <v>1614</v>
      </c>
      <c r="K47">
        <v>1586</v>
      </c>
      <c r="L47">
        <f t="shared" si="0"/>
        <v>8</v>
      </c>
      <c r="M47">
        <f t="shared" si="1"/>
        <v>28</v>
      </c>
      <c r="N47">
        <f t="shared" si="5"/>
        <v>0.5402082283237456</v>
      </c>
      <c r="O47">
        <f t="shared" si="6"/>
        <v>1630</v>
      </c>
      <c r="P47">
        <f t="shared" si="4"/>
        <v>1573</v>
      </c>
    </row>
    <row r="48" spans="1:16" x14ac:dyDescent="0.35">
      <c r="D48" s="41" t="s">
        <v>640</v>
      </c>
      <c r="E48" s="41">
        <v>17</v>
      </c>
      <c r="F48" s="41">
        <v>12</v>
      </c>
      <c r="G48" s="41" t="s">
        <v>732</v>
      </c>
      <c r="H48" s="41" t="s">
        <v>699</v>
      </c>
      <c r="J48">
        <v>1587</v>
      </c>
      <c r="K48">
        <v>1577</v>
      </c>
      <c r="L48">
        <f t="shared" si="0"/>
        <v>5</v>
      </c>
      <c r="M48">
        <f t="shared" si="1"/>
        <v>25</v>
      </c>
      <c r="N48">
        <f t="shared" si="5"/>
        <v>0.51438718416599871</v>
      </c>
      <c r="O48">
        <f t="shared" si="6"/>
        <v>1600</v>
      </c>
      <c r="P48">
        <f t="shared" si="4"/>
        <v>1564</v>
      </c>
    </row>
    <row r="49" spans="3:16" x14ac:dyDescent="0.35">
      <c r="D49" s="41" t="s">
        <v>764</v>
      </c>
      <c r="E49" s="41">
        <v>11</v>
      </c>
      <c r="F49" s="41">
        <v>8</v>
      </c>
      <c r="G49" s="41" t="s">
        <v>646</v>
      </c>
      <c r="H49" s="41" t="s">
        <v>770</v>
      </c>
      <c r="J49">
        <v>1587</v>
      </c>
      <c r="K49">
        <v>1577</v>
      </c>
      <c r="L49">
        <f t="shared" si="0"/>
        <v>3</v>
      </c>
      <c r="M49">
        <f t="shared" si="1"/>
        <v>23</v>
      </c>
      <c r="N49">
        <f t="shared" si="5"/>
        <v>0.51438718416599871</v>
      </c>
      <c r="O49">
        <f t="shared" si="6"/>
        <v>1599</v>
      </c>
      <c r="P49">
        <f t="shared" si="4"/>
        <v>1565</v>
      </c>
    </row>
    <row r="50" spans="3:16" x14ac:dyDescent="0.35">
      <c r="D50" s="41" t="s">
        <v>641</v>
      </c>
      <c r="E50" s="41">
        <v>23</v>
      </c>
      <c r="F50" s="41">
        <v>9</v>
      </c>
      <c r="G50" s="41" t="s">
        <v>242</v>
      </c>
      <c r="H50" s="41" t="s">
        <v>790</v>
      </c>
      <c r="J50">
        <v>1586</v>
      </c>
      <c r="K50">
        <v>1577</v>
      </c>
      <c r="L50">
        <f t="shared" si="0"/>
        <v>14</v>
      </c>
      <c r="M50">
        <f t="shared" si="1"/>
        <v>34</v>
      </c>
      <c r="N50">
        <f t="shared" si="5"/>
        <v>0.51294914489286381</v>
      </c>
      <c r="O50">
        <f t="shared" si="6"/>
        <v>1604</v>
      </c>
      <c r="P50">
        <f t="shared" si="4"/>
        <v>1560</v>
      </c>
    </row>
    <row r="51" spans="3:16" x14ac:dyDescent="0.35">
      <c r="D51" s="41" t="s">
        <v>756</v>
      </c>
      <c r="E51" s="41">
        <v>27</v>
      </c>
      <c r="F51" s="41">
        <v>5</v>
      </c>
      <c r="G51" s="41" t="s">
        <v>661</v>
      </c>
      <c r="H51" s="41" t="s">
        <v>794</v>
      </c>
      <c r="I51" t="s">
        <v>795</v>
      </c>
      <c r="J51">
        <v>1583</v>
      </c>
      <c r="K51">
        <v>1583</v>
      </c>
      <c r="L51">
        <f t="shared" si="0"/>
        <v>22</v>
      </c>
      <c r="M51">
        <f t="shared" si="1"/>
        <v>42</v>
      </c>
      <c r="N51">
        <f t="shared" si="5"/>
        <v>0.5</v>
      </c>
      <c r="O51">
        <f t="shared" si="6"/>
        <v>1604</v>
      </c>
      <c r="P51">
        <f t="shared" si="4"/>
        <v>1562</v>
      </c>
    </row>
    <row r="52" spans="3:16" x14ac:dyDescent="0.35">
      <c r="D52" s="41" t="s">
        <v>765</v>
      </c>
      <c r="E52" s="41">
        <v>20</v>
      </c>
      <c r="F52" s="41">
        <v>8</v>
      </c>
      <c r="G52" s="41" t="s">
        <v>722</v>
      </c>
      <c r="H52" s="41" t="s">
        <v>740</v>
      </c>
      <c r="L52">
        <f t="shared" si="0"/>
        <v>12</v>
      </c>
      <c r="M52">
        <f t="shared" si="1"/>
        <v>32</v>
      </c>
    </row>
    <row r="53" spans="3:16" x14ac:dyDescent="0.35">
      <c r="D53" s="41" t="s">
        <v>648</v>
      </c>
      <c r="E53" s="41">
        <v>19</v>
      </c>
      <c r="F53" s="41">
        <v>16</v>
      </c>
      <c r="G53" s="41" t="s">
        <v>677</v>
      </c>
      <c r="H53" s="41" t="s">
        <v>796</v>
      </c>
      <c r="L53">
        <f t="shared" si="0"/>
        <v>3</v>
      </c>
      <c r="M53">
        <f t="shared" si="1"/>
        <v>23</v>
      </c>
    </row>
    <row r="54" spans="3:16" x14ac:dyDescent="0.35">
      <c r="C54" t="s">
        <v>797</v>
      </c>
      <c r="D54" s="41" t="s">
        <v>672</v>
      </c>
      <c r="E54" s="41">
        <v>11</v>
      </c>
      <c r="F54" s="41">
        <v>9</v>
      </c>
      <c r="G54" s="41" t="s">
        <v>582</v>
      </c>
      <c r="H54" s="41" t="s">
        <v>762</v>
      </c>
      <c r="L54">
        <f t="shared" si="0"/>
        <v>2</v>
      </c>
      <c r="M54">
        <f t="shared" si="1"/>
        <v>22</v>
      </c>
    </row>
    <row r="55" spans="3:16" x14ac:dyDescent="0.35">
      <c r="C55" t="s">
        <v>798</v>
      </c>
      <c r="D55" s="41" t="s">
        <v>738</v>
      </c>
      <c r="E55" s="41">
        <v>18</v>
      </c>
      <c r="F55" s="41">
        <v>9</v>
      </c>
      <c r="G55" s="41" t="s">
        <v>729</v>
      </c>
      <c r="H55" s="41" t="s">
        <v>799</v>
      </c>
      <c r="L55">
        <f t="shared" si="0"/>
        <v>9</v>
      </c>
      <c r="M55">
        <f t="shared" si="1"/>
        <v>29</v>
      </c>
    </row>
    <row r="56" spans="3:16" x14ac:dyDescent="0.35">
      <c r="C56" t="s">
        <v>800</v>
      </c>
      <c r="D56" s="41" t="s">
        <v>731</v>
      </c>
      <c r="E56" s="41">
        <v>18</v>
      </c>
      <c r="F56" s="41">
        <v>4</v>
      </c>
      <c r="G56" s="41" t="s">
        <v>761</v>
      </c>
      <c r="H56" s="41" t="s">
        <v>801</v>
      </c>
      <c r="L56">
        <f t="shared" si="0"/>
        <v>14</v>
      </c>
      <c r="M56">
        <f t="shared" si="1"/>
        <v>34</v>
      </c>
    </row>
    <row r="57" spans="3:16" x14ac:dyDescent="0.35">
      <c r="C57" t="s">
        <v>802</v>
      </c>
      <c r="D57" s="41" t="s">
        <v>751</v>
      </c>
      <c r="E57" s="41">
        <v>10</v>
      </c>
      <c r="F57" s="41">
        <v>6</v>
      </c>
      <c r="G57" s="41" t="s">
        <v>734</v>
      </c>
      <c r="H57" s="41" t="s">
        <v>803</v>
      </c>
      <c r="L57">
        <f t="shared" si="0"/>
        <v>4</v>
      </c>
      <c r="M57">
        <f t="shared" si="1"/>
        <v>24</v>
      </c>
    </row>
    <row r="58" spans="3:16" x14ac:dyDescent="0.35">
      <c r="C58" t="s">
        <v>804</v>
      </c>
      <c r="D58" s="41" t="s">
        <v>712</v>
      </c>
      <c r="E58" s="41">
        <v>18</v>
      </c>
      <c r="F58" s="41">
        <v>16</v>
      </c>
      <c r="G58" s="41" t="s">
        <v>737</v>
      </c>
      <c r="H58" s="41" t="s">
        <v>773</v>
      </c>
      <c r="L58">
        <f t="shared" si="0"/>
        <v>2</v>
      </c>
      <c r="M58">
        <f t="shared" si="1"/>
        <v>22</v>
      </c>
    </row>
    <row r="59" spans="3:16" x14ac:dyDescent="0.35">
      <c r="D59" s="41" t="s">
        <v>665</v>
      </c>
      <c r="E59" s="41">
        <v>18</v>
      </c>
      <c r="F59" s="41">
        <v>11</v>
      </c>
      <c r="G59" s="41" t="s">
        <v>678</v>
      </c>
      <c r="H59" s="41" t="s">
        <v>699</v>
      </c>
      <c r="L59">
        <f t="shared" si="0"/>
        <v>7</v>
      </c>
      <c r="M59">
        <f t="shared" si="1"/>
        <v>27</v>
      </c>
    </row>
    <row r="60" spans="3:16" x14ac:dyDescent="0.35">
      <c r="C60" t="s">
        <v>805</v>
      </c>
      <c r="D60" s="41" t="s">
        <v>780</v>
      </c>
      <c r="E60" s="41">
        <v>20</v>
      </c>
      <c r="F60" s="41">
        <v>16</v>
      </c>
      <c r="G60" s="41" t="s">
        <v>692</v>
      </c>
      <c r="H60" s="41" t="s">
        <v>744</v>
      </c>
      <c r="L60">
        <f t="shared" si="0"/>
        <v>4</v>
      </c>
      <c r="M60">
        <f t="shared" si="1"/>
        <v>24</v>
      </c>
    </row>
    <row r="61" spans="3:16" x14ac:dyDescent="0.35">
      <c r="D61" s="41" t="s">
        <v>743</v>
      </c>
      <c r="E61" s="41">
        <v>10</v>
      </c>
      <c r="F61" s="41">
        <v>9</v>
      </c>
      <c r="G61" s="41" t="s">
        <v>680</v>
      </c>
      <c r="H61" s="41" t="s">
        <v>714</v>
      </c>
      <c r="L61">
        <f t="shared" si="0"/>
        <v>1</v>
      </c>
      <c r="M61">
        <f t="shared" si="1"/>
        <v>21</v>
      </c>
    </row>
    <row r="62" spans="3:16" x14ac:dyDescent="0.35">
      <c r="D62" s="41" t="s">
        <v>779</v>
      </c>
      <c r="E62" s="41">
        <v>19</v>
      </c>
      <c r="F62" s="41">
        <v>14</v>
      </c>
      <c r="G62" s="41" t="s">
        <v>746</v>
      </c>
      <c r="H62" s="41" t="s">
        <v>806</v>
      </c>
      <c r="L62">
        <f t="shared" si="0"/>
        <v>5</v>
      </c>
      <c r="M62">
        <f t="shared" si="1"/>
        <v>25</v>
      </c>
    </row>
    <row r="63" spans="3:16" x14ac:dyDescent="0.35">
      <c r="C63" t="s">
        <v>807</v>
      </c>
      <c r="D63" s="41" t="s">
        <v>750</v>
      </c>
      <c r="E63" s="41">
        <v>27</v>
      </c>
      <c r="F63" s="41">
        <v>18</v>
      </c>
      <c r="G63" s="41" t="s">
        <v>772</v>
      </c>
      <c r="H63" s="41" t="s">
        <v>808</v>
      </c>
      <c r="I63" t="s">
        <v>809</v>
      </c>
      <c r="L63">
        <f t="shared" si="0"/>
        <v>9</v>
      </c>
      <c r="M63">
        <f t="shared" si="1"/>
        <v>29</v>
      </c>
    </row>
    <row r="64" spans="3:16" x14ac:dyDescent="0.35">
      <c r="C64" t="s">
        <v>810</v>
      </c>
      <c r="D64" s="41" t="s">
        <v>753</v>
      </c>
      <c r="E64" s="41">
        <v>15</v>
      </c>
      <c r="F64" s="41">
        <v>13</v>
      </c>
      <c r="G64" s="41" t="s">
        <v>716</v>
      </c>
      <c r="H64" s="41" t="s">
        <v>710</v>
      </c>
      <c r="L64">
        <f t="shared" si="0"/>
        <v>2</v>
      </c>
      <c r="M64">
        <f t="shared" si="1"/>
        <v>22</v>
      </c>
    </row>
    <row r="65" spans="2:13" x14ac:dyDescent="0.35">
      <c r="D65" s="41" t="s">
        <v>755</v>
      </c>
      <c r="E65" s="41">
        <v>10</v>
      </c>
      <c r="F65" s="41">
        <v>7</v>
      </c>
      <c r="G65" s="41" t="s">
        <v>758</v>
      </c>
      <c r="H65" s="41" t="s">
        <v>707</v>
      </c>
      <c r="L65">
        <f t="shared" si="0"/>
        <v>3</v>
      </c>
      <c r="M65">
        <f t="shared" si="1"/>
        <v>23</v>
      </c>
    </row>
    <row r="66" spans="2:13" x14ac:dyDescent="0.35">
      <c r="C66" t="s">
        <v>811</v>
      </c>
      <c r="D66" s="41" t="s">
        <v>649</v>
      </c>
      <c r="E66" s="41">
        <v>17</v>
      </c>
      <c r="F66" s="41">
        <v>5</v>
      </c>
      <c r="G66" s="41" t="s">
        <v>700</v>
      </c>
      <c r="H66" s="41" t="s">
        <v>775</v>
      </c>
      <c r="L66">
        <f t="shared" ref="L66:L129" si="7">E66-F66</f>
        <v>12</v>
      </c>
      <c r="M66">
        <f t="shared" si="1"/>
        <v>32</v>
      </c>
    </row>
    <row r="67" spans="2:13" x14ac:dyDescent="0.35">
      <c r="C67" t="s">
        <v>812</v>
      </c>
      <c r="D67" s="41" t="s">
        <v>757</v>
      </c>
      <c r="E67" s="41">
        <v>21</v>
      </c>
      <c r="F67" s="41">
        <v>14</v>
      </c>
      <c r="G67" s="41" t="s">
        <v>670</v>
      </c>
      <c r="H67" s="41" t="s">
        <v>781</v>
      </c>
      <c r="L67">
        <f t="shared" si="7"/>
        <v>7</v>
      </c>
      <c r="M67">
        <f t="shared" ref="M67:M130" si="8">24+L67-4</f>
        <v>27</v>
      </c>
    </row>
    <row r="68" spans="2:13" x14ac:dyDescent="0.35">
      <c r="C68" t="s">
        <v>813</v>
      </c>
      <c r="D68" s="41" t="s">
        <v>760</v>
      </c>
      <c r="E68" s="41">
        <v>14</v>
      </c>
      <c r="F68" s="41">
        <v>11</v>
      </c>
      <c r="G68" s="41" t="s">
        <v>720</v>
      </c>
      <c r="H68" s="41" t="s">
        <v>814</v>
      </c>
      <c r="L68">
        <f t="shared" si="7"/>
        <v>3</v>
      </c>
      <c r="M68">
        <f t="shared" si="8"/>
        <v>23</v>
      </c>
    </row>
    <row r="69" spans="2:13" x14ac:dyDescent="0.35">
      <c r="C69" t="s">
        <v>815</v>
      </c>
      <c r="D69" s="41" t="s">
        <v>693</v>
      </c>
      <c r="E69" s="41">
        <v>20</v>
      </c>
      <c r="F69" s="41">
        <v>12</v>
      </c>
      <c r="G69" s="41" t="s">
        <v>709</v>
      </c>
      <c r="H69" s="41" t="s">
        <v>789</v>
      </c>
      <c r="L69">
        <f t="shared" si="7"/>
        <v>8</v>
      </c>
      <c r="M69">
        <f t="shared" si="8"/>
        <v>28</v>
      </c>
    </row>
    <row r="70" spans="2:13" x14ac:dyDescent="0.35">
      <c r="C70" t="s">
        <v>816</v>
      </c>
      <c r="D70" s="41" t="s">
        <v>763</v>
      </c>
      <c r="E70" s="41">
        <v>12</v>
      </c>
      <c r="F70" s="41">
        <v>6</v>
      </c>
      <c r="G70" s="41" t="s">
        <v>644</v>
      </c>
      <c r="H70" s="41" t="s">
        <v>762</v>
      </c>
      <c r="L70">
        <f t="shared" si="7"/>
        <v>6</v>
      </c>
      <c r="M70">
        <f t="shared" si="8"/>
        <v>26</v>
      </c>
    </row>
    <row r="71" spans="2:13" x14ac:dyDescent="0.35">
      <c r="C71" t="s">
        <v>817</v>
      </c>
      <c r="D71" s="41" t="s">
        <v>673</v>
      </c>
      <c r="E71" s="41">
        <v>23</v>
      </c>
      <c r="F71" s="41">
        <v>17</v>
      </c>
      <c r="G71" s="41" t="s">
        <v>777</v>
      </c>
      <c r="H71" s="41" t="s">
        <v>818</v>
      </c>
      <c r="I71" t="s">
        <v>819</v>
      </c>
      <c r="L71">
        <f t="shared" si="7"/>
        <v>6</v>
      </c>
      <c r="M71">
        <f t="shared" si="8"/>
        <v>26</v>
      </c>
    </row>
    <row r="72" spans="2:13" x14ac:dyDescent="0.35">
      <c r="D72" s="41" t="s">
        <v>768</v>
      </c>
      <c r="E72" s="41">
        <v>25</v>
      </c>
      <c r="F72" s="41">
        <v>10</v>
      </c>
      <c r="G72" s="41" t="s">
        <v>466</v>
      </c>
      <c r="H72" s="41" t="s">
        <v>820</v>
      </c>
      <c r="L72">
        <f t="shared" si="7"/>
        <v>15</v>
      </c>
      <c r="M72">
        <f t="shared" si="8"/>
        <v>35</v>
      </c>
    </row>
    <row r="73" spans="2:13" x14ac:dyDescent="0.35">
      <c r="D73" s="41" t="s">
        <v>643</v>
      </c>
      <c r="E73" s="41">
        <v>17</v>
      </c>
      <c r="F73" s="41">
        <v>8</v>
      </c>
      <c r="G73" s="41" t="s">
        <v>726</v>
      </c>
      <c r="H73" s="41" t="s">
        <v>821</v>
      </c>
      <c r="L73">
        <f t="shared" si="7"/>
        <v>9</v>
      </c>
      <c r="M73">
        <f t="shared" si="8"/>
        <v>29</v>
      </c>
    </row>
    <row r="74" spans="2:13" x14ac:dyDescent="0.35">
      <c r="C74" t="s">
        <v>822</v>
      </c>
      <c r="D74" s="41" t="s">
        <v>783</v>
      </c>
      <c r="E74" s="41">
        <v>20</v>
      </c>
      <c r="F74" s="41">
        <v>12</v>
      </c>
      <c r="G74" s="41" t="s">
        <v>771</v>
      </c>
      <c r="H74" s="41" t="s">
        <v>823</v>
      </c>
      <c r="L74">
        <f t="shared" si="7"/>
        <v>8</v>
      </c>
      <c r="M74">
        <f t="shared" si="8"/>
        <v>28</v>
      </c>
    </row>
    <row r="75" spans="2:13" x14ac:dyDescent="0.35">
      <c r="C75" t="s">
        <v>824</v>
      </c>
      <c r="D75" s="41" t="s">
        <v>723</v>
      </c>
      <c r="E75" s="41">
        <v>19</v>
      </c>
      <c r="F75" s="41">
        <v>18</v>
      </c>
      <c r="G75" s="41" t="s">
        <v>774</v>
      </c>
      <c r="H75" s="41" t="s">
        <v>719</v>
      </c>
      <c r="L75">
        <f t="shared" si="7"/>
        <v>1</v>
      </c>
      <c r="M75">
        <f t="shared" si="8"/>
        <v>21</v>
      </c>
    </row>
    <row r="76" spans="2:13" x14ac:dyDescent="0.35">
      <c r="D76" s="41" t="s">
        <v>776</v>
      </c>
      <c r="E76" s="41">
        <v>20</v>
      </c>
      <c r="F76" s="41">
        <v>13</v>
      </c>
      <c r="G76" s="41" t="s">
        <v>679</v>
      </c>
      <c r="H76" s="41" t="s">
        <v>806</v>
      </c>
      <c r="L76">
        <f t="shared" si="7"/>
        <v>7</v>
      </c>
      <c r="M76">
        <f t="shared" si="8"/>
        <v>27</v>
      </c>
    </row>
    <row r="77" spans="2:13" x14ac:dyDescent="0.35">
      <c r="B77" s="39">
        <v>41924</v>
      </c>
      <c r="C77" t="s">
        <v>825</v>
      </c>
      <c r="D77" s="41" t="s">
        <v>778</v>
      </c>
      <c r="E77" s="41">
        <v>14</v>
      </c>
      <c r="F77" s="41">
        <v>13</v>
      </c>
      <c r="G77" s="41" t="s">
        <v>767</v>
      </c>
      <c r="H77" s="41" t="s">
        <v>826</v>
      </c>
      <c r="I77" t="s">
        <v>827</v>
      </c>
      <c r="L77">
        <f t="shared" si="7"/>
        <v>1</v>
      </c>
      <c r="M77">
        <f t="shared" si="8"/>
        <v>21</v>
      </c>
    </row>
    <row r="78" spans="2:13" x14ac:dyDescent="0.35">
      <c r="C78" t="s">
        <v>828</v>
      </c>
      <c r="D78" s="41" t="s">
        <v>467</v>
      </c>
      <c r="E78" s="41">
        <v>25</v>
      </c>
      <c r="F78" s="41">
        <v>2</v>
      </c>
      <c r="G78" s="41" t="s">
        <v>663</v>
      </c>
      <c r="H78" s="41" t="s">
        <v>766</v>
      </c>
      <c r="I78" t="s">
        <v>829</v>
      </c>
      <c r="L78">
        <f t="shared" si="7"/>
        <v>23</v>
      </c>
      <c r="M78">
        <f t="shared" si="8"/>
        <v>43</v>
      </c>
    </row>
    <row r="79" spans="2:13" x14ac:dyDescent="0.35">
      <c r="C79" t="s">
        <v>830</v>
      </c>
      <c r="D79" s="41" t="s">
        <v>245</v>
      </c>
      <c r="E79" s="41">
        <v>15</v>
      </c>
      <c r="F79" s="41">
        <v>14</v>
      </c>
      <c r="G79" s="41" t="s">
        <v>660</v>
      </c>
      <c r="H79" s="41" t="s">
        <v>831</v>
      </c>
      <c r="L79">
        <f t="shared" si="7"/>
        <v>1</v>
      </c>
      <c r="M79">
        <f t="shared" si="8"/>
        <v>21</v>
      </c>
    </row>
    <row r="80" spans="2:13" x14ac:dyDescent="0.35">
      <c r="D80" s="41" t="s">
        <v>650</v>
      </c>
      <c r="E80" s="41">
        <v>9</v>
      </c>
      <c r="F80" s="41">
        <v>6</v>
      </c>
      <c r="G80" s="41" t="s">
        <v>785</v>
      </c>
      <c r="H80" s="41" t="s">
        <v>832</v>
      </c>
      <c r="L80">
        <f t="shared" si="7"/>
        <v>3</v>
      </c>
      <c r="M80">
        <f t="shared" si="8"/>
        <v>23</v>
      </c>
    </row>
    <row r="81" spans="1:13" ht="15" thickBot="1" x14ac:dyDescent="0.4">
      <c r="C81" s="40" t="s">
        <v>833</v>
      </c>
      <c r="D81" s="42" t="s">
        <v>784</v>
      </c>
      <c r="E81" s="42">
        <v>24</v>
      </c>
      <c r="F81" s="42">
        <v>21</v>
      </c>
      <c r="G81" s="42" t="s">
        <v>718</v>
      </c>
      <c r="H81" s="42" t="s">
        <v>834</v>
      </c>
      <c r="I81" s="40" t="s">
        <v>835</v>
      </c>
      <c r="L81">
        <f t="shared" si="7"/>
        <v>3</v>
      </c>
      <c r="M81">
        <f t="shared" si="8"/>
        <v>23</v>
      </c>
    </row>
    <row r="82" spans="1:13" x14ac:dyDescent="0.35">
      <c r="A82" t="s">
        <v>1118</v>
      </c>
      <c r="B82" s="39">
        <v>41939</v>
      </c>
      <c r="D82" s="41" t="s">
        <v>676</v>
      </c>
      <c r="E82" s="41">
        <v>16</v>
      </c>
      <c r="F82" s="41">
        <v>7</v>
      </c>
      <c r="G82" s="41" t="s">
        <v>646</v>
      </c>
      <c r="H82" s="41" t="s">
        <v>836</v>
      </c>
      <c r="L82">
        <f t="shared" si="7"/>
        <v>9</v>
      </c>
      <c r="M82">
        <f t="shared" si="8"/>
        <v>29</v>
      </c>
    </row>
    <row r="83" spans="1:13" x14ac:dyDescent="0.35">
      <c r="D83" s="41" t="s">
        <v>767</v>
      </c>
      <c r="E83" s="41">
        <v>18</v>
      </c>
      <c r="F83" s="41">
        <v>8</v>
      </c>
      <c r="G83" s="41" t="s">
        <v>738</v>
      </c>
      <c r="H83" s="41" t="s">
        <v>789</v>
      </c>
      <c r="L83">
        <f t="shared" si="7"/>
        <v>10</v>
      </c>
      <c r="M83">
        <f t="shared" si="8"/>
        <v>30</v>
      </c>
    </row>
    <row r="84" spans="1:13" x14ac:dyDescent="0.35">
      <c r="B84" s="39">
        <v>41940</v>
      </c>
      <c r="C84" t="s">
        <v>837</v>
      </c>
      <c r="D84" s="41" t="s">
        <v>641</v>
      </c>
      <c r="E84" s="41">
        <v>19</v>
      </c>
      <c r="F84" s="41">
        <v>4</v>
      </c>
      <c r="G84" s="41" t="s">
        <v>734</v>
      </c>
      <c r="H84" s="41" t="s">
        <v>838</v>
      </c>
      <c r="L84">
        <f t="shared" si="7"/>
        <v>15</v>
      </c>
      <c r="M84">
        <f t="shared" si="8"/>
        <v>35</v>
      </c>
    </row>
    <row r="85" spans="1:13" x14ac:dyDescent="0.35">
      <c r="C85" t="s">
        <v>828</v>
      </c>
      <c r="D85" s="41" t="s">
        <v>742</v>
      </c>
      <c r="E85" s="41">
        <v>17</v>
      </c>
      <c r="F85" s="41">
        <v>13</v>
      </c>
      <c r="G85" s="41" t="s">
        <v>747</v>
      </c>
      <c r="H85" s="41" t="s">
        <v>839</v>
      </c>
      <c r="L85">
        <f t="shared" si="7"/>
        <v>4</v>
      </c>
      <c r="M85">
        <f t="shared" si="8"/>
        <v>24</v>
      </c>
    </row>
    <row r="86" spans="1:13" x14ac:dyDescent="0.35">
      <c r="D86" s="41" t="s">
        <v>737</v>
      </c>
      <c r="E86" s="41">
        <v>12</v>
      </c>
      <c r="F86" s="41">
        <v>10</v>
      </c>
      <c r="G86" s="41" t="s">
        <v>755</v>
      </c>
      <c r="H86" s="41" t="s">
        <v>821</v>
      </c>
      <c r="L86">
        <f t="shared" si="7"/>
        <v>2</v>
      </c>
      <c r="M86">
        <f t="shared" si="8"/>
        <v>22</v>
      </c>
    </row>
    <row r="87" spans="1:13" x14ac:dyDescent="0.35">
      <c r="B87" s="39">
        <v>41941</v>
      </c>
      <c r="D87" s="41" t="s">
        <v>648</v>
      </c>
      <c r="E87" s="41">
        <v>13</v>
      </c>
      <c r="F87" s="41">
        <v>11</v>
      </c>
      <c r="G87" s="41" t="s">
        <v>642</v>
      </c>
      <c r="H87" s="41" t="s">
        <v>721</v>
      </c>
      <c r="L87">
        <f t="shared" si="7"/>
        <v>2</v>
      </c>
      <c r="M87">
        <f t="shared" si="8"/>
        <v>22</v>
      </c>
    </row>
    <row r="88" spans="1:13" x14ac:dyDescent="0.35">
      <c r="C88" t="s">
        <v>840</v>
      </c>
      <c r="D88" s="41" t="s">
        <v>649</v>
      </c>
      <c r="E88" s="41">
        <v>15</v>
      </c>
      <c r="F88" s="41">
        <v>9</v>
      </c>
      <c r="G88" s="41" t="s">
        <v>643</v>
      </c>
      <c r="H88" s="41" t="s">
        <v>707</v>
      </c>
      <c r="L88">
        <f t="shared" si="7"/>
        <v>6</v>
      </c>
      <c r="M88">
        <f t="shared" si="8"/>
        <v>26</v>
      </c>
    </row>
    <row r="89" spans="1:13" x14ac:dyDescent="0.35">
      <c r="B89" s="39">
        <v>41942</v>
      </c>
      <c r="C89" t="s">
        <v>841</v>
      </c>
      <c r="D89" s="41" t="s">
        <v>712</v>
      </c>
      <c r="E89" s="41">
        <v>10</v>
      </c>
      <c r="F89" s="41">
        <v>9</v>
      </c>
      <c r="G89" s="41" t="s">
        <v>785</v>
      </c>
      <c r="H89" s="41" t="s">
        <v>826</v>
      </c>
      <c r="L89">
        <f t="shared" si="7"/>
        <v>1</v>
      </c>
      <c r="M89">
        <f t="shared" si="8"/>
        <v>21</v>
      </c>
    </row>
    <row r="90" spans="1:13" x14ac:dyDescent="0.35">
      <c r="C90" t="s">
        <v>797</v>
      </c>
      <c r="D90" s="41" t="s">
        <v>650</v>
      </c>
      <c r="E90" s="41">
        <v>20</v>
      </c>
      <c r="F90" s="41">
        <v>13</v>
      </c>
      <c r="G90" s="41" t="s">
        <v>771</v>
      </c>
      <c r="H90" s="41" t="s">
        <v>721</v>
      </c>
      <c r="L90">
        <f t="shared" si="7"/>
        <v>7</v>
      </c>
      <c r="M90">
        <f t="shared" si="8"/>
        <v>27</v>
      </c>
    </row>
    <row r="91" spans="1:13" x14ac:dyDescent="0.35">
      <c r="D91" s="41" t="s">
        <v>644</v>
      </c>
      <c r="E91" s="41">
        <v>17</v>
      </c>
      <c r="F91" s="41">
        <v>8</v>
      </c>
      <c r="G91" s="41" t="s">
        <v>665</v>
      </c>
      <c r="H91" s="41" t="s">
        <v>836</v>
      </c>
      <c r="L91">
        <f t="shared" si="7"/>
        <v>9</v>
      </c>
      <c r="M91">
        <f t="shared" si="8"/>
        <v>29</v>
      </c>
    </row>
    <row r="92" spans="1:13" x14ac:dyDescent="0.35">
      <c r="D92" s="41" t="s">
        <v>701</v>
      </c>
      <c r="E92" s="41">
        <v>9</v>
      </c>
      <c r="F92" s="41">
        <v>6</v>
      </c>
      <c r="G92" s="41" t="s">
        <v>640</v>
      </c>
      <c r="H92" s="41" t="s">
        <v>842</v>
      </c>
      <c r="L92">
        <f t="shared" si="7"/>
        <v>3</v>
      </c>
      <c r="M92">
        <f t="shared" si="8"/>
        <v>23</v>
      </c>
    </row>
    <row r="93" spans="1:13" x14ac:dyDescent="0.35">
      <c r="D93" s="41" t="s">
        <v>758</v>
      </c>
      <c r="E93" s="41">
        <v>9</v>
      </c>
      <c r="F93" s="41">
        <v>7</v>
      </c>
      <c r="G93" s="41" t="s">
        <v>765</v>
      </c>
      <c r="H93" s="41" t="s">
        <v>842</v>
      </c>
      <c r="L93">
        <f t="shared" si="7"/>
        <v>2</v>
      </c>
      <c r="M93">
        <f t="shared" si="8"/>
        <v>22</v>
      </c>
    </row>
    <row r="94" spans="1:13" x14ac:dyDescent="0.35">
      <c r="C94" t="s">
        <v>843</v>
      </c>
      <c r="D94" s="41" t="s">
        <v>661</v>
      </c>
      <c r="E94" s="41">
        <v>17</v>
      </c>
      <c r="F94" s="41">
        <v>16</v>
      </c>
      <c r="G94" s="41" t="s">
        <v>731</v>
      </c>
      <c r="H94" s="41" t="s">
        <v>844</v>
      </c>
      <c r="I94" t="s">
        <v>845</v>
      </c>
      <c r="L94">
        <f t="shared" si="7"/>
        <v>1</v>
      </c>
      <c r="M94">
        <f t="shared" si="8"/>
        <v>21</v>
      </c>
    </row>
    <row r="95" spans="1:13" x14ac:dyDescent="0.35">
      <c r="B95" s="39">
        <v>41944</v>
      </c>
      <c r="C95" t="s">
        <v>846</v>
      </c>
      <c r="D95" s="41" t="s">
        <v>647</v>
      </c>
      <c r="E95" s="41">
        <v>16</v>
      </c>
      <c r="F95" s="41">
        <v>11</v>
      </c>
      <c r="G95" s="41" t="s">
        <v>465</v>
      </c>
      <c r="H95" s="41" t="s">
        <v>770</v>
      </c>
      <c r="L95">
        <f t="shared" si="7"/>
        <v>5</v>
      </c>
      <c r="M95">
        <f t="shared" si="8"/>
        <v>25</v>
      </c>
    </row>
    <row r="96" spans="1:13" x14ac:dyDescent="0.35">
      <c r="D96" s="41" t="s">
        <v>753</v>
      </c>
      <c r="E96" s="41">
        <v>26</v>
      </c>
      <c r="F96" s="41">
        <v>14</v>
      </c>
      <c r="G96" s="41" t="s">
        <v>678</v>
      </c>
      <c r="H96" s="41" t="s">
        <v>847</v>
      </c>
      <c r="L96">
        <f t="shared" si="7"/>
        <v>12</v>
      </c>
      <c r="M96">
        <f t="shared" si="8"/>
        <v>32</v>
      </c>
    </row>
    <row r="97" spans="2:13" x14ac:dyDescent="0.35">
      <c r="D97" s="41" t="s">
        <v>777</v>
      </c>
      <c r="E97" s="41">
        <v>15</v>
      </c>
      <c r="F97" s="41">
        <v>6</v>
      </c>
      <c r="G97" s="41" t="s">
        <v>582</v>
      </c>
      <c r="H97" s="41" t="s">
        <v>775</v>
      </c>
      <c r="L97">
        <f t="shared" si="7"/>
        <v>9</v>
      </c>
      <c r="M97">
        <f t="shared" si="8"/>
        <v>29</v>
      </c>
    </row>
    <row r="98" spans="2:13" x14ac:dyDescent="0.35">
      <c r="C98" t="s">
        <v>848</v>
      </c>
      <c r="D98" s="41" t="s">
        <v>757</v>
      </c>
      <c r="E98" s="41">
        <v>19</v>
      </c>
      <c r="F98" s="41">
        <v>8</v>
      </c>
      <c r="G98" s="41" t="s">
        <v>768</v>
      </c>
      <c r="H98" s="41" t="s">
        <v>796</v>
      </c>
      <c r="L98">
        <f t="shared" si="7"/>
        <v>11</v>
      </c>
      <c r="M98">
        <f t="shared" si="8"/>
        <v>31</v>
      </c>
    </row>
    <row r="99" spans="2:13" x14ac:dyDescent="0.35">
      <c r="C99" t="s">
        <v>813</v>
      </c>
      <c r="D99" s="41" t="s">
        <v>467</v>
      </c>
      <c r="E99" s="41">
        <v>19</v>
      </c>
      <c r="F99" s="41">
        <v>16</v>
      </c>
      <c r="G99" s="41" t="s">
        <v>679</v>
      </c>
      <c r="H99" s="41" t="s">
        <v>781</v>
      </c>
      <c r="L99">
        <f t="shared" si="7"/>
        <v>3</v>
      </c>
      <c r="M99">
        <f t="shared" si="8"/>
        <v>23</v>
      </c>
    </row>
    <row r="100" spans="2:13" x14ac:dyDescent="0.35">
      <c r="B100" s="39">
        <v>41946</v>
      </c>
      <c r="C100" t="s">
        <v>849</v>
      </c>
      <c r="D100" s="41" t="s">
        <v>784</v>
      </c>
      <c r="E100" s="41">
        <v>16</v>
      </c>
      <c r="F100" s="41">
        <v>9</v>
      </c>
      <c r="G100" s="41" t="s">
        <v>774</v>
      </c>
      <c r="H100" s="41" t="s">
        <v>741</v>
      </c>
      <c r="L100">
        <f t="shared" si="7"/>
        <v>7</v>
      </c>
      <c r="M100">
        <f t="shared" si="8"/>
        <v>27</v>
      </c>
    </row>
    <row r="101" spans="2:13" x14ac:dyDescent="0.35">
      <c r="D101" s="41" t="s">
        <v>751</v>
      </c>
      <c r="E101" s="41">
        <v>15</v>
      </c>
      <c r="F101" s="41">
        <v>11</v>
      </c>
      <c r="G101" s="41" t="s">
        <v>680</v>
      </c>
      <c r="H101" s="41" t="s">
        <v>793</v>
      </c>
      <c r="L101">
        <f t="shared" si="7"/>
        <v>4</v>
      </c>
      <c r="M101">
        <f t="shared" si="8"/>
        <v>24</v>
      </c>
    </row>
    <row r="102" spans="2:13" x14ac:dyDescent="0.35">
      <c r="C102" t="s">
        <v>850</v>
      </c>
      <c r="D102" s="41" t="s">
        <v>704</v>
      </c>
      <c r="E102" s="41">
        <v>27</v>
      </c>
      <c r="F102" s="41">
        <v>16</v>
      </c>
      <c r="G102" s="41" t="s">
        <v>713</v>
      </c>
      <c r="H102" s="41" t="s">
        <v>851</v>
      </c>
      <c r="L102">
        <f t="shared" si="7"/>
        <v>11</v>
      </c>
      <c r="M102">
        <f t="shared" si="8"/>
        <v>31</v>
      </c>
    </row>
    <row r="103" spans="2:13" x14ac:dyDescent="0.35">
      <c r="D103" s="41" t="s">
        <v>242</v>
      </c>
      <c r="E103" s="41">
        <v>14</v>
      </c>
      <c r="F103" s="41">
        <v>2</v>
      </c>
      <c r="G103" s="41" t="s">
        <v>761</v>
      </c>
      <c r="H103" s="41" t="s">
        <v>852</v>
      </c>
      <c r="L103">
        <f t="shared" si="7"/>
        <v>12</v>
      </c>
      <c r="M103">
        <f t="shared" si="8"/>
        <v>32</v>
      </c>
    </row>
    <row r="104" spans="2:13" x14ac:dyDescent="0.35">
      <c r="C104" t="s">
        <v>830</v>
      </c>
      <c r="D104" s="41" t="s">
        <v>722</v>
      </c>
      <c r="E104" s="41">
        <v>20</v>
      </c>
      <c r="F104" s="41">
        <v>15</v>
      </c>
      <c r="G104" s="41" t="s">
        <v>729</v>
      </c>
      <c r="H104" s="41" t="s">
        <v>724</v>
      </c>
      <c r="L104">
        <f t="shared" si="7"/>
        <v>5</v>
      </c>
      <c r="M104">
        <f t="shared" si="8"/>
        <v>25</v>
      </c>
    </row>
    <row r="105" spans="2:13" x14ac:dyDescent="0.35">
      <c r="D105" s="41" t="s">
        <v>783</v>
      </c>
      <c r="E105" s="41">
        <v>11</v>
      </c>
      <c r="F105" s="41">
        <v>8</v>
      </c>
      <c r="G105" s="41" t="s">
        <v>779</v>
      </c>
      <c r="H105" s="41" t="s">
        <v>741</v>
      </c>
      <c r="L105">
        <f t="shared" si="7"/>
        <v>3</v>
      </c>
      <c r="M105">
        <f t="shared" si="8"/>
        <v>23</v>
      </c>
    </row>
    <row r="106" spans="2:13" x14ac:dyDescent="0.35">
      <c r="C106" t="s">
        <v>853</v>
      </c>
      <c r="D106" s="41" t="s">
        <v>692</v>
      </c>
      <c r="E106" s="41">
        <v>23</v>
      </c>
      <c r="F106" s="41">
        <v>13</v>
      </c>
      <c r="G106" s="41" t="s">
        <v>750</v>
      </c>
      <c r="H106" s="41" t="s">
        <v>820</v>
      </c>
      <c r="L106">
        <f t="shared" si="7"/>
        <v>10</v>
      </c>
      <c r="M106">
        <f t="shared" si="8"/>
        <v>30</v>
      </c>
    </row>
    <row r="107" spans="2:13" x14ac:dyDescent="0.35">
      <c r="D107" s="41" t="s">
        <v>709</v>
      </c>
      <c r="E107" s="41">
        <v>14</v>
      </c>
      <c r="F107" s="41">
        <v>5</v>
      </c>
      <c r="G107" s="41" t="s">
        <v>670</v>
      </c>
      <c r="H107" s="41" t="s">
        <v>739</v>
      </c>
      <c r="L107">
        <f t="shared" si="7"/>
        <v>9</v>
      </c>
      <c r="M107">
        <f t="shared" si="8"/>
        <v>29</v>
      </c>
    </row>
    <row r="108" spans="2:13" x14ac:dyDescent="0.35">
      <c r="C108" t="s">
        <v>854</v>
      </c>
      <c r="D108" s="41" t="s">
        <v>673</v>
      </c>
      <c r="E108" s="41">
        <v>22</v>
      </c>
      <c r="F108" s="41">
        <v>6</v>
      </c>
      <c r="G108" s="41" t="s">
        <v>760</v>
      </c>
      <c r="H108" s="41" t="s">
        <v>799</v>
      </c>
      <c r="L108">
        <f t="shared" si="7"/>
        <v>16</v>
      </c>
      <c r="M108">
        <f t="shared" si="8"/>
        <v>36</v>
      </c>
    </row>
    <row r="109" spans="2:13" x14ac:dyDescent="0.35">
      <c r="C109" t="s">
        <v>855</v>
      </c>
      <c r="D109" s="41" t="s">
        <v>718</v>
      </c>
      <c r="E109" s="41">
        <v>30</v>
      </c>
      <c r="F109" s="41">
        <v>8</v>
      </c>
      <c r="G109" s="41" t="s">
        <v>772</v>
      </c>
      <c r="H109" s="41" t="s">
        <v>820</v>
      </c>
      <c r="I109" t="s">
        <v>856</v>
      </c>
      <c r="L109">
        <f t="shared" si="7"/>
        <v>22</v>
      </c>
      <c r="M109">
        <f t="shared" si="8"/>
        <v>42</v>
      </c>
    </row>
    <row r="110" spans="2:13" x14ac:dyDescent="0.35">
      <c r="C110" t="s">
        <v>788</v>
      </c>
      <c r="D110" s="41" t="s">
        <v>776</v>
      </c>
      <c r="E110" s="41">
        <v>12</v>
      </c>
      <c r="F110" s="41">
        <v>11</v>
      </c>
      <c r="G110" s="41" t="s">
        <v>245</v>
      </c>
      <c r="H110" s="41" t="s">
        <v>857</v>
      </c>
      <c r="L110">
        <f t="shared" si="7"/>
        <v>1</v>
      </c>
      <c r="M110">
        <f t="shared" si="8"/>
        <v>21</v>
      </c>
    </row>
    <row r="111" spans="2:13" x14ac:dyDescent="0.35">
      <c r="C111" t="s">
        <v>858</v>
      </c>
      <c r="D111" s="41" t="s">
        <v>720</v>
      </c>
      <c r="E111" s="41">
        <v>22</v>
      </c>
      <c r="F111" s="41">
        <v>12</v>
      </c>
      <c r="G111" s="41" t="s">
        <v>756</v>
      </c>
      <c r="H111" s="41" t="s">
        <v>796</v>
      </c>
      <c r="L111">
        <f t="shared" si="7"/>
        <v>10</v>
      </c>
      <c r="M111">
        <f t="shared" si="8"/>
        <v>30</v>
      </c>
    </row>
    <row r="112" spans="2:13" x14ac:dyDescent="0.35">
      <c r="D112" s="41" t="s">
        <v>671</v>
      </c>
      <c r="E112" s="41">
        <v>19</v>
      </c>
      <c r="F112" s="41">
        <v>10</v>
      </c>
      <c r="G112" s="41" t="s">
        <v>706</v>
      </c>
      <c r="H112" s="41" t="s">
        <v>806</v>
      </c>
      <c r="L112">
        <f t="shared" si="7"/>
        <v>9</v>
      </c>
      <c r="M112">
        <f t="shared" si="8"/>
        <v>29</v>
      </c>
    </row>
    <row r="113" spans="1:13" x14ac:dyDescent="0.35">
      <c r="D113" s="41" t="s">
        <v>660</v>
      </c>
      <c r="E113" s="41">
        <v>11</v>
      </c>
      <c r="F113" s="41">
        <v>8</v>
      </c>
      <c r="G113" s="41" t="s">
        <v>723</v>
      </c>
      <c r="H113" s="41" t="s">
        <v>762</v>
      </c>
      <c r="L113">
        <f t="shared" si="7"/>
        <v>3</v>
      </c>
      <c r="M113">
        <f t="shared" si="8"/>
        <v>23</v>
      </c>
    </row>
    <row r="114" spans="1:13" x14ac:dyDescent="0.35">
      <c r="D114" s="41" t="s">
        <v>672</v>
      </c>
      <c r="E114" s="41">
        <v>12</v>
      </c>
      <c r="F114" s="41">
        <v>8</v>
      </c>
      <c r="G114" s="41" t="s">
        <v>677</v>
      </c>
      <c r="H114" s="41" t="s">
        <v>842</v>
      </c>
      <c r="L114">
        <f t="shared" si="7"/>
        <v>4</v>
      </c>
      <c r="M114">
        <f t="shared" si="8"/>
        <v>24</v>
      </c>
    </row>
    <row r="115" spans="1:13" x14ac:dyDescent="0.35">
      <c r="D115" s="41" t="s">
        <v>700</v>
      </c>
      <c r="E115" s="41">
        <v>22</v>
      </c>
      <c r="F115" s="41">
        <v>13</v>
      </c>
      <c r="G115" s="41" t="s">
        <v>716</v>
      </c>
      <c r="H115" s="41" t="s">
        <v>859</v>
      </c>
      <c r="L115">
        <f t="shared" si="7"/>
        <v>9</v>
      </c>
      <c r="M115">
        <f t="shared" si="8"/>
        <v>29</v>
      </c>
    </row>
    <row r="116" spans="1:13" x14ac:dyDescent="0.35">
      <c r="D116" s="41" t="s">
        <v>743</v>
      </c>
      <c r="E116" s="41">
        <v>13</v>
      </c>
      <c r="F116" s="41">
        <v>9</v>
      </c>
      <c r="G116" s="41" t="s">
        <v>746</v>
      </c>
      <c r="H116" s="41" t="s">
        <v>714</v>
      </c>
      <c r="L116">
        <f t="shared" si="7"/>
        <v>4</v>
      </c>
      <c r="M116">
        <f t="shared" si="8"/>
        <v>24</v>
      </c>
    </row>
    <row r="117" spans="1:13" x14ac:dyDescent="0.35">
      <c r="D117" s="41" t="s">
        <v>732</v>
      </c>
      <c r="E117" s="41">
        <v>17</v>
      </c>
      <c r="F117" s="41">
        <v>12</v>
      </c>
      <c r="G117" s="41" t="s">
        <v>466</v>
      </c>
      <c r="H117" s="41" t="s">
        <v>781</v>
      </c>
      <c r="L117">
        <f t="shared" si="7"/>
        <v>5</v>
      </c>
      <c r="M117">
        <f t="shared" si="8"/>
        <v>25</v>
      </c>
    </row>
    <row r="118" spans="1:13" x14ac:dyDescent="0.35">
      <c r="C118" t="s">
        <v>860</v>
      </c>
      <c r="D118" s="41" t="s">
        <v>763</v>
      </c>
      <c r="E118" s="41">
        <v>19</v>
      </c>
      <c r="F118" s="41">
        <v>11</v>
      </c>
      <c r="G118" s="41" t="s">
        <v>693</v>
      </c>
      <c r="H118" s="41" t="s">
        <v>844</v>
      </c>
      <c r="L118">
        <f t="shared" si="7"/>
        <v>8</v>
      </c>
      <c r="M118">
        <f t="shared" si="8"/>
        <v>28</v>
      </c>
    </row>
    <row r="119" spans="1:13" x14ac:dyDescent="0.35">
      <c r="C119" t="s">
        <v>833</v>
      </c>
      <c r="D119" s="41" t="s">
        <v>780</v>
      </c>
      <c r="E119" s="41">
        <v>25</v>
      </c>
      <c r="F119" s="41">
        <v>16</v>
      </c>
      <c r="G119" s="41" t="s">
        <v>792</v>
      </c>
      <c r="H119" s="41" t="s">
        <v>744</v>
      </c>
      <c r="L119">
        <f t="shared" si="7"/>
        <v>9</v>
      </c>
      <c r="M119">
        <f t="shared" si="8"/>
        <v>29</v>
      </c>
    </row>
    <row r="120" spans="1:13" x14ac:dyDescent="0.35">
      <c r="C120" t="s">
        <v>825</v>
      </c>
      <c r="D120" s="41" t="s">
        <v>778</v>
      </c>
      <c r="E120" s="41">
        <v>15</v>
      </c>
      <c r="F120" s="41">
        <v>7</v>
      </c>
      <c r="G120" s="41" t="s">
        <v>663</v>
      </c>
      <c r="H120" s="41" t="s">
        <v>714</v>
      </c>
      <c r="L120">
        <f t="shared" si="7"/>
        <v>8</v>
      </c>
      <c r="M120">
        <f t="shared" si="8"/>
        <v>28</v>
      </c>
    </row>
    <row r="121" spans="1:13" ht="15" thickBot="1" x14ac:dyDescent="0.4">
      <c r="C121" s="40"/>
      <c r="D121" s="40" t="s">
        <v>726</v>
      </c>
      <c r="E121" s="40">
        <v>14</v>
      </c>
      <c r="F121" s="40">
        <v>11</v>
      </c>
      <c r="G121" s="40" t="s">
        <v>764</v>
      </c>
      <c r="H121" s="40" t="s">
        <v>781</v>
      </c>
      <c r="I121" s="40"/>
      <c r="L121">
        <f t="shared" si="7"/>
        <v>3</v>
      </c>
      <c r="M121">
        <f t="shared" si="8"/>
        <v>23</v>
      </c>
    </row>
    <row r="122" spans="1:13" x14ac:dyDescent="0.35">
      <c r="A122" t="s">
        <v>1119</v>
      </c>
      <c r="B122" s="39">
        <v>41947</v>
      </c>
      <c r="C122" s="41" t="s">
        <v>861</v>
      </c>
      <c r="D122" s="41" t="s">
        <v>676</v>
      </c>
      <c r="E122" s="41">
        <v>8</v>
      </c>
      <c r="F122" s="41">
        <v>6</v>
      </c>
      <c r="G122" s="41" t="s">
        <v>767</v>
      </c>
      <c r="H122" s="41" t="s">
        <v>832</v>
      </c>
      <c r="L122">
        <f t="shared" si="7"/>
        <v>2</v>
      </c>
      <c r="M122">
        <f t="shared" si="8"/>
        <v>22</v>
      </c>
    </row>
    <row r="123" spans="1:13" x14ac:dyDescent="0.35">
      <c r="D123" s="41" t="s">
        <v>738</v>
      </c>
      <c r="E123" s="41">
        <v>23</v>
      </c>
      <c r="F123" s="41">
        <v>11</v>
      </c>
      <c r="G123" s="41" t="s">
        <v>646</v>
      </c>
      <c r="H123" s="41" t="s">
        <v>740</v>
      </c>
      <c r="L123">
        <f t="shared" si="7"/>
        <v>12</v>
      </c>
      <c r="M123">
        <f t="shared" si="8"/>
        <v>32</v>
      </c>
    </row>
    <row r="124" spans="1:13" x14ac:dyDescent="0.35">
      <c r="B124" s="39">
        <v>41949</v>
      </c>
      <c r="C124" t="s">
        <v>862</v>
      </c>
      <c r="D124" s="41" t="s">
        <v>641</v>
      </c>
      <c r="E124" s="41">
        <v>17</v>
      </c>
      <c r="F124" s="41">
        <v>12</v>
      </c>
      <c r="G124" s="41" t="s">
        <v>742</v>
      </c>
      <c r="H124" s="41" t="s">
        <v>710</v>
      </c>
      <c r="L124">
        <f t="shared" si="7"/>
        <v>5</v>
      </c>
      <c r="M124">
        <f t="shared" si="8"/>
        <v>25</v>
      </c>
    </row>
    <row r="125" spans="1:13" x14ac:dyDescent="0.35">
      <c r="D125" s="41" t="s">
        <v>734</v>
      </c>
      <c r="E125" s="41">
        <v>16</v>
      </c>
      <c r="F125" s="41">
        <v>7</v>
      </c>
      <c r="G125" s="41" t="s">
        <v>747</v>
      </c>
      <c r="H125" s="41" t="s">
        <v>821</v>
      </c>
      <c r="L125">
        <f t="shared" si="7"/>
        <v>9</v>
      </c>
      <c r="M125">
        <f t="shared" si="8"/>
        <v>29</v>
      </c>
    </row>
    <row r="126" spans="1:13" x14ac:dyDescent="0.35">
      <c r="C126" t="s">
        <v>863</v>
      </c>
      <c r="D126" s="41" t="s">
        <v>737</v>
      </c>
      <c r="E126" s="41">
        <v>14</v>
      </c>
      <c r="F126" s="41">
        <v>5</v>
      </c>
      <c r="G126" s="41" t="s">
        <v>642</v>
      </c>
      <c r="H126" s="41" t="s">
        <v>821</v>
      </c>
      <c r="L126">
        <f t="shared" si="7"/>
        <v>9</v>
      </c>
      <c r="M126">
        <f t="shared" si="8"/>
        <v>29</v>
      </c>
    </row>
    <row r="127" spans="1:13" x14ac:dyDescent="0.35">
      <c r="C127" t="s">
        <v>837</v>
      </c>
      <c r="D127" s="41" t="s">
        <v>648</v>
      </c>
      <c r="E127" s="41">
        <v>11</v>
      </c>
      <c r="F127" s="41">
        <v>8</v>
      </c>
      <c r="G127" s="41" t="s">
        <v>755</v>
      </c>
      <c r="H127" s="41" t="s">
        <v>864</v>
      </c>
      <c r="L127">
        <f t="shared" si="7"/>
        <v>3</v>
      </c>
      <c r="M127">
        <f t="shared" si="8"/>
        <v>23</v>
      </c>
    </row>
    <row r="128" spans="1:13" x14ac:dyDescent="0.35">
      <c r="C128" t="s">
        <v>815</v>
      </c>
      <c r="D128" s="41" t="s">
        <v>649</v>
      </c>
      <c r="E128" s="41">
        <v>21</v>
      </c>
      <c r="F128" s="41">
        <v>12</v>
      </c>
      <c r="G128" s="41" t="s">
        <v>785</v>
      </c>
      <c r="H128" s="41" t="s">
        <v>773</v>
      </c>
      <c r="L128">
        <f t="shared" si="7"/>
        <v>9</v>
      </c>
      <c r="M128">
        <f t="shared" si="8"/>
        <v>29</v>
      </c>
    </row>
    <row r="129" spans="2:13" x14ac:dyDescent="0.35">
      <c r="C129" t="s">
        <v>849</v>
      </c>
      <c r="D129" s="41" t="s">
        <v>712</v>
      </c>
      <c r="E129" s="41">
        <v>15</v>
      </c>
      <c r="F129" s="41">
        <v>9</v>
      </c>
      <c r="G129" s="41" t="s">
        <v>643</v>
      </c>
      <c r="H129" s="41" t="s">
        <v>781</v>
      </c>
      <c r="L129">
        <f t="shared" si="7"/>
        <v>6</v>
      </c>
      <c r="M129">
        <f t="shared" si="8"/>
        <v>26</v>
      </c>
    </row>
    <row r="130" spans="2:13" x14ac:dyDescent="0.35">
      <c r="C130" t="s">
        <v>865</v>
      </c>
      <c r="D130" s="41" t="s">
        <v>644</v>
      </c>
      <c r="E130" s="41">
        <v>25</v>
      </c>
      <c r="F130" s="41">
        <v>18</v>
      </c>
      <c r="G130" s="41" t="s">
        <v>771</v>
      </c>
      <c r="H130" s="41" t="s">
        <v>866</v>
      </c>
      <c r="L130">
        <f t="shared" ref="L130:L193" si="9">E130-F130</f>
        <v>7</v>
      </c>
      <c r="M130">
        <f t="shared" si="8"/>
        <v>27</v>
      </c>
    </row>
    <row r="131" spans="2:13" x14ac:dyDescent="0.35">
      <c r="B131" s="39">
        <v>41957</v>
      </c>
      <c r="C131" t="s">
        <v>828</v>
      </c>
      <c r="D131" s="41" t="s">
        <v>650</v>
      </c>
      <c r="E131" s="41">
        <v>15</v>
      </c>
      <c r="F131" s="41">
        <v>9</v>
      </c>
      <c r="G131" s="41" t="s">
        <v>665</v>
      </c>
      <c r="H131" s="41" t="s">
        <v>710</v>
      </c>
      <c r="L131">
        <f t="shared" si="9"/>
        <v>6</v>
      </c>
      <c r="M131">
        <f t="shared" ref="M131:M194" si="10">24+L131-4</f>
        <v>26</v>
      </c>
    </row>
    <row r="132" spans="2:13" x14ac:dyDescent="0.35">
      <c r="C132" t="s">
        <v>830</v>
      </c>
      <c r="D132" s="41" t="s">
        <v>758</v>
      </c>
      <c r="E132" s="41">
        <v>22</v>
      </c>
      <c r="F132" s="41">
        <v>7</v>
      </c>
      <c r="G132" s="41" t="s">
        <v>701</v>
      </c>
      <c r="H132" s="41" t="s">
        <v>844</v>
      </c>
      <c r="L132">
        <f t="shared" si="9"/>
        <v>15</v>
      </c>
      <c r="M132">
        <f t="shared" si="10"/>
        <v>35</v>
      </c>
    </row>
    <row r="133" spans="2:13" x14ac:dyDescent="0.35">
      <c r="D133" s="41" t="s">
        <v>765</v>
      </c>
      <c r="E133" s="41">
        <v>17</v>
      </c>
      <c r="F133" s="41">
        <v>7</v>
      </c>
      <c r="G133" s="41" t="s">
        <v>640</v>
      </c>
      <c r="H133" s="41" t="s">
        <v>820</v>
      </c>
      <c r="L133">
        <f t="shared" si="9"/>
        <v>10</v>
      </c>
      <c r="M133">
        <f t="shared" si="10"/>
        <v>30</v>
      </c>
    </row>
    <row r="134" spans="2:13" x14ac:dyDescent="0.35">
      <c r="D134" s="41" t="s">
        <v>647</v>
      </c>
      <c r="E134" s="41">
        <v>15</v>
      </c>
      <c r="F134" s="41">
        <v>11</v>
      </c>
      <c r="G134" s="41" t="s">
        <v>661</v>
      </c>
      <c r="H134" s="41" t="s">
        <v>721</v>
      </c>
      <c r="L134">
        <f t="shared" si="9"/>
        <v>4</v>
      </c>
      <c r="M134">
        <f t="shared" si="10"/>
        <v>24</v>
      </c>
    </row>
    <row r="135" spans="2:13" x14ac:dyDescent="0.35">
      <c r="C135" t="s">
        <v>867</v>
      </c>
      <c r="D135" s="41" t="s">
        <v>731</v>
      </c>
      <c r="E135" s="41">
        <v>12</v>
      </c>
      <c r="F135" s="41">
        <v>10</v>
      </c>
      <c r="G135" s="41" t="s">
        <v>465</v>
      </c>
      <c r="H135" s="41" t="s">
        <v>770</v>
      </c>
      <c r="L135">
        <f t="shared" si="9"/>
        <v>2</v>
      </c>
      <c r="M135">
        <f t="shared" si="10"/>
        <v>22</v>
      </c>
    </row>
    <row r="136" spans="2:13" x14ac:dyDescent="0.35">
      <c r="D136" s="41" t="s">
        <v>678</v>
      </c>
      <c r="E136" s="41">
        <v>13</v>
      </c>
      <c r="F136" s="41">
        <v>7</v>
      </c>
      <c r="G136" s="41" t="s">
        <v>777</v>
      </c>
      <c r="H136" s="41" t="s">
        <v>775</v>
      </c>
      <c r="L136">
        <f t="shared" si="9"/>
        <v>6</v>
      </c>
      <c r="M136">
        <f t="shared" si="10"/>
        <v>26</v>
      </c>
    </row>
    <row r="137" spans="2:13" x14ac:dyDescent="0.35">
      <c r="D137" s="41" t="s">
        <v>582</v>
      </c>
      <c r="E137" s="41">
        <v>18</v>
      </c>
      <c r="F137" s="41">
        <v>15</v>
      </c>
      <c r="G137" s="41" t="s">
        <v>753</v>
      </c>
      <c r="H137" s="41" t="s">
        <v>744</v>
      </c>
      <c r="L137">
        <f t="shared" si="9"/>
        <v>3</v>
      </c>
      <c r="M137">
        <f t="shared" si="10"/>
        <v>23</v>
      </c>
    </row>
    <row r="138" spans="2:13" x14ac:dyDescent="0.35">
      <c r="C138" t="s">
        <v>800</v>
      </c>
      <c r="D138" s="41" t="s">
        <v>757</v>
      </c>
      <c r="E138" s="41">
        <v>18</v>
      </c>
      <c r="F138" s="41">
        <v>12</v>
      </c>
      <c r="G138" s="41" t="s">
        <v>679</v>
      </c>
      <c r="H138" s="41" t="s">
        <v>769</v>
      </c>
      <c r="L138">
        <f t="shared" si="9"/>
        <v>6</v>
      </c>
      <c r="M138">
        <f t="shared" si="10"/>
        <v>26</v>
      </c>
    </row>
    <row r="139" spans="2:13" x14ac:dyDescent="0.35">
      <c r="C139" t="s">
        <v>807</v>
      </c>
      <c r="D139" s="41" t="s">
        <v>467</v>
      </c>
      <c r="E139" s="41">
        <v>13</v>
      </c>
      <c r="F139" s="41">
        <v>12</v>
      </c>
      <c r="G139" s="41" t="s">
        <v>768</v>
      </c>
      <c r="H139" s="41" t="s">
        <v>868</v>
      </c>
      <c r="I139" t="s">
        <v>869</v>
      </c>
      <c r="L139">
        <f t="shared" si="9"/>
        <v>1</v>
      </c>
      <c r="M139">
        <f t="shared" si="10"/>
        <v>21</v>
      </c>
    </row>
    <row r="140" spans="2:13" x14ac:dyDescent="0.35">
      <c r="D140" s="41" t="s">
        <v>774</v>
      </c>
      <c r="E140" s="41">
        <v>12</v>
      </c>
      <c r="F140" s="41">
        <v>8</v>
      </c>
      <c r="G140" s="41" t="s">
        <v>680</v>
      </c>
      <c r="H140" s="41" t="s">
        <v>870</v>
      </c>
      <c r="L140">
        <f t="shared" si="9"/>
        <v>4</v>
      </c>
      <c r="M140">
        <f t="shared" si="10"/>
        <v>24</v>
      </c>
    </row>
    <row r="141" spans="2:13" x14ac:dyDescent="0.35">
      <c r="C141" t="s">
        <v>802</v>
      </c>
      <c r="D141" s="41" t="s">
        <v>751</v>
      </c>
      <c r="E141" s="41">
        <v>19</v>
      </c>
      <c r="F141" s="41">
        <v>13</v>
      </c>
      <c r="G141" s="41" t="s">
        <v>784</v>
      </c>
      <c r="H141" s="41" t="s">
        <v>820</v>
      </c>
      <c r="I141" t="s">
        <v>871</v>
      </c>
      <c r="L141">
        <f t="shared" si="9"/>
        <v>6</v>
      </c>
      <c r="M141">
        <f t="shared" si="10"/>
        <v>26</v>
      </c>
    </row>
    <row r="142" spans="2:13" x14ac:dyDescent="0.35">
      <c r="C142" t="s">
        <v>872</v>
      </c>
      <c r="D142" s="41" t="s">
        <v>761</v>
      </c>
      <c r="E142" s="41">
        <v>19</v>
      </c>
      <c r="F142" s="41">
        <v>14</v>
      </c>
      <c r="G142" s="41" t="s">
        <v>704</v>
      </c>
      <c r="H142" s="41" t="s">
        <v>773</v>
      </c>
      <c r="L142">
        <f t="shared" si="9"/>
        <v>5</v>
      </c>
      <c r="M142">
        <f t="shared" si="10"/>
        <v>25</v>
      </c>
    </row>
    <row r="143" spans="2:13" x14ac:dyDescent="0.35">
      <c r="D143" s="41" t="s">
        <v>713</v>
      </c>
      <c r="E143" s="41">
        <v>15</v>
      </c>
      <c r="F143" s="41">
        <v>9</v>
      </c>
      <c r="G143" s="41" t="s">
        <v>242</v>
      </c>
      <c r="H143" s="41" t="s">
        <v>748</v>
      </c>
      <c r="L143">
        <f t="shared" si="9"/>
        <v>6</v>
      </c>
      <c r="M143">
        <f t="shared" si="10"/>
        <v>26</v>
      </c>
    </row>
    <row r="144" spans="2:13" x14ac:dyDescent="0.35">
      <c r="D144" s="41" t="s">
        <v>706</v>
      </c>
      <c r="E144" s="41">
        <v>17</v>
      </c>
      <c r="F144" s="41">
        <v>16</v>
      </c>
      <c r="G144" s="41" t="s">
        <v>723</v>
      </c>
      <c r="H144" s="41" t="s">
        <v>786</v>
      </c>
      <c r="L144">
        <f t="shared" si="9"/>
        <v>1</v>
      </c>
      <c r="M144">
        <f t="shared" si="10"/>
        <v>21</v>
      </c>
    </row>
    <row r="145" spans="3:13" x14ac:dyDescent="0.35">
      <c r="D145" s="41" t="s">
        <v>671</v>
      </c>
      <c r="E145" s="41">
        <v>13</v>
      </c>
      <c r="F145" s="41">
        <v>12</v>
      </c>
      <c r="G145" s="41" t="s">
        <v>660</v>
      </c>
      <c r="H145" s="41" t="s">
        <v>781</v>
      </c>
      <c r="L145">
        <f t="shared" si="9"/>
        <v>1</v>
      </c>
      <c r="M145">
        <f t="shared" si="10"/>
        <v>21</v>
      </c>
    </row>
    <row r="146" spans="3:13" x14ac:dyDescent="0.35">
      <c r="D146" s="41" t="s">
        <v>779</v>
      </c>
      <c r="E146" s="41">
        <v>16</v>
      </c>
      <c r="F146" s="41">
        <v>12</v>
      </c>
      <c r="G146" s="41" t="s">
        <v>722</v>
      </c>
      <c r="H146" s="41" t="s">
        <v>796</v>
      </c>
      <c r="L146">
        <f t="shared" si="9"/>
        <v>4</v>
      </c>
      <c r="M146">
        <f t="shared" si="10"/>
        <v>24</v>
      </c>
    </row>
    <row r="147" spans="3:13" x14ac:dyDescent="0.35">
      <c r="D147" s="41" t="s">
        <v>729</v>
      </c>
      <c r="E147" s="41">
        <v>20</v>
      </c>
      <c r="F147" s="41">
        <v>12</v>
      </c>
      <c r="G147" s="41" t="s">
        <v>783</v>
      </c>
      <c r="H147" s="41" t="s">
        <v>740</v>
      </c>
      <c r="L147">
        <f t="shared" si="9"/>
        <v>8</v>
      </c>
      <c r="M147">
        <f t="shared" si="10"/>
        <v>28</v>
      </c>
    </row>
    <row r="148" spans="3:13" x14ac:dyDescent="0.35">
      <c r="D148" s="41" t="s">
        <v>677</v>
      </c>
      <c r="E148" s="41">
        <v>11</v>
      </c>
      <c r="F148" s="41">
        <v>8</v>
      </c>
      <c r="G148" s="41" t="s">
        <v>700</v>
      </c>
      <c r="H148" s="41" t="s">
        <v>842</v>
      </c>
      <c r="L148">
        <f t="shared" si="9"/>
        <v>3</v>
      </c>
      <c r="M148">
        <f t="shared" si="10"/>
        <v>23</v>
      </c>
    </row>
    <row r="149" spans="3:13" x14ac:dyDescent="0.35">
      <c r="C149" t="s">
        <v>873</v>
      </c>
      <c r="D149" s="41" t="s">
        <v>672</v>
      </c>
      <c r="E149" s="41">
        <v>15</v>
      </c>
      <c r="F149" s="41">
        <v>8</v>
      </c>
      <c r="G149" s="41" t="s">
        <v>716</v>
      </c>
      <c r="H149" s="41" t="s">
        <v>762</v>
      </c>
      <c r="L149">
        <f t="shared" si="9"/>
        <v>7</v>
      </c>
      <c r="M149">
        <f t="shared" si="10"/>
        <v>27</v>
      </c>
    </row>
    <row r="150" spans="3:13" x14ac:dyDescent="0.35">
      <c r="C150" t="s">
        <v>797</v>
      </c>
      <c r="D150" s="41" t="s">
        <v>692</v>
      </c>
      <c r="E150" s="41">
        <v>13</v>
      </c>
      <c r="F150" s="41">
        <v>9</v>
      </c>
      <c r="G150" s="41" t="s">
        <v>670</v>
      </c>
      <c r="H150" s="41" t="s">
        <v>710</v>
      </c>
      <c r="L150">
        <f t="shared" si="9"/>
        <v>4</v>
      </c>
      <c r="M150">
        <f t="shared" si="10"/>
        <v>24</v>
      </c>
    </row>
    <row r="151" spans="3:13" x14ac:dyDescent="0.35">
      <c r="D151" s="41" t="s">
        <v>750</v>
      </c>
      <c r="E151" s="41">
        <v>14</v>
      </c>
      <c r="F151" s="41">
        <v>13</v>
      </c>
      <c r="G151" s="41" t="s">
        <v>709</v>
      </c>
      <c r="H151" s="41" t="s">
        <v>741</v>
      </c>
      <c r="L151">
        <f t="shared" si="9"/>
        <v>1</v>
      </c>
      <c r="M151">
        <f t="shared" si="10"/>
        <v>21</v>
      </c>
    </row>
    <row r="152" spans="3:13" x14ac:dyDescent="0.35">
      <c r="D152" s="41" t="s">
        <v>743</v>
      </c>
      <c r="E152" s="41">
        <v>15</v>
      </c>
      <c r="F152" s="41">
        <v>8</v>
      </c>
      <c r="G152" s="41" t="s">
        <v>466</v>
      </c>
      <c r="H152" s="41" t="s">
        <v>874</v>
      </c>
      <c r="L152">
        <f t="shared" si="9"/>
        <v>7</v>
      </c>
      <c r="M152">
        <f t="shared" si="10"/>
        <v>27</v>
      </c>
    </row>
    <row r="153" spans="3:13" x14ac:dyDescent="0.35">
      <c r="D153" s="41" t="s">
        <v>746</v>
      </c>
      <c r="E153" s="41">
        <v>19</v>
      </c>
      <c r="F153" s="41">
        <v>3</v>
      </c>
      <c r="G153" s="41" t="s">
        <v>732</v>
      </c>
      <c r="H153" s="41" t="s">
        <v>875</v>
      </c>
      <c r="L153">
        <f t="shared" si="9"/>
        <v>16</v>
      </c>
      <c r="M153">
        <f t="shared" si="10"/>
        <v>36</v>
      </c>
    </row>
    <row r="154" spans="3:13" x14ac:dyDescent="0.35">
      <c r="C154" t="s">
        <v>837</v>
      </c>
      <c r="D154" s="41" t="s">
        <v>760</v>
      </c>
      <c r="E154" s="41">
        <v>14</v>
      </c>
      <c r="F154" s="41">
        <v>11</v>
      </c>
      <c r="G154" s="41" t="s">
        <v>772</v>
      </c>
      <c r="H154" s="41" t="s">
        <v>707</v>
      </c>
      <c r="L154">
        <f t="shared" si="9"/>
        <v>3</v>
      </c>
      <c r="M154">
        <f t="shared" si="10"/>
        <v>23</v>
      </c>
    </row>
    <row r="155" spans="3:13" x14ac:dyDescent="0.35">
      <c r="C155" t="s">
        <v>876</v>
      </c>
      <c r="D155" s="41" t="s">
        <v>673</v>
      </c>
      <c r="E155" s="41">
        <v>21</v>
      </c>
      <c r="F155" s="41">
        <v>8</v>
      </c>
      <c r="G155" s="41" t="s">
        <v>718</v>
      </c>
      <c r="H155" s="41" t="s">
        <v>844</v>
      </c>
      <c r="L155">
        <f t="shared" si="9"/>
        <v>13</v>
      </c>
      <c r="M155">
        <f t="shared" si="10"/>
        <v>33</v>
      </c>
    </row>
    <row r="156" spans="3:13" x14ac:dyDescent="0.35">
      <c r="C156" t="s">
        <v>812</v>
      </c>
      <c r="D156" s="41" t="s">
        <v>780</v>
      </c>
      <c r="E156" s="41">
        <v>16</v>
      </c>
      <c r="F156" s="41">
        <v>3</v>
      </c>
      <c r="G156" s="41" t="s">
        <v>693</v>
      </c>
      <c r="H156" s="41" t="s">
        <v>801</v>
      </c>
      <c r="L156">
        <f t="shared" si="9"/>
        <v>13</v>
      </c>
      <c r="M156">
        <f t="shared" si="10"/>
        <v>33</v>
      </c>
    </row>
    <row r="157" spans="3:13" x14ac:dyDescent="0.35">
      <c r="C157" t="s">
        <v>877</v>
      </c>
      <c r="D157" s="41" t="s">
        <v>763</v>
      </c>
      <c r="E157" s="41">
        <v>17</v>
      </c>
      <c r="F157" s="41">
        <v>16</v>
      </c>
      <c r="G157" s="41" t="s">
        <v>792</v>
      </c>
      <c r="H157" s="41" t="s">
        <v>878</v>
      </c>
      <c r="L157">
        <f t="shared" si="9"/>
        <v>1</v>
      </c>
      <c r="M157">
        <f t="shared" si="10"/>
        <v>21</v>
      </c>
    </row>
    <row r="158" spans="3:13" x14ac:dyDescent="0.35">
      <c r="C158" t="s">
        <v>879</v>
      </c>
      <c r="D158" s="41" t="s">
        <v>776</v>
      </c>
      <c r="E158" s="41">
        <v>22</v>
      </c>
      <c r="F158" s="41">
        <v>11</v>
      </c>
      <c r="G158" s="41" t="s">
        <v>720</v>
      </c>
      <c r="H158" s="41" t="s">
        <v>789</v>
      </c>
      <c r="L158">
        <f t="shared" si="9"/>
        <v>11</v>
      </c>
      <c r="M158">
        <f t="shared" si="10"/>
        <v>31</v>
      </c>
    </row>
    <row r="159" spans="3:13" x14ac:dyDescent="0.35">
      <c r="D159" s="41" t="s">
        <v>245</v>
      </c>
      <c r="E159" s="41">
        <v>19</v>
      </c>
      <c r="F159" s="41">
        <v>7</v>
      </c>
      <c r="G159" s="41" t="s">
        <v>756</v>
      </c>
      <c r="H159" s="41" t="s">
        <v>821</v>
      </c>
      <c r="L159">
        <f t="shared" si="9"/>
        <v>12</v>
      </c>
      <c r="M159">
        <f t="shared" si="10"/>
        <v>32</v>
      </c>
    </row>
    <row r="160" spans="3:13" x14ac:dyDescent="0.35">
      <c r="D160" s="41" t="s">
        <v>663</v>
      </c>
      <c r="E160" s="41">
        <v>23</v>
      </c>
      <c r="F160" s="41">
        <v>7</v>
      </c>
      <c r="G160" s="41" t="s">
        <v>726</v>
      </c>
      <c r="H160" s="41" t="s">
        <v>844</v>
      </c>
      <c r="L160">
        <f t="shared" si="9"/>
        <v>16</v>
      </c>
      <c r="M160">
        <f t="shared" si="10"/>
        <v>36</v>
      </c>
    </row>
    <row r="161" spans="1:13" ht="15" thickBot="1" x14ac:dyDescent="0.4">
      <c r="C161" s="40" t="s">
        <v>880</v>
      </c>
      <c r="D161" s="42" t="s">
        <v>778</v>
      </c>
      <c r="E161" s="42">
        <v>25</v>
      </c>
      <c r="F161" s="42">
        <v>5</v>
      </c>
      <c r="G161" s="42" t="s">
        <v>764</v>
      </c>
      <c r="H161" s="42" t="s">
        <v>874</v>
      </c>
      <c r="I161" s="40"/>
      <c r="L161">
        <f t="shared" si="9"/>
        <v>20</v>
      </c>
      <c r="M161">
        <f t="shared" si="10"/>
        <v>40</v>
      </c>
    </row>
    <row r="162" spans="1:13" x14ac:dyDescent="0.35">
      <c r="A162" t="s">
        <v>1120</v>
      </c>
      <c r="C162" s="41" t="s">
        <v>822</v>
      </c>
      <c r="D162" s="41" t="s">
        <v>713</v>
      </c>
      <c r="E162" s="41">
        <v>13</v>
      </c>
      <c r="F162" s="41">
        <v>4</v>
      </c>
      <c r="G162" s="41" t="s">
        <v>676</v>
      </c>
      <c r="H162" s="41" t="s">
        <v>852</v>
      </c>
      <c r="L162">
        <f t="shared" si="9"/>
        <v>9</v>
      </c>
      <c r="M162">
        <f t="shared" si="10"/>
        <v>29</v>
      </c>
    </row>
    <row r="163" spans="1:13" x14ac:dyDescent="0.35">
      <c r="D163" s="41" t="s">
        <v>738</v>
      </c>
      <c r="E163" s="41">
        <v>19</v>
      </c>
      <c r="F163" s="41">
        <v>13</v>
      </c>
      <c r="G163" s="41" t="s">
        <v>761</v>
      </c>
      <c r="H163" s="41" t="s">
        <v>881</v>
      </c>
      <c r="L163">
        <f t="shared" si="9"/>
        <v>6</v>
      </c>
      <c r="M163">
        <f t="shared" si="10"/>
        <v>26</v>
      </c>
    </row>
    <row r="164" spans="1:13" x14ac:dyDescent="0.35">
      <c r="C164" t="s">
        <v>882</v>
      </c>
      <c r="D164" s="41" t="s">
        <v>729</v>
      </c>
      <c r="E164" s="41">
        <v>22</v>
      </c>
      <c r="F164" s="41">
        <v>17</v>
      </c>
      <c r="G164" s="41" t="s">
        <v>641</v>
      </c>
      <c r="H164" s="41" t="s">
        <v>759</v>
      </c>
      <c r="L164">
        <f t="shared" si="9"/>
        <v>5</v>
      </c>
      <c r="M164">
        <f t="shared" si="10"/>
        <v>25</v>
      </c>
    </row>
    <row r="165" spans="1:13" x14ac:dyDescent="0.35">
      <c r="D165" s="41" t="s">
        <v>747</v>
      </c>
      <c r="E165" s="41">
        <v>12</v>
      </c>
      <c r="F165" s="41">
        <v>10</v>
      </c>
      <c r="G165" s="41" t="s">
        <v>779</v>
      </c>
      <c r="H165" s="41" t="s">
        <v>721</v>
      </c>
      <c r="L165">
        <f t="shared" si="9"/>
        <v>2</v>
      </c>
      <c r="M165">
        <f t="shared" si="10"/>
        <v>22</v>
      </c>
    </row>
    <row r="166" spans="1:13" x14ac:dyDescent="0.35">
      <c r="C166" t="s">
        <v>883</v>
      </c>
      <c r="D166" s="41" t="s">
        <v>750</v>
      </c>
      <c r="E166" s="41">
        <v>16</v>
      </c>
      <c r="F166" s="41">
        <v>7</v>
      </c>
      <c r="G166" s="41" t="s">
        <v>737</v>
      </c>
      <c r="H166" s="41" t="s">
        <v>739</v>
      </c>
      <c r="L166">
        <f t="shared" si="9"/>
        <v>9</v>
      </c>
      <c r="M166">
        <f t="shared" si="10"/>
        <v>29</v>
      </c>
    </row>
    <row r="167" spans="1:13" x14ac:dyDescent="0.35">
      <c r="C167" t="s">
        <v>884</v>
      </c>
      <c r="D167" s="41" t="s">
        <v>648</v>
      </c>
      <c r="E167" s="41">
        <v>21</v>
      </c>
      <c r="F167" s="41">
        <v>17</v>
      </c>
      <c r="G167" s="41" t="s">
        <v>670</v>
      </c>
      <c r="H167" s="41" t="s">
        <v>719</v>
      </c>
      <c r="L167">
        <f t="shared" si="9"/>
        <v>4</v>
      </c>
      <c r="M167">
        <f t="shared" si="10"/>
        <v>24</v>
      </c>
    </row>
    <row r="168" spans="1:13" x14ac:dyDescent="0.35">
      <c r="C168" t="s">
        <v>885</v>
      </c>
      <c r="D168" s="41" t="s">
        <v>673</v>
      </c>
      <c r="E168" s="41">
        <v>20</v>
      </c>
      <c r="F168" s="41">
        <v>11</v>
      </c>
      <c r="G168" s="41" t="s">
        <v>649</v>
      </c>
      <c r="H168" s="41" t="s">
        <v>796</v>
      </c>
      <c r="I168" t="s">
        <v>886</v>
      </c>
      <c r="L168">
        <f t="shared" si="9"/>
        <v>9</v>
      </c>
      <c r="M168">
        <f t="shared" si="10"/>
        <v>29</v>
      </c>
    </row>
    <row r="169" spans="1:13" x14ac:dyDescent="0.35">
      <c r="C169" t="s">
        <v>855</v>
      </c>
      <c r="D169" s="41" t="s">
        <v>712</v>
      </c>
      <c r="E169" s="41">
        <v>20</v>
      </c>
      <c r="F169" s="41">
        <v>19</v>
      </c>
      <c r="G169" s="41" t="s">
        <v>772</v>
      </c>
      <c r="H169" s="41" t="s">
        <v>887</v>
      </c>
      <c r="I169" t="s">
        <v>888</v>
      </c>
      <c r="L169">
        <f t="shared" si="9"/>
        <v>1</v>
      </c>
      <c r="M169">
        <f t="shared" si="10"/>
        <v>21</v>
      </c>
    </row>
    <row r="170" spans="1:13" x14ac:dyDescent="0.35">
      <c r="C170" t="s">
        <v>830</v>
      </c>
      <c r="D170" s="41" t="s">
        <v>771</v>
      </c>
      <c r="E170" s="41">
        <v>24</v>
      </c>
      <c r="F170" s="41">
        <v>11</v>
      </c>
      <c r="G170" s="41" t="s">
        <v>245</v>
      </c>
      <c r="H170" s="41" t="s">
        <v>820</v>
      </c>
      <c r="L170">
        <f t="shared" si="9"/>
        <v>13</v>
      </c>
      <c r="M170">
        <f t="shared" si="10"/>
        <v>33</v>
      </c>
    </row>
    <row r="171" spans="1:13" x14ac:dyDescent="0.35">
      <c r="D171" s="41" t="s">
        <v>665</v>
      </c>
      <c r="E171" s="41">
        <v>19</v>
      </c>
      <c r="F171" s="41">
        <v>13</v>
      </c>
      <c r="G171" s="41" t="s">
        <v>720</v>
      </c>
      <c r="H171" s="41" t="s">
        <v>759</v>
      </c>
      <c r="L171">
        <f t="shared" si="9"/>
        <v>6</v>
      </c>
      <c r="M171">
        <f t="shared" si="10"/>
        <v>26</v>
      </c>
    </row>
    <row r="172" spans="1:13" x14ac:dyDescent="0.35">
      <c r="D172" s="41" t="s">
        <v>671</v>
      </c>
      <c r="E172" s="41">
        <v>19</v>
      </c>
      <c r="F172" s="41">
        <v>16</v>
      </c>
      <c r="G172" s="41" t="s">
        <v>701</v>
      </c>
      <c r="H172" s="41" t="s">
        <v>702</v>
      </c>
      <c r="L172">
        <f t="shared" si="9"/>
        <v>3</v>
      </c>
      <c r="M172">
        <f t="shared" si="10"/>
        <v>23</v>
      </c>
    </row>
    <row r="173" spans="1:13" x14ac:dyDescent="0.35">
      <c r="D173" s="41" t="s">
        <v>765</v>
      </c>
      <c r="E173" s="41">
        <v>18</v>
      </c>
      <c r="F173" s="41">
        <v>14</v>
      </c>
      <c r="G173" s="41" t="s">
        <v>723</v>
      </c>
      <c r="H173" s="41" t="s">
        <v>889</v>
      </c>
      <c r="L173">
        <f t="shared" si="9"/>
        <v>4</v>
      </c>
      <c r="M173">
        <f t="shared" si="10"/>
        <v>24</v>
      </c>
    </row>
    <row r="174" spans="1:13" x14ac:dyDescent="0.35">
      <c r="C174" t="s">
        <v>804</v>
      </c>
      <c r="D174" s="41" t="s">
        <v>661</v>
      </c>
      <c r="E174" s="41">
        <v>24</v>
      </c>
      <c r="F174" s="41">
        <v>23</v>
      </c>
      <c r="G174" s="41" t="s">
        <v>672</v>
      </c>
      <c r="H174" s="41" t="s">
        <v>890</v>
      </c>
      <c r="I174" t="s">
        <v>891</v>
      </c>
      <c r="L174">
        <f t="shared" si="9"/>
        <v>1</v>
      </c>
      <c r="M174">
        <f t="shared" si="10"/>
        <v>21</v>
      </c>
    </row>
    <row r="175" spans="1:13" x14ac:dyDescent="0.35">
      <c r="D175" s="41" t="s">
        <v>700</v>
      </c>
      <c r="E175" s="41">
        <v>24</v>
      </c>
      <c r="F175" s="41">
        <v>13</v>
      </c>
      <c r="G175" s="41" t="s">
        <v>465</v>
      </c>
      <c r="H175" s="41" t="s">
        <v>892</v>
      </c>
      <c r="L175">
        <f t="shared" si="9"/>
        <v>11</v>
      </c>
      <c r="M175">
        <f t="shared" si="10"/>
        <v>31</v>
      </c>
    </row>
    <row r="176" spans="1:13" x14ac:dyDescent="0.35">
      <c r="D176" s="41" t="s">
        <v>746</v>
      </c>
      <c r="E176" s="41">
        <v>19</v>
      </c>
      <c r="F176" s="41">
        <v>12</v>
      </c>
      <c r="G176" s="41" t="s">
        <v>678</v>
      </c>
      <c r="H176" s="41" t="s">
        <v>727</v>
      </c>
      <c r="L176">
        <f t="shared" si="9"/>
        <v>7</v>
      </c>
      <c r="M176">
        <f t="shared" si="10"/>
        <v>27</v>
      </c>
    </row>
    <row r="177" spans="3:13" x14ac:dyDescent="0.35">
      <c r="D177" s="41" t="s">
        <v>466</v>
      </c>
      <c r="E177" s="41">
        <v>13</v>
      </c>
      <c r="F177" s="41">
        <v>11</v>
      </c>
      <c r="G177" s="41" t="s">
        <v>582</v>
      </c>
      <c r="H177" s="41" t="s">
        <v>796</v>
      </c>
      <c r="L177">
        <f t="shared" si="9"/>
        <v>2</v>
      </c>
      <c r="M177">
        <f t="shared" si="10"/>
        <v>22</v>
      </c>
    </row>
    <row r="178" spans="3:13" x14ac:dyDescent="0.35">
      <c r="C178" t="s">
        <v>893</v>
      </c>
      <c r="D178" s="41" t="s">
        <v>763</v>
      </c>
      <c r="E178" s="41">
        <v>20</v>
      </c>
      <c r="F178" s="41">
        <v>9</v>
      </c>
      <c r="G178" s="41" t="s">
        <v>757</v>
      </c>
      <c r="H178" s="41" t="s">
        <v>821</v>
      </c>
      <c r="L178">
        <f t="shared" si="9"/>
        <v>11</v>
      </c>
      <c r="M178">
        <f t="shared" si="10"/>
        <v>31</v>
      </c>
    </row>
    <row r="179" spans="3:13" x14ac:dyDescent="0.35">
      <c r="C179" t="s">
        <v>894</v>
      </c>
      <c r="D179" s="41" t="s">
        <v>467</v>
      </c>
      <c r="E179" s="41">
        <v>17</v>
      </c>
      <c r="F179" s="41">
        <v>15</v>
      </c>
      <c r="G179" s="41" t="s">
        <v>780</v>
      </c>
      <c r="H179" s="41" t="s">
        <v>786</v>
      </c>
      <c r="I179" t="s">
        <v>895</v>
      </c>
      <c r="L179">
        <f t="shared" si="9"/>
        <v>2</v>
      </c>
      <c r="M179">
        <f t="shared" si="10"/>
        <v>22</v>
      </c>
    </row>
    <row r="180" spans="3:13" x14ac:dyDescent="0.35">
      <c r="D180" s="41" t="s">
        <v>663</v>
      </c>
      <c r="E180" s="41">
        <v>22</v>
      </c>
      <c r="F180" s="41">
        <v>10</v>
      </c>
      <c r="G180" s="41" t="s">
        <v>774</v>
      </c>
      <c r="H180" s="41" t="s">
        <v>740</v>
      </c>
      <c r="L180">
        <f t="shared" si="9"/>
        <v>12</v>
      </c>
      <c r="M180">
        <f t="shared" si="10"/>
        <v>32</v>
      </c>
    </row>
    <row r="181" spans="3:13" x14ac:dyDescent="0.35">
      <c r="C181" t="s">
        <v>797</v>
      </c>
      <c r="D181" s="41" t="s">
        <v>751</v>
      </c>
      <c r="E181" s="41">
        <v>15</v>
      </c>
      <c r="F181" s="41">
        <v>12</v>
      </c>
      <c r="G181" s="41" t="s">
        <v>764</v>
      </c>
      <c r="H181" s="41" t="s">
        <v>786</v>
      </c>
      <c r="I181" t="s">
        <v>896</v>
      </c>
      <c r="L181">
        <f t="shared" si="9"/>
        <v>3</v>
      </c>
      <c r="M181">
        <f t="shared" si="10"/>
        <v>23</v>
      </c>
    </row>
    <row r="182" spans="3:13" x14ac:dyDescent="0.35">
      <c r="D182" s="41" t="s">
        <v>646</v>
      </c>
      <c r="E182" s="41">
        <v>23</v>
      </c>
      <c r="F182" s="41">
        <v>3</v>
      </c>
      <c r="G182" s="41" t="s">
        <v>704</v>
      </c>
      <c r="H182" s="41" t="s">
        <v>897</v>
      </c>
      <c r="L182">
        <f t="shared" si="9"/>
        <v>20</v>
      </c>
      <c r="M182">
        <f t="shared" si="10"/>
        <v>40</v>
      </c>
    </row>
    <row r="183" spans="3:13" x14ac:dyDescent="0.35">
      <c r="D183" s="41" t="s">
        <v>242</v>
      </c>
      <c r="E183" s="41">
        <v>18</v>
      </c>
      <c r="F183" s="41">
        <v>16</v>
      </c>
      <c r="G183" s="41" t="s">
        <v>767</v>
      </c>
      <c r="H183" s="41" t="s">
        <v>831</v>
      </c>
      <c r="L183">
        <f t="shared" si="9"/>
        <v>2</v>
      </c>
      <c r="M183">
        <f t="shared" si="10"/>
        <v>22</v>
      </c>
    </row>
    <row r="184" spans="3:13" x14ac:dyDescent="0.35">
      <c r="D184" s="41" t="s">
        <v>640</v>
      </c>
      <c r="E184" s="41">
        <v>14</v>
      </c>
      <c r="F184" s="41">
        <v>7</v>
      </c>
      <c r="G184" s="41" t="s">
        <v>706</v>
      </c>
      <c r="H184" s="41" t="s">
        <v>762</v>
      </c>
      <c r="L184">
        <f t="shared" si="9"/>
        <v>7</v>
      </c>
      <c r="M184">
        <f t="shared" si="10"/>
        <v>27</v>
      </c>
    </row>
    <row r="185" spans="3:13" x14ac:dyDescent="0.35">
      <c r="D185" s="41" t="s">
        <v>660</v>
      </c>
      <c r="E185" s="41">
        <v>11</v>
      </c>
      <c r="F185" s="41">
        <v>7</v>
      </c>
      <c r="G185" s="41" t="s">
        <v>758</v>
      </c>
      <c r="H185" s="41" t="s">
        <v>821</v>
      </c>
      <c r="L185">
        <f t="shared" si="9"/>
        <v>4</v>
      </c>
      <c r="M185">
        <f t="shared" si="10"/>
        <v>24</v>
      </c>
    </row>
    <row r="186" spans="3:13" x14ac:dyDescent="0.35">
      <c r="D186" s="41" t="s">
        <v>734</v>
      </c>
      <c r="E186" s="41">
        <v>24</v>
      </c>
      <c r="F186" s="41">
        <v>2</v>
      </c>
      <c r="G186" s="41" t="s">
        <v>722</v>
      </c>
      <c r="H186" s="41" t="s">
        <v>897</v>
      </c>
      <c r="L186">
        <f t="shared" si="9"/>
        <v>22</v>
      </c>
      <c r="M186">
        <f t="shared" si="10"/>
        <v>42</v>
      </c>
    </row>
    <row r="187" spans="3:13" x14ac:dyDescent="0.35">
      <c r="D187" s="41" t="s">
        <v>783</v>
      </c>
      <c r="E187" s="41">
        <v>13</v>
      </c>
      <c r="F187" s="41">
        <v>11</v>
      </c>
      <c r="G187" s="41" t="s">
        <v>742</v>
      </c>
      <c r="H187" s="41" t="s">
        <v>898</v>
      </c>
      <c r="L187">
        <f t="shared" si="9"/>
        <v>2</v>
      </c>
      <c r="M187">
        <f t="shared" si="10"/>
        <v>22</v>
      </c>
    </row>
    <row r="188" spans="3:13" x14ac:dyDescent="0.35">
      <c r="C188" t="s">
        <v>791</v>
      </c>
      <c r="D188" s="41" t="s">
        <v>731</v>
      </c>
      <c r="E188" s="41">
        <v>22</v>
      </c>
      <c r="F188" s="41">
        <v>4</v>
      </c>
      <c r="G188" s="41" t="s">
        <v>677</v>
      </c>
      <c r="H188" s="41" t="s">
        <v>899</v>
      </c>
      <c r="L188">
        <f t="shared" si="9"/>
        <v>18</v>
      </c>
      <c r="M188">
        <f t="shared" si="10"/>
        <v>38</v>
      </c>
    </row>
    <row r="189" spans="3:13" x14ac:dyDescent="0.35">
      <c r="D189" s="41" t="s">
        <v>716</v>
      </c>
      <c r="E189" s="41">
        <v>16</v>
      </c>
      <c r="F189" s="41">
        <v>10</v>
      </c>
      <c r="G189" s="41" t="s">
        <v>647</v>
      </c>
      <c r="H189" s="41" t="s">
        <v>770</v>
      </c>
      <c r="I189" t="s">
        <v>900</v>
      </c>
      <c r="L189">
        <f t="shared" si="9"/>
        <v>6</v>
      </c>
      <c r="M189">
        <f t="shared" si="10"/>
        <v>26</v>
      </c>
    </row>
    <row r="190" spans="3:13" x14ac:dyDescent="0.35">
      <c r="C190" t="s">
        <v>788</v>
      </c>
      <c r="D190" s="41" t="s">
        <v>692</v>
      </c>
      <c r="E190" s="41">
        <v>11</v>
      </c>
      <c r="F190" s="41">
        <v>5</v>
      </c>
      <c r="G190" s="41" t="s">
        <v>755</v>
      </c>
      <c r="H190" s="41" t="s">
        <v>741</v>
      </c>
      <c r="L190">
        <f t="shared" si="9"/>
        <v>6</v>
      </c>
      <c r="M190">
        <f t="shared" si="10"/>
        <v>26</v>
      </c>
    </row>
    <row r="191" spans="3:13" x14ac:dyDescent="0.35">
      <c r="D191" s="41" t="s">
        <v>642</v>
      </c>
      <c r="E191" s="41">
        <v>15</v>
      </c>
      <c r="F191" s="41">
        <v>8</v>
      </c>
      <c r="G191" s="41" t="s">
        <v>709</v>
      </c>
      <c r="H191" s="41" t="s">
        <v>789</v>
      </c>
      <c r="L191">
        <f t="shared" si="9"/>
        <v>7</v>
      </c>
      <c r="M191">
        <f t="shared" si="10"/>
        <v>27</v>
      </c>
    </row>
    <row r="192" spans="3:13" x14ac:dyDescent="0.35">
      <c r="C192" t="s">
        <v>837</v>
      </c>
      <c r="D192" s="41" t="s">
        <v>743</v>
      </c>
      <c r="E192" s="41">
        <v>13</v>
      </c>
      <c r="F192" s="41">
        <v>10</v>
      </c>
      <c r="G192" s="41" t="s">
        <v>753</v>
      </c>
      <c r="H192" s="41" t="s">
        <v>707</v>
      </c>
      <c r="I192" t="s">
        <v>901</v>
      </c>
      <c r="L192">
        <f t="shared" si="9"/>
        <v>3</v>
      </c>
      <c r="M192">
        <f t="shared" si="10"/>
        <v>23</v>
      </c>
    </row>
    <row r="193" spans="1:13" x14ac:dyDescent="0.35">
      <c r="D193" s="41" t="s">
        <v>732</v>
      </c>
      <c r="E193" s="41">
        <v>17</v>
      </c>
      <c r="F193" s="41">
        <v>8</v>
      </c>
      <c r="G193" s="41" t="s">
        <v>777</v>
      </c>
      <c r="H193" s="41" t="s">
        <v>842</v>
      </c>
      <c r="L193">
        <f t="shared" si="9"/>
        <v>9</v>
      </c>
      <c r="M193">
        <f t="shared" si="10"/>
        <v>29</v>
      </c>
    </row>
    <row r="194" spans="1:13" x14ac:dyDescent="0.35">
      <c r="C194" t="s">
        <v>841</v>
      </c>
      <c r="D194" s="41" t="s">
        <v>760</v>
      </c>
      <c r="E194" s="41">
        <v>15</v>
      </c>
      <c r="F194" s="41">
        <v>11</v>
      </c>
      <c r="G194" s="41" t="s">
        <v>643</v>
      </c>
      <c r="H194" s="41" t="s">
        <v>902</v>
      </c>
      <c r="I194" t="s">
        <v>903</v>
      </c>
      <c r="L194">
        <f t="shared" ref="L194:L257" si="11">E194-F194</f>
        <v>4</v>
      </c>
      <c r="M194">
        <f t="shared" si="10"/>
        <v>24</v>
      </c>
    </row>
    <row r="195" spans="1:13" x14ac:dyDescent="0.35">
      <c r="C195" t="s">
        <v>791</v>
      </c>
      <c r="D195" s="41" t="s">
        <v>718</v>
      </c>
      <c r="E195" s="41">
        <v>20</v>
      </c>
      <c r="F195" s="41">
        <v>8</v>
      </c>
      <c r="G195" s="41" t="s">
        <v>785</v>
      </c>
      <c r="H195" s="41" t="s">
        <v>710</v>
      </c>
      <c r="L195">
        <f t="shared" si="11"/>
        <v>12</v>
      </c>
      <c r="M195">
        <f t="shared" ref="M195:M258" si="12">24+L195-4</f>
        <v>32</v>
      </c>
    </row>
    <row r="196" spans="1:13" x14ac:dyDescent="0.35">
      <c r="D196" s="41" t="s">
        <v>693</v>
      </c>
      <c r="E196" s="41">
        <v>15</v>
      </c>
      <c r="F196" s="41">
        <v>9</v>
      </c>
      <c r="G196" s="41" t="s">
        <v>768</v>
      </c>
      <c r="H196" s="41" t="s">
        <v>741</v>
      </c>
      <c r="L196">
        <f t="shared" si="11"/>
        <v>6</v>
      </c>
      <c r="M196">
        <f t="shared" si="12"/>
        <v>26</v>
      </c>
    </row>
    <row r="197" spans="1:13" x14ac:dyDescent="0.35">
      <c r="D197" s="41" t="s">
        <v>792</v>
      </c>
      <c r="E197" s="41">
        <v>15</v>
      </c>
      <c r="F197" s="41">
        <v>9</v>
      </c>
      <c r="G197" s="41" t="s">
        <v>679</v>
      </c>
      <c r="H197" s="41" t="s">
        <v>789</v>
      </c>
      <c r="L197">
        <f t="shared" si="11"/>
        <v>6</v>
      </c>
      <c r="M197">
        <f t="shared" si="12"/>
        <v>26</v>
      </c>
    </row>
    <row r="198" spans="1:13" x14ac:dyDescent="0.35">
      <c r="C198" t="s">
        <v>904</v>
      </c>
      <c r="D198" s="41" t="s">
        <v>650</v>
      </c>
      <c r="E198" s="41">
        <v>14</v>
      </c>
      <c r="F198" s="41">
        <v>9</v>
      </c>
      <c r="G198" s="41" t="s">
        <v>776</v>
      </c>
      <c r="H198" s="41" t="s">
        <v>793</v>
      </c>
      <c r="L198">
        <f t="shared" si="11"/>
        <v>5</v>
      </c>
      <c r="M198">
        <f t="shared" si="12"/>
        <v>25</v>
      </c>
    </row>
    <row r="199" spans="1:13" x14ac:dyDescent="0.35">
      <c r="C199" t="s">
        <v>873</v>
      </c>
      <c r="D199" s="41" t="s">
        <v>644</v>
      </c>
      <c r="E199" s="41">
        <v>21</v>
      </c>
      <c r="F199" s="41">
        <v>9</v>
      </c>
      <c r="G199" s="41" t="s">
        <v>756</v>
      </c>
      <c r="H199" s="41" t="s">
        <v>719</v>
      </c>
      <c r="L199">
        <f t="shared" si="11"/>
        <v>12</v>
      </c>
      <c r="M199">
        <f t="shared" si="12"/>
        <v>32</v>
      </c>
    </row>
    <row r="200" spans="1:13" x14ac:dyDescent="0.35">
      <c r="D200" s="41" t="s">
        <v>726</v>
      </c>
      <c r="E200" s="41">
        <v>20</v>
      </c>
      <c r="F200" s="41">
        <v>6</v>
      </c>
      <c r="G200" s="41" t="s">
        <v>680</v>
      </c>
      <c r="H200" s="41" t="s">
        <v>905</v>
      </c>
      <c r="L200">
        <f t="shared" si="11"/>
        <v>14</v>
      </c>
      <c r="M200">
        <f t="shared" si="12"/>
        <v>34</v>
      </c>
    </row>
    <row r="201" spans="1:13" ht="15" thickBot="1" x14ac:dyDescent="0.4">
      <c r="C201" s="40" t="s">
        <v>906</v>
      </c>
      <c r="D201" s="40" t="s">
        <v>778</v>
      </c>
      <c r="E201" s="40">
        <v>12</v>
      </c>
      <c r="F201" s="40">
        <v>6</v>
      </c>
      <c r="G201" s="40" t="s">
        <v>784</v>
      </c>
      <c r="H201" s="40" t="s">
        <v>721</v>
      </c>
      <c r="I201" s="40"/>
      <c r="L201">
        <f t="shared" si="11"/>
        <v>6</v>
      </c>
      <c r="M201">
        <f t="shared" si="12"/>
        <v>26</v>
      </c>
    </row>
    <row r="202" spans="1:13" x14ac:dyDescent="0.35">
      <c r="A202" t="s">
        <v>1121</v>
      </c>
      <c r="D202" s="41" t="s">
        <v>704</v>
      </c>
      <c r="E202" s="41">
        <v>27</v>
      </c>
      <c r="F202" s="41">
        <v>18</v>
      </c>
      <c r="G202" s="41" t="s">
        <v>676</v>
      </c>
      <c r="H202" s="41" t="s">
        <v>834</v>
      </c>
      <c r="L202">
        <f t="shared" si="11"/>
        <v>9</v>
      </c>
      <c r="M202">
        <f t="shared" si="12"/>
        <v>29</v>
      </c>
    </row>
    <row r="203" spans="1:13" x14ac:dyDescent="0.35">
      <c r="D203" s="41" t="s">
        <v>242</v>
      </c>
      <c r="E203" s="41">
        <v>14</v>
      </c>
      <c r="F203" s="41">
        <v>12</v>
      </c>
      <c r="G203" s="41" t="s">
        <v>738</v>
      </c>
      <c r="H203" s="41" t="s">
        <v>748</v>
      </c>
      <c r="L203">
        <f t="shared" si="11"/>
        <v>2</v>
      </c>
      <c r="M203">
        <f t="shared" si="12"/>
        <v>22</v>
      </c>
    </row>
    <row r="204" spans="1:13" x14ac:dyDescent="0.35">
      <c r="D204" s="41" t="s">
        <v>706</v>
      </c>
      <c r="E204" s="41">
        <v>26</v>
      </c>
      <c r="F204" s="41">
        <v>15</v>
      </c>
      <c r="G204" s="41" t="s">
        <v>701</v>
      </c>
      <c r="H204" s="41" t="s">
        <v>759</v>
      </c>
      <c r="L204">
        <f t="shared" si="11"/>
        <v>11</v>
      </c>
      <c r="M204">
        <f t="shared" si="12"/>
        <v>31</v>
      </c>
    </row>
    <row r="205" spans="1:13" x14ac:dyDescent="0.35">
      <c r="D205" s="41" t="s">
        <v>765</v>
      </c>
      <c r="E205" s="41">
        <v>12</v>
      </c>
      <c r="F205" s="41">
        <v>11</v>
      </c>
      <c r="G205" s="41" t="s">
        <v>660</v>
      </c>
      <c r="H205" s="41" t="s">
        <v>769</v>
      </c>
      <c r="L205">
        <f t="shared" si="11"/>
        <v>1</v>
      </c>
      <c r="M205">
        <f t="shared" si="12"/>
        <v>21</v>
      </c>
    </row>
    <row r="206" spans="1:13" x14ac:dyDescent="0.35">
      <c r="D206" s="41" t="s">
        <v>640</v>
      </c>
      <c r="E206" s="41">
        <v>13</v>
      </c>
      <c r="F206" s="41">
        <v>8</v>
      </c>
      <c r="G206" s="41" t="s">
        <v>671</v>
      </c>
      <c r="H206" s="41" t="s">
        <v>721</v>
      </c>
      <c r="L206">
        <f t="shared" si="11"/>
        <v>5</v>
      </c>
      <c r="M206">
        <f t="shared" si="12"/>
        <v>25</v>
      </c>
    </row>
    <row r="207" spans="1:13" x14ac:dyDescent="0.35">
      <c r="D207" s="41" t="s">
        <v>758</v>
      </c>
      <c r="E207" s="41">
        <v>14</v>
      </c>
      <c r="F207" s="41">
        <v>12</v>
      </c>
      <c r="G207" s="41" t="s">
        <v>723</v>
      </c>
      <c r="H207" s="41" t="s">
        <v>702</v>
      </c>
      <c r="L207">
        <f t="shared" si="11"/>
        <v>2</v>
      </c>
      <c r="M207">
        <f t="shared" si="12"/>
        <v>22</v>
      </c>
    </row>
    <row r="208" spans="1:13" x14ac:dyDescent="0.35">
      <c r="D208" s="41" t="s">
        <v>646</v>
      </c>
      <c r="E208" s="41">
        <v>14</v>
      </c>
      <c r="F208" s="41">
        <v>2</v>
      </c>
      <c r="G208" s="41" t="s">
        <v>713</v>
      </c>
      <c r="H208" s="41" t="s">
        <v>801</v>
      </c>
      <c r="L208">
        <f t="shared" si="11"/>
        <v>12</v>
      </c>
      <c r="M208">
        <f t="shared" si="12"/>
        <v>32</v>
      </c>
    </row>
    <row r="209" spans="3:13" x14ac:dyDescent="0.35">
      <c r="D209" s="41" t="s">
        <v>761</v>
      </c>
      <c r="E209" s="41">
        <v>18</v>
      </c>
      <c r="F209" s="41">
        <v>12</v>
      </c>
      <c r="G209" s="41" t="s">
        <v>767</v>
      </c>
      <c r="H209" s="41" t="s">
        <v>907</v>
      </c>
      <c r="L209">
        <f t="shared" si="11"/>
        <v>6</v>
      </c>
      <c r="M209">
        <f t="shared" si="12"/>
        <v>26</v>
      </c>
    </row>
    <row r="210" spans="3:13" x14ac:dyDescent="0.35">
      <c r="C210" t="s">
        <v>908</v>
      </c>
      <c r="D210" s="41" t="s">
        <v>722</v>
      </c>
      <c r="E210" s="41">
        <v>25</v>
      </c>
      <c r="F210" s="41">
        <v>12</v>
      </c>
      <c r="G210" s="41" t="s">
        <v>641</v>
      </c>
      <c r="H210" s="41" t="s">
        <v>790</v>
      </c>
      <c r="L210">
        <f t="shared" si="11"/>
        <v>13</v>
      </c>
      <c r="M210">
        <f t="shared" si="12"/>
        <v>33</v>
      </c>
    </row>
    <row r="211" spans="3:13" x14ac:dyDescent="0.35">
      <c r="D211" s="41" t="s">
        <v>661</v>
      </c>
      <c r="E211" s="41">
        <v>18</v>
      </c>
      <c r="F211" s="41">
        <v>7</v>
      </c>
      <c r="G211" s="41" t="s">
        <v>677</v>
      </c>
      <c r="H211" s="41" t="s">
        <v>741</v>
      </c>
      <c r="L211">
        <f t="shared" si="11"/>
        <v>11</v>
      </c>
      <c r="M211">
        <f t="shared" si="12"/>
        <v>31</v>
      </c>
    </row>
    <row r="212" spans="3:13" x14ac:dyDescent="0.35">
      <c r="C212" t="s">
        <v>909</v>
      </c>
      <c r="D212" s="41" t="s">
        <v>731</v>
      </c>
      <c r="E212" s="41">
        <v>17</v>
      </c>
      <c r="F212" s="41">
        <v>16</v>
      </c>
      <c r="G212" s="41" t="s">
        <v>672</v>
      </c>
      <c r="H212" s="41" t="s">
        <v>910</v>
      </c>
      <c r="L212">
        <f t="shared" si="11"/>
        <v>1</v>
      </c>
      <c r="M212">
        <f t="shared" si="12"/>
        <v>21</v>
      </c>
    </row>
    <row r="213" spans="3:13" x14ac:dyDescent="0.35">
      <c r="C213" t="s">
        <v>911</v>
      </c>
      <c r="D213" s="41" t="s">
        <v>734</v>
      </c>
      <c r="E213" s="41">
        <v>19</v>
      </c>
      <c r="F213" s="41">
        <v>13</v>
      </c>
      <c r="G213" s="41" t="s">
        <v>729</v>
      </c>
      <c r="H213" s="41" t="s">
        <v>793</v>
      </c>
      <c r="L213">
        <f t="shared" si="11"/>
        <v>6</v>
      </c>
      <c r="M213">
        <f t="shared" si="12"/>
        <v>26</v>
      </c>
    </row>
    <row r="214" spans="3:13" x14ac:dyDescent="0.35">
      <c r="D214" s="41" t="s">
        <v>783</v>
      </c>
      <c r="E214" s="41">
        <v>18</v>
      </c>
      <c r="F214" s="41">
        <v>9</v>
      </c>
      <c r="G214" s="41" t="s">
        <v>747</v>
      </c>
      <c r="H214" s="41" t="s">
        <v>740</v>
      </c>
      <c r="L214">
        <f t="shared" si="11"/>
        <v>9</v>
      </c>
      <c r="M214">
        <f t="shared" si="12"/>
        <v>29</v>
      </c>
    </row>
    <row r="215" spans="3:13" x14ac:dyDescent="0.35">
      <c r="D215" s="41" t="s">
        <v>465</v>
      </c>
      <c r="E215" s="41">
        <v>19</v>
      </c>
      <c r="F215" s="41">
        <v>12</v>
      </c>
      <c r="G215" s="41" t="s">
        <v>716</v>
      </c>
      <c r="H215" s="41" t="s">
        <v>710</v>
      </c>
      <c r="L215">
        <f t="shared" si="11"/>
        <v>7</v>
      </c>
      <c r="M215">
        <f t="shared" si="12"/>
        <v>27</v>
      </c>
    </row>
    <row r="216" spans="3:13" x14ac:dyDescent="0.35">
      <c r="D216" s="41" t="s">
        <v>700</v>
      </c>
      <c r="E216" s="41">
        <v>19</v>
      </c>
      <c r="F216" s="41">
        <v>13</v>
      </c>
      <c r="G216" s="41" t="s">
        <v>647</v>
      </c>
      <c r="H216" s="41" t="s">
        <v>710</v>
      </c>
      <c r="L216">
        <f t="shared" si="11"/>
        <v>6</v>
      </c>
      <c r="M216">
        <f t="shared" si="12"/>
        <v>26</v>
      </c>
    </row>
    <row r="217" spans="3:13" x14ac:dyDescent="0.35">
      <c r="D217" s="41" t="s">
        <v>779</v>
      </c>
      <c r="E217" s="41">
        <v>17</v>
      </c>
      <c r="F217" s="41">
        <v>12</v>
      </c>
      <c r="G217" s="41" t="s">
        <v>742</v>
      </c>
      <c r="H217" s="41" t="s">
        <v>806</v>
      </c>
      <c r="L217">
        <f t="shared" si="11"/>
        <v>5</v>
      </c>
      <c r="M217">
        <f t="shared" si="12"/>
        <v>25</v>
      </c>
    </row>
    <row r="218" spans="3:13" x14ac:dyDescent="0.35">
      <c r="C218" t="s">
        <v>804</v>
      </c>
      <c r="D218" s="41" t="s">
        <v>737</v>
      </c>
      <c r="E218" s="41">
        <v>20</v>
      </c>
      <c r="F218" s="41">
        <v>14</v>
      </c>
      <c r="G218" s="41" t="s">
        <v>692</v>
      </c>
      <c r="H218" s="41" t="s">
        <v>806</v>
      </c>
      <c r="L218">
        <f t="shared" si="11"/>
        <v>6</v>
      </c>
      <c r="M218">
        <f t="shared" si="12"/>
        <v>26</v>
      </c>
    </row>
    <row r="219" spans="3:13" x14ac:dyDescent="0.35">
      <c r="C219" t="s">
        <v>788</v>
      </c>
      <c r="D219" s="41" t="s">
        <v>743</v>
      </c>
      <c r="E219" s="41">
        <v>15</v>
      </c>
      <c r="F219" s="41">
        <v>8</v>
      </c>
      <c r="G219" s="41" t="s">
        <v>678</v>
      </c>
      <c r="H219" s="41" t="s">
        <v>710</v>
      </c>
      <c r="L219">
        <f t="shared" si="11"/>
        <v>7</v>
      </c>
      <c r="M219">
        <f t="shared" si="12"/>
        <v>27</v>
      </c>
    </row>
    <row r="220" spans="3:13" x14ac:dyDescent="0.35">
      <c r="D220" s="41" t="s">
        <v>753</v>
      </c>
      <c r="E220" s="41">
        <v>19</v>
      </c>
      <c r="F220" s="41">
        <v>14</v>
      </c>
      <c r="G220" s="41" t="s">
        <v>746</v>
      </c>
      <c r="H220" s="41" t="s">
        <v>724</v>
      </c>
      <c r="L220">
        <f t="shared" si="11"/>
        <v>5</v>
      </c>
      <c r="M220">
        <f t="shared" si="12"/>
        <v>25</v>
      </c>
    </row>
    <row r="221" spans="3:13" x14ac:dyDescent="0.35">
      <c r="C221" t="s">
        <v>849</v>
      </c>
      <c r="D221" s="41" t="s">
        <v>750</v>
      </c>
      <c r="E221" s="41">
        <v>13</v>
      </c>
      <c r="F221" s="41">
        <v>12</v>
      </c>
      <c r="G221" s="41" t="s">
        <v>755</v>
      </c>
      <c r="H221" s="41" t="s">
        <v>826</v>
      </c>
      <c r="L221">
        <f t="shared" si="11"/>
        <v>1</v>
      </c>
      <c r="M221">
        <f t="shared" si="12"/>
        <v>21</v>
      </c>
    </row>
    <row r="222" spans="3:13" x14ac:dyDescent="0.35">
      <c r="C222" t="s">
        <v>867</v>
      </c>
      <c r="D222" s="41" t="s">
        <v>648</v>
      </c>
      <c r="E222" s="41">
        <v>27</v>
      </c>
      <c r="F222" s="41">
        <v>8</v>
      </c>
      <c r="G222" s="41" t="s">
        <v>709</v>
      </c>
      <c r="H222" s="41" t="s">
        <v>793</v>
      </c>
      <c r="L222">
        <f t="shared" si="11"/>
        <v>19</v>
      </c>
      <c r="M222">
        <f t="shared" si="12"/>
        <v>39</v>
      </c>
    </row>
    <row r="223" spans="3:13" x14ac:dyDescent="0.35">
      <c r="D223" s="41" t="s">
        <v>732</v>
      </c>
      <c r="E223" s="41">
        <v>21</v>
      </c>
      <c r="F223" s="41">
        <v>8</v>
      </c>
      <c r="G223" s="41" t="s">
        <v>582</v>
      </c>
      <c r="H223" s="41" t="s">
        <v>793</v>
      </c>
      <c r="L223">
        <f t="shared" si="11"/>
        <v>13</v>
      </c>
      <c r="M223">
        <f t="shared" si="12"/>
        <v>33</v>
      </c>
    </row>
    <row r="224" spans="3:13" x14ac:dyDescent="0.35">
      <c r="D224" s="41" t="s">
        <v>777</v>
      </c>
      <c r="E224" s="41">
        <v>17</v>
      </c>
      <c r="F224" s="41">
        <v>16</v>
      </c>
      <c r="G224" s="41" t="s">
        <v>466</v>
      </c>
      <c r="H224" s="41" t="s">
        <v>727</v>
      </c>
      <c r="L224">
        <f t="shared" si="11"/>
        <v>1</v>
      </c>
      <c r="M224">
        <f t="shared" si="12"/>
        <v>21</v>
      </c>
    </row>
    <row r="225" spans="3:13" x14ac:dyDescent="0.35">
      <c r="D225" s="41" t="s">
        <v>642</v>
      </c>
      <c r="E225" s="41">
        <v>14</v>
      </c>
      <c r="F225" s="41">
        <v>4</v>
      </c>
      <c r="G225" s="41" t="s">
        <v>670</v>
      </c>
      <c r="H225" s="41" t="s">
        <v>905</v>
      </c>
      <c r="L225">
        <f t="shared" si="11"/>
        <v>10</v>
      </c>
      <c r="M225">
        <f t="shared" si="12"/>
        <v>30</v>
      </c>
    </row>
    <row r="226" spans="3:13" x14ac:dyDescent="0.35">
      <c r="C226" t="s">
        <v>825</v>
      </c>
      <c r="D226" s="41" t="s">
        <v>776</v>
      </c>
      <c r="E226" s="41">
        <v>21</v>
      </c>
      <c r="F226" s="41">
        <v>19</v>
      </c>
      <c r="G226" s="41" t="s">
        <v>771</v>
      </c>
      <c r="H226" s="41" t="s">
        <v>719</v>
      </c>
      <c r="L226">
        <f t="shared" si="11"/>
        <v>2</v>
      </c>
      <c r="M226">
        <f t="shared" si="12"/>
        <v>22</v>
      </c>
    </row>
    <row r="227" spans="3:13" x14ac:dyDescent="0.35">
      <c r="C227" t="s">
        <v>807</v>
      </c>
      <c r="D227" s="41" t="s">
        <v>778</v>
      </c>
      <c r="E227" s="41">
        <v>14</v>
      </c>
      <c r="F227" s="41">
        <v>8</v>
      </c>
      <c r="G227" s="41" t="s">
        <v>774</v>
      </c>
      <c r="H227" s="41" t="s">
        <v>707</v>
      </c>
      <c r="L227">
        <f t="shared" si="11"/>
        <v>6</v>
      </c>
      <c r="M227">
        <f t="shared" si="12"/>
        <v>26</v>
      </c>
    </row>
    <row r="228" spans="3:13" x14ac:dyDescent="0.35">
      <c r="D228" s="41" t="s">
        <v>784</v>
      </c>
      <c r="E228" s="41">
        <v>12</v>
      </c>
      <c r="F228" s="41">
        <v>8</v>
      </c>
      <c r="G228" s="41" t="s">
        <v>663</v>
      </c>
      <c r="H228" s="41" t="s">
        <v>727</v>
      </c>
      <c r="L228">
        <f t="shared" si="11"/>
        <v>4</v>
      </c>
      <c r="M228">
        <f t="shared" si="12"/>
        <v>24</v>
      </c>
    </row>
    <row r="229" spans="3:13" x14ac:dyDescent="0.35">
      <c r="C229" t="s">
        <v>791</v>
      </c>
      <c r="D229" s="41" t="s">
        <v>650</v>
      </c>
      <c r="E229" s="41">
        <v>20</v>
      </c>
      <c r="F229" s="41">
        <v>12</v>
      </c>
      <c r="G229" s="41" t="s">
        <v>245</v>
      </c>
      <c r="H229" s="41" t="s">
        <v>710</v>
      </c>
      <c r="L229">
        <f t="shared" si="11"/>
        <v>8</v>
      </c>
      <c r="M229">
        <f t="shared" si="12"/>
        <v>28</v>
      </c>
    </row>
    <row r="230" spans="3:13" x14ac:dyDescent="0.35">
      <c r="D230" s="41" t="s">
        <v>756</v>
      </c>
      <c r="E230" s="41">
        <v>19</v>
      </c>
      <c r="F230" s="41">
        <v>9</v>
      </c>
      <c r="G230" s="41" t="s">
        <v>665</v>
      </c>
      <c r="H230" s="41" t="s">
        <v>793</v>
      </c>
      <c r="L230">
        <f t="shared" si="11"/>
        <v>10</v>
      </c>
      <c r="M230">
        <f t="shared" si="12"/>
        <v>30</v>
      </c>
    </row>
    <row r="231" spans="3:13" x14ac:dyDescent="0.35">
      <c r="C231" t="s">
        <v>797</v>
      </c>
      <c r="D231" s="41" t="s">
        <v>751</v>
      </c>
      <c r="E231" s="41">
        <v>25</v>
      </c>
      <c r="F231" s="41">
        <v>7</v>
      </c>
      <c r="G231" s="41" t="s">
        <v>726</v>
      </c>
      <c r="H231" s="41" t="s">
        <v>874</v>
      </c>
      <c r="L231">
        <f t="shared" si="11"/>
        <v>18</v>
      </c>
      <c r="M231">
        <f t="shared" si="12"/>
        <v>38</v>
      </c>
    </row>
    <row r="232" spans="3:13" x14ac:dyDescent="0.35">
      <c r="D232" s="41" t="s">
        <v>764</v>
      </c>
      <c r="E232" s="41">
        <v>14</v>
      </c>
      <c r="F232" s="41">
        <v>4</v>
      </c>
      <c r="G232" s="41" t="s">
        <v>680</v>
      </c>
      <c r="H232" s="41" t="s">
        <v>801</v>
      </c>
      <c r="L232">
        <f t="shared" si="11"/>
        <v>10</v>
      </c>
      <c r="M232">
        <f t="shared" si="12"/>
        <v>30</v>
      </c>
    </row>
    <row r="233" spans="3:13" x14ac:dyDescent="0.35">
      <c r="C233" t="s">
        <v>850</v>
      </c>
      <c r="D233" s="41" t="s">
        <v>644</v>
      </c>
      <c r="E233" s="41">
        <v>14</v>
      </c>
      <c r="F233" s="41">
        <v>12</v>
      </c>
      <c r="G233" s="41" t="s">
        <v>720</v>
      </c>
      <c r="H233" s="41" t="s">
        <v>769</v>
      </c>
      <c r="L233">
        <f t="shared" si="11"/>
        <v>2</v>
      </c>
      <c r="M233">
        <f t="shared" si="12"/>
        <v>22</v>
      </c>
    </row>
    <row r="234" spans="3:13" x14ac:dyDescent="0.35">
      <c r="D234" s="41" t="s">
        <v>785</v>
      </c>
      <c r="E234" s="41">
        <v>15</v>
      </c>
      <c r="F234" s="41">
        <v>10</v>
      </c>
      <c r="G234" s="41" t="s">
        <v>772</v>
      </c>
      <c r="H234" s="41" t="s">
        <v>789</v>
      </c>
      <c r="L234">
        <f t="shared" si="11"/>
        <v>5</v>
      </c>
      <c r="M234">
        <f t="shared" si="12"/>
        <v>25</v>
      </c>
    </row>
    <row r="235" spans="3:13" x14ac:dyDescent="0.35">
      <c r="C235" t="s">
        <v>813</v>
      </c>
      <c r="D235" s="41" t="s">
        <v>673</v>
      </c>
      <c r="E235" s="41">
        <v>15</v>
      </c>
      <c r="F235" s="41">
        <v>9</v>
      </c>
      <c r="G235" s="41" t="s">
        <v>643</v>
      </c>
      <c r="H235" s="41" t="s">
        <v>707</v>
      </c>
      <c r="L235">
        <f t="shared" si="11"/>
        <v>6</v>
      </c>
      <c r="M235">
        <f t="shared" si="12"/>
        <v>26</v>
      </c>
    </row>
    <row r="236" spans="3:13" x14ac:dyDescent="0.35">
      <c r="C236" t="s">
        <v>815</v>
      </c>
      <c r="D236" s="41" t="s">
        <v>780</v>
      </c>
      <c r="E236" s="41">
        <v>14</v>
      </c>
      <c r="F236" s="41">
        <v>11</v>
      </c>
      <c r="G236" s="41" t="s">
        <v>679</v>
      </c>
      <c r="H236" s="41" t="s">
        <v>839</v>
      </c>
      <c r="L236">
        <f t="shared" si="11"/>
        <v>3</v>
      </c>
      <c r="M236">
        <f t="shared" si="12"/>
        <v>23</v>
      </c>
    </row>
    <row r="237" spans="3:13" x14ac:dyDescent="0.35">
      <c r="C237" t="s">
        <v>800</v>
      </c>
      <c r="D237" s="41" t="s">
        <v>763</v>
      </c>
      <c r="E237" s="41">
        <v>18</v>
      </c>
      <c r="F237" s="41">
        <v>14</v>
      </c>
      <c r="G237" s="41" t="s">
        <v>768</v>
      </c>
      <c r="H237" s="41" t="s">
        <v>714</v>
      </c>
      <c r="L237">
        <f t="shared" si="11"/>
        <v>4</v>
      </c>
      <c r="M237">
        <f t="shared" si="12"/>
        <v>24</v>
      </c>
    </row>
    <row r="238" spans="3:13" x14ac:dyDescent="0.35">
      <c r="C238" t="s">
        <v>912</v>
      </c>
      <c r="D238" s="41" t="s">
        <v>757</v>
      </c>
      <c r="E238" s="41">
        <v>16</v>
      </c>
      <c r="F238" s="41">
        <v>14</v>
      </c>
      <c r="G238" s="41" t="s">
        <v>693</v>
      </c>
      <c r="H238" s="41" t="s">
        <v>898</v>
      </c>
      <c r="I238" t="s">
        <v>913</v>
      </c>
      <c r="L238">
        <f t="shared" si="11"/>
        <v>2</v>
      </c>
      <c r="M238">
        <f t="shared" si="12"/>
        <v>22</v>
      </c>
    </row>
    <row r="239" spans="3:13" x14ac:dyDescent="0.35">
      <c r="C239" t="s">
        <v>914</v>
      </c>
      <c r="D239" s="41" t="s">
        <v>467</v>
      </c>
      <c r="E239" s="41">
        <v>27</v>
      </c>
      <c r="F239" s="41">
        <v>20</v>
      </c>
      <c r="G239" s="41" t="s">
        <v>792</v>
      </c>
      <c r="H239" s="41" t="s">
        <v>915</v>
      </c>
      <c r="L239">
        <f t="shared" si="11"/>
        <v>7</v>
      </c>
      <c r="M239">
        <f t="shared" si="12"/>
        <v>27</v>
      </c>
    </row>
    <row r="240" spans="3:13" x14ac:dyDescent="0.35">
      <c r="C240" t="s">
        <v>916</v>
      </c>
      <c r="D240" s="41" t="s">
        <v>712</v>
      </c>
      <c r="E240" s="41">
        <v>17</v>
      </c>
      <c r="F240" s="41">
        <v>15</v>
      </c>
      <c r="G240" s="41" t="s">
        <v>718</v>
      </c>
      <c r="H240" s="41" t="s">
        <v>724</v>
      </c>
      <c r="L240">
        <f t="shared" si="11"/>
        <v>2</v>
      </c>
      <c r="M240">
        <f t="shared" si="12"/>
        <v>22</v>
      </c>
    </row>
    <row r="241" spans="1:13" ht="15" thickBot="1" x14ac:dyDescent="0.4">
      <c r="C241" s="40" t="s">
        <v>917</v>
      </c>
      <c r="D241" s="40" t="s">
        <v>760</v>
      </c>
      <c r="E241" s="40">
        <v>18</v>
      </c>
      <c r="F241" s="40">
        <v>13</v>
      </c>
      <c r="G241" s="40" t="s">
        <v>649</v>
      </c>
      <c r="H241" s="40" t="s">
        <v>793</v>
      </c>
      <c r="I241" s="40"/>
      <c r="L241">
        <f t="shared" si="11"/>
        <v>5</v>
      </c>
      <c r="M241">
        <f t="shared" si="12"/>
        <v>25</v>
      </c>
    </row>
    <row r="242" spans="1:13" x14ac:dyDescent="0.35">
      <c r="A242" t="s">
        <v>1122</v>
      </c>
      <c r="D242" s="41" t="s">
        <v>701</v>
      </c>
      <c r="E242" s="41">
        <v>11</v>
      </c>
      <c r="F242" s="41">
        <v>10</v>
      </c>
      <c r="G242" s="41" t="s">
        <v>680</v>
      </c>
      <c r="H242" s="41" t="s">
        <v>842</v>
      </c>
      <c r="L242">
        <f t="shared" si="11"/>
        <v>1</v>
      </c>
      <c r="M242">
        <f t="shared" si="12"/>
        <v>21</v>
      </c>
    </row>
    <row r="243" spans="1:13" x14ac:dyDescent="0.35">
      <c r="C243" t="s">
        <v>867</v>
      </c>
      <c r="D243" s="41" t="s">
        <v>760</v>
      </c>
      <c r="E243" s="41">
        <v>13</v>
      </c>
      <c r="F243" s="41">
        <v>7</v>
      </c>
      <c r="G243" s="41" t="s">
        <v>670</v>
      </c>
      <c r="H243" s="41" t="s">
        <v>770</v>
      </c>
      <c r="L243">
        <f t="shared" si="11"/>
        <v>6</v>
      </c>
      <c r="M243">
        <f t="shared" si="12"/>
        <v>26</v>
      </c>
    </row>
    <row r="244" spans="1:13" x14ac:dyDescent="0.35">
      <c r="D244" s="41" t="s">
        <v>716</v>
      </c>
      <c r="E244" s="41">
        <v>16</v>
      </c>
      <c r="F244" s="41">
        <v>8</v>
      </c>
      <c r="G244" s="41" t="s">
        <v>755</v>
      </c>
      <c r="H244" s="41" t="s">
        <v>821</v>
      </c>
      <c r="L244">
        <f t="shared" si="11"/>
        <v>8</v>
      </c>
      <c r="M244">
        <f t="shared" si="12"/>
        <v>28</v>
      </c>
    </row>
    <row r="245" spans="1:13" x14ac:dyDescent="0.35">
      <c r="C245" t="s">
        <v>855</v>
      </c>
      <c r="D245" s="41" t="s">
        <v>776</v>
      </c>
      <c r="E245" s="41">
        <v>18</v>
      </c>
      <c r="F245" s="41">
        <v>14</v>
      </c>
      <c r="G245" s="41" t="s">
        <v>723</v>
      </c>
      <c r="H245" s="41" t="s">
        <v>898</v>
      </c>
      <c r="L245">
        <f t="shared" si="11"/>
        <v>4</v>
      </c>
      <c r="M245">
        <f t="shared" si="12"/>
        <v>24</v>
      </c>
    </row>
    <row r="246" spans="1:13" x14ac:dyDescent="0.35">
      <c r="C246" t="s">
        <v>918</v>
      </c>
      <c r="D246" s="41" t="s">
        <v>582</v>
      </c>
      <c r="E246" s="41">
        <v>14</v>
      </c>
      <c r="F246" s="41">
        <v>11</v>
      </c>
      <c r="G246" s="41" t="s">
        <v>734</v>
      </c>
      <c r="H246" s="41" t="s">
        <v>796</v>
      </c>
      <c r="L246">
        <f t="shared" si="11"/>
        <v>3</v>
      </c>
      <c r="M246">
        <f t="shared" si="12"/>
        <v>23</v>
      </c>
    </row>
    <row r="247" spans="1:13" x14ac:dyDescent="0.35">
      <c r="C247" t="s">
        <v>824</v>
      </c>
      <c r="D247" s="41" t="s">
        <v>466</v>
      </c>
      <c r="E247" s="41">
        <v>22</v>
      </c>
      <c r="F247" s="41">
        <v>16</v>
      </c>
      <c r="G247" s="41" t="s">
        <v>757</v>
      </c>
      <c r="H247" s="41" t="s">
        <v>744</v>
      </c>
      <c r="L247">
        <f t="shared" si="11"/>
        <v>6</v>
      </c>
      <c r="M247">
        <f t="shared" si="12"/>
        <v>26</v>
      </c>
    </row>
    <row r="248" spans="1:13" x14ac:dyDescent="0.35">
      <c r="C248" t="s">
        <v>837</v>
      </c>
      <c r="D248" s="41" t="s">
        <v>700</v>
      </c>
      <c r="E248" s="41">
        <v>24</v>
      </c>
      <c r="F248" s="41">
        <v>5</v>
      </c>
      <c r="G248" s="41" t="s">
        <v>706</v>
      </c>
      <c r="H248" s="41" t="s">
        <v>919</v>
      </c>
      <c r="L248">
        <f t="shared" si="11"/>
        <v>19</v>
      </c>
      <c r="M248">
        <f t="shared" si="12"/>
        <v>39</v>
      </c>
    </row>
    <row r="249" spans="1:13" x14ac:dyDescent="0.35">
      <c r="D249" s="41" t="s">
        <v>678</v>
      </c>
      <c r="E249" s="41">
        <v>14</v>
      </c>
      <c r="F249" s="41">
        <v>13</v>
      </c>
      <c r="G249" s="41" t="s">
        <v>779</v>
      </c>
      <c r="H249" s="41" t="s">
        <v>705</v>
      </c>
      <c r="L249">
        <f t="shared" si="11"/>
        <v>1</v>
      </c>
      <c r="M249">
        <f t="shared" si="12"/>
        <v>21</v>
      </c>
    </row>
    <row r="250" spans="1:13" x14ac:dyDescent="0.35">
      <c r="D250" s="41" t="s">
        <v>677</v>
      </c>
      <c r="E250" s="41">
        <v>15</v>
      </c>
      <c r="F250" s="41">
        <v>12</v>
      </c>
      <c r="G250" s="41" t="s">
        <v>242</v>
      </c>
      <c r="H250" s="41" t="s">
        <v>702</v>
      </c>
      <c r="L250">
        <f t="shared" si="11"/>
        <v>3</v>
      </c>
      <c r="M250">
        <f t="shared" si="12"/>
        <v>23</v>
      </c>
    </row>
    <row r="251" spans="1:13" x14ac:dyDescent="0.35">
      <c r="D251" s="41" t="s">
        <v>747</v>
      </c>
      <c r="E251" s="41">
        <v>16</v>
      </c>
      <c r="F251" s="41">
        <v>10</v>
      </c>
      <c r="G251" s="41" t="s">
        <v>646</v>
      </c>
      <c r="H251" s="41" t="s">
        <v>789</v>
      </c>
      <c r="L251">
        <f t="shared" si="11"/>
        <v>6</v>
      </c>
      <c r="M251">
        <f t="shared" si="12"/>
        <v>26</v>
      </c>
    </row>
    <row r="252" spans="1:13" x14ac:dyDescent="0.35">
      <c r="D252" s="41" t="s">
        <v>713</v>
      </c>
      <c r="E252" s="41">
        <v>19</v>
      </c>
      <c r="F252" s="41">
        <v>4</v>
      </c>
      <c r="G252" s="41" t="s">
        <v>465</v>
      </c>
      <c r="H252" s="41" t="s">
        <v>836</v>
      </c>
      <c r="L252">
        <f t="shared" si="11"/>
        <v>15</v>
      </c>
      <c r="M252">
        <f t="shared" si="12"/>
        <v>35</v>
      </c>
    </row>
    <row r="253" spans="1:13" x14ac:dyDescent="0.35">
      <c r="D253" s="41" t="s">
        <v>767</v>
      </c>
      <c r="E253" s="41">
        <v>13</v>
      </c>
      <c r="F253" s="41">
        <v>11</v>
      </c>
      <c r="G253" s="41" t="s">
        <v>771</v>
      </c>
      <c r="H253" s="41" t="s">
        <v>707</v>
      </c>
      <c r="L253">
        <f t="shared" si="11"/>
        <v>2</v>
      </c>
      <c r="M253">
        <f t="shared" si="12"/>
        <v>22</v>
      </c>
    </row>
    <row r="254" spans="1:13" x14ac:dyDescent="0.35">
      <c r="D254" s="41" t="s">
        <v>665</v>
      </c>
      <c r="E254" s="41">
        <v>13</v>
      </c>
      <c r="F254" s="41">
        <v>8</v>
      </c>
      <c r="G254" s="41" t="s">
        <v>753</v>
      </c>
      <c r="H254" s="41" t="s">
        <v>874</v>
      </c>
      <c r="L254">
        <f t="shared" si="11"/>
        <v>5</v>
      </c>
      <c r="M254">
        <f t="shared" si="12"/>
        <v>25</v>
      </c>
    </row>
    <row r="255" spans="1:13" x14ac:dyDescent="0.35">
      <c r="C255" t="s">
        <v>807</v>
      </c>
      <c r="D255" s="41" t="s">
        <v>763</v>
      </c>
      <c r="E255" s="41">
        <v>19</v>
      </c>
      <c r="F255" s="41">
        <v>15</v>
      </c>
      <c r="G255" s="41" t="s">
        <v>738</v>
      </c>
      <c r="H255" s="41" t="s">
        <v>781</v>
      </c>
      <c r="L255">
        <f t="shared" si="11"/>
        <v>4</v>
      </c>
      <c r="M255">
        <f t="shared" si="12"/>
        <v>24</v>
      </c>
    </row>
    <row r="256" spans="1:13" x14ac:dyDescent="0.35">
      <c r="D256" s="41" t="s">
        <v>742</v>
      </c>
      <c r="E256" s="41">
        <v>20</v>
      </c>
      <c r="F256" s="41">
        <v>10</v>
      </c>
      <c r="G256" s="41" t="s">
        <v>676</v>
      </c>
      <c r="H256" s="41" t="s">
        <v>920</v>
      </c>
      <c r="L256">
        <f t="shared" si="11"/>
        <v>10</v>
      </c>
      <c r="M256">
        <f t="shared" si="12"/>
        <v>30</v>
      </c>
    </row>
    <row r="257" spans="3:13" x14ac:dyDescent="0.35">
      <c r="D257" s="41" t="s">
        <v>746</v>
      </c>
      <c r="E257" s="41">
        <v>23</v>
      </c>
      <c r="F257" s="41">
        <v>9</v>
      </c>
      <c r="G257" s="41" t="s">
        <v>761</v>
      </c>
      <c r="H257" s="41" t="s">
        <v>748</v>
      </c>
      <c r="L257">
        <f t="shared" si="11"/>
        <v>14</v>
      </c>
      <c r="M257">
        <f t="shared" si="12"/>
        <v>34</v>
      </c>
    </row>
    <row r="258" spans="3:13" x14ac:dyDescent="0.35">
      <c r="C258" t="s">
        <v>865</v>
      </c>
      <c r="D258" s="41" t="s">
        <v>784</v>
      </c>
      <c r="E258" s="41">
        <v>15</v>
      </c>
      <c r="F258" s="41">
        <v>13</v>
      </c>
      <c r="G258" s="41" t="s">
        <v>709</v>
      </c>
      <c r="H258" s="41" t="s">
        <v>866</v>
      </c>
      <c r="L258">
        <f t="shared" ref="L258:L321" si="13">E258-F258</f>
        <v>2</v>
      </c>
      <c r="M258">
        <f t="shared" si="12"/>
        <v>22</v>
      </c>
    </row>
    <row r="259" spans="3:13" x14ac:dyDescent="0.35">
      <c r="C259" t="s">
        <v>921</v>
      </c>
      <c r="D259" s="41" t="s">
        <v>642</v>
      </c>
      <c r="E259" s="41">
        <v>24</v>
      </c>
      <c r="F259" s="41">
        <v>21</v>
      </c>
      <c r="G259" s="41" t="s">
        <v>778</v>
      </c>
      <c r="H259" s="41" t="s">
        <v>754</v>
      </c>
      <c r="L259">
        <f t="shared" si="13"/>
        <v>3</v>
      </c>
      <c r="M259">
        <f t="shared" ref="M259:M322" si="14">24+L259-4</f>
        <v>23</v>
      </c>
    </row>
    <row r="260" spans="3:13" x14ac:dyDescent="0.35">
      <c r="C260" t="s">
        <v>922</v>
      </c>
      <c r="D260" s="41" t="s">
        <v>644</v>
      </c>
      <c r="E260" s="41">
        <v>27</v>
      </c>
      <c r="F260" s="41">
        <v>17</v>
      </c>
      <c r="G260" s="41" t="s">
        <v>722</v>
      </c>
      <c r="H260" s="41" t="s">
        <v>920</v>
      </c>
      <c r="L260">
        <f t="shared" si="13"/>
        <v>10</v>
      </c>
      <c r="M260">
        <f t="shared" si="14"/>
        <v>30</v>
      </c>
    </row>
    <row r="261" spans="3:13" x14ac:dyDescent="0.35">
      <c r="C261" t="s">
        <v>816</v>
      </c>
      <c r="D261" s="41" t="s">
        <v>641</v>
      </c>
      <c r="E261" s="41">
        <v>21</v>
      </c>
      <c r="F261" s="41">
        <v>6</v>
      </c>
      <c r="G261" s="41" t="s">
        <v>772</v>
      </c>
      <c r="H261" s="41" t="s">
        <v>739</v>
      </c>
      <c r="L261">
        <f t="shared" si="13"/>
        <v>15</v>
      </c>
      <c r="M261">
        <f t="shared" si="14"/>
        <v>35</v>
      </c>
    </row>
    <row r="262" spans="3:13" x14ac:dyDescent="0.35">
      <c r="D262" s="41" t="s">
        <v>777</v>
      </c>
      <c r="E262" s="41">
        <v>13</v>
      </c>
      <c r="F262" s="41">
        <v>8</v>
      </c>
      <c r="G262" s="41" t="s">
        <v>693</v>
      </c>
      <c r="H262" s="41" t="s">
        <v>714</v>
      </c>
      <c r="L262">
        <f t="shared" si="13"/>
        <v>5</v>
      </c>
      <c r="M262">
        <f t="shared" si="14"/>
        <v>25</v>
      </c>
    </row>
    <row r="263" spans="3:13" x14ac:dyDescent="0.35">
      <c r="D263" s="41" t="s">
        <v>756</v>
      </c>
      <c r="E263" s="41">
        <v>15</v>
      </c>
      <c r="F263" s="41">
        <v>12</v>
      </c>
      <c r="G263" s="41" t="s">
        <v>671</v>
      </c>
      <c r="H263" s="41" t="s">
        <v>699</v>
      </c>
      <c r="L263">
        <f t="shared" si="13"/>
        <v>3</v>
      </c>
      <c r="M263">
        <f t="shared" si="14"/>
        <v>23</v>
      </c>
    </row>
    <row r="264" spans="3:13" x14ac:dyDescent="0.35">
      <c r="C264" t="s">
        <v>923</v>
      </c>
      <c r="D264" s="41" t="s">
        <v>245</v>
      </c>
      <c r="E264" s="41">
        <v>23</v>
      </c>
      <c r="F264" s="41">
        <v>14</v>
      </c>
      <c r="G264" s="41" t="s">
        <v>780</v>
      </c>
      <c r="H264" s="41" t="s">
        <v>724</v>
      </c>
      <c r="L264">
        <f t="shared" si="13"/>
        <v>9</v>
      </c>
      <c r="M264">
        <f t="shared" si="14"/>
        <v>29</v>
      </c>
    </row>
    <row r="265" spans="3:13" x14ac:dyDescent="0.35">
      <c r="C265" t="s">
        <v>877</v>
      </c>
      <c r="D265" s="41" t="s">
        <v>731</v>
      </c>
      <c r="E265" s="41">
        <v>15</v>
      </c>
      <c r="F265" s="41">
        <v>11</v>
      </c>
      <c r="G265" s="41" t="s">
        <v>764</v>
      </c>
      <c r="H265" s="41" t="s">
        <v>769</v>
      </c>
      <c r="L265">
        <f t="shared" si="13"/>
        <v>4</v>
      </c>
      <c r="M265">
        <f t="shared" si="14"/>
        <v>24</v>
      </c>
    </row>
    <row r="266" spans="3:13" x14ac:dyDescent="0.35">
      <c r="D266" s="41" t="s">
        <v>726</v>
      </c>
      <c r="E266" s="41">
        <v>24</v>
      </c>
      <c r="F266" s="41">
        <v>14</v>
      </c>
      <c r="G266" s="41" t="s">
        <v>672</v>
      </c>
      <c r="H266" s="41" t="s">
        <v>790</v>
      </c>
      <c r="L266">
        <f t="shared" si="13"/>
        <v>10</v>
      </c>
      <c r="M266">
        <f t="shared" si="14"/>
        <v>30</v>
      </c>
    </row>
    <row r="267" spans="3:13" x14ac:dyDescent="0.35">
      <c r="D267" s="41" t="s">
        <v>679</v>
      </c>
      <c r="E267" s="41">
        <v>9</v>
      </c>
      <c r="F267" s="41">
        <v>5</v>
      </c>
      <c r="G267" s="41" t="s">
        <v>663</v>
      </c>
      <c r="H267" s="41" t="s">
        <v>924</v>
      </c>
      <c r="L267">
        <f t="shared" si="13"/>
        <v>4</v>
      </c>
      <c r="M267">
        <f t="shared" si="14"/>
        <v>24</v>
      </c>
    </row>
    <row r="268" spans="3:13" x14ac:dyDescent="0.35">
      <c r="C268" t="s">
        <v>813</v>
      </c>
      <c r="D268" s="41" t="s">
        <v>673</v>
      </c>
      <c r="E268" s="41">
        <v>20</v>
      </c>
      <c r="F268" s="41">
        <v>7</v>
      </c>
      <c r="G268" s="41" t="s">
        <v>647</v>
      </c>
      <c r="H268" s="41" t="s">
        <v>740</v>
      </c>
      <c r="L268">
        <f t="shared" si="13"/>
        <v>13</v>
      </c>
      <c r="M268">
        <f t="shared" si="14"/>
        <v>33</v>
      </c>
    </row>
    <row r="269" spans="3:13" x14ac:dyDescent="0.35">
      <c r="D269" s="41" t="s">
        <v>774</v>
      </c>
      <c r="E269" s="41">
        <v>16</v>
      </c>
      <c r="F269" s="41">
        <v>14</v>
      </c>
      <c r="G269" s="41" t="s">
        <v>785</v>
      </c>
      <c r="H269" s="41" t="s">
        <v>770</v>
      </c>
      <c r="L269">
        <f t="shared" si="13"/>
        <v>2</v>
      </c>
      <c r="M269">
        <f t="shared" si="14"/>
        <v>22</v>
      </c>
    </row>
    <row r="270" spans="3:13" x14ac:dyDescent="0.35">
      <c r="C270" t="s">
        <v>788</v>
      </c>
      <c r="D270" s="41" t="s">
        <v>649</v>
      </c>
      <c r="E270" s="41">
        <v>19</v>
      </c>
      <c r="F270" s="41">
        <v>16</v>
      </c>
      <c r="G270" s="41" t="s">
        <v>660</v>
      </c>
      <c r="H270" s="41" t="s">
        <v>910</v>
      </c>
      <c r="L270">
        <f t="shared" si="13"/>
        <v>3</v>
      </c>
      <c r="M270">
        <f t="shared" si="14"/>
        <v>23</v>
      </c>
    </row>
    <row r="271" spans="3:13" x14ac:dyDescent="0.35">
      <c r="D271" s="41" t="s">
        <v>792</v>
      </c>
      <c r="E271" s="41">
        <v>14</v>
      </c>
      <c r="F271" s="41">
        <v>9</v>
      </c>
      <c r="G271" s="41" t="s">
        <v>640</v>
      </c>
      <c r="H271" s="41" t="s">
        <v>842</v>
      </c>
      <c r="L271">
        <f t="shared" si="13"/>
        <v>5</v>
      </c>
      <c r="M271">
        <f t="shared" si="14"/>
        <v>25</v>
      </c>
    </row>
    <row r="272" spans="3:13" x14ac:dyDescent="0.35">
      <c r="C272" t="s">
        <v>828</v>
      </c>
      <c r="D272" s="41" t="s">
        <v>751</v>
      </c>
      <c r="E272" s="41">
        <v>21</v>
      </c>
      <c r="F272" s="41">
        <v>17</v>
      </c>
      <c r="G272" s="41" t="s">
        <v>704</v>
      </c>
      <c r="H272" s="41" t="s">
        <v>702</v>
      </c>
      <c r="L272">
        <f t="shared" si="13"/>
        <v>4</v>
      </c>
      <c r="M272">
        <f t="shared" si="14"/>
        <v>24</v>
      </c>
    </row>
    <row r="273" spans="1:13" x14ac:dyDescent="0.35">
      <c r="D273" s="41" t="s">
        <v>643</v>
      </c>
      <c r="E273" s="41">
        <v>13</v>
      </c>
      <c r="F273" s="41">
        <v>6</v>
      </c>
      <c r="G273" s="41" t="s">
        <v>783</v>
      </c>
      <c r="H273" s="41" t="s">
        <v>770</v>
      </c>
      <c r="L273">
        <f t="shared" si="13"/>
        <v>7</v>
      </c>
      <c r="M273">
        <f t="shared" si="14"/>
        <v>27</v>
      </c>
    </row>
    <row r="274" spans="1:13" x14ac:dyDescent="0.35">
      <c r="D274" s="41" t="s">
        <v>768</v>
      </c>
      <c r="E274" s="41">
        <v>22</v>
      </c>
      <c r="F274" s="41">
        <v>19</v>
      </c>
      <c r="G274" s="41" t="s">
        <v>732</v>
      </c>
      <c r="H274" s="41" t="s">
        <v>851</v>
      </c>
      <c r="I274" t="s">
        <v>925</v>
      </c>
      <c r="L274">
        <f t="shared" si="13"/>
        <v>3</v>
      </c>
      <c r="M274">
        <f t="shared" si="14"/>
        <v>23</v>
      </c>
    </row>
    <row r="275" spans="1:13" x14ac:dyDescent="0.35">
      <c r="C275" t="s">
        <v>882</v>
      </c>
      <c r="D275" s="41" t="s">
        <v>661</v>
      </c>
      <c r="E275" s="41">
        <v>12</v>
      </c>
      <c r="F275" s="41">
        <v>11</v>
      </c>
      <c r="G275" s="41" t="s">
        <v>648</v>
      </c>
      <c r="H275" s="41" t="s">
        <v>721</v>
      </c>
      <c r="L275">
        <f t="shared" si="13"/>
        <v>1</v>
      </c>
      <c r="M275">
        <f t="shared" si="14"/>
        <v>21</v>
      </c>
    </row>
    <row r="276" spans="1:13" x14ac:dyDescent="0.35">
      <c r="C276" t="s">
        <v>810</v>
      </c>
      <c r="D276" s="41" t="s">
        <v>720</v>
      </c>
      <c r="E276" s="41">
        <v>21</v>
      </c>
      <c r="F276" s="41">
        <v>14</v>
      </c>
      <c r="G276" s="41" t="s">
        <v>737</v>
      </c>
      <c r="H276" s="41" t="s">
        <v>859</v>
      </c>
      <c r="I276" t="s">
        <v>926</v>
      </c>
      <c r="L276">
        <f t="shared" si="13"/>
        <v>7</v>
      </c>
      <c r="M276">
        <f t="shared" si="14"/>
        <v>27</v>
      </c>
    </row>
    <row r="277" spans="1:13" x14ac:dyDescent="0.35">
      <c r="D277" s="41" t="s">
        <v>729</v>
      </c>
      <c r="E277" s="41">
        <v>15</v>
      </c>
      <c r="F277" s="41">
        <v>9</v>
      </c>
      <c r="G277" s="41" t="s">
        <v>758</v>
      </c>
      <c r="H277" s="41" t="s">
        <v>724</v>
      </c>
      <c r="L277">
        <f t="shared" si="13"/>
        <v>6</v>
      </c>
      <c r="M277">
        <f t="shared" si="14"/>
        <v>26</v>
      </c>
    </row>
    <row r="278" spans="1:13" x14ac:dyDescent="0.35">
      <c r="C278" t="s">
        <v>927</v>
      </c>
      <c r="D278" s="41" t="s">
        <v>765</v>
      </c>
      <c r="E278" s="41">
        <v>16</v>
      </c>
      <c r="F278" s="41">
        <v>14</v>
      </c>
      <c r="G278" s="41" t="s">
        <v>650</v>
      </c>
      <c r="H278" s="41" t="s">
        <v>928</v>
      </c>
      <c r="L278">
        <f t="shared" si="13"/>
        <v>2</v>
      </c>
      <c r="M278">
        <f t="shared" si="14"/>
        <v>22</v>
      </c>
    </row>
    <row r="279" spans="1:13" x14ac:dyDescent="0.35">
      <c r="C279" t="s">
        <v>929</v>
      </c>
      <c r="D279" s="41" t="s">
        <v>712</v>
      </c>
      <c r="E279" s="41">
        <v>18</v>
      </c>
      <c r="F279" s="41">
        <v>11</v>
      </c>
      <c r="G279" s="41" t="s">
        <v>692</v>
      </c>
      <c r="H279" s="41" t="s">
        <v>789</v>
      </c>
      <c r="L279">
        <f t="shared" si="13"/>
        <v>7</v>
      </c>
      <c r="M279">
        <f t="shared" si="14"/>
        <v>27</v>
      </c>
    </row>
    <row r="280" spans="1:13" x14ac:dyDescent="0.35">
      <c r="C280" t="s">
        <v>930</v>
      </c>
      <c r="D280" s="41" t="s">
        <v>750</v>
      </c>
      <c r="E280" s="41">
        <v>26</v>
      </c>
      <c r="F280" s="41">
        <v>18</v>
      </c>
      <c r="G280" s="41" t="s">
        <v>467</v>
      </c>
      <c r="H280" s="41" t="s">
        <v>931</v>
      </c>
      <c r="L280">
        <f t="shared" si="13"/>
        <v>8</v>
      </c>
      <c r="M280">
        <f t="shared" si="14"/>
        <v>28</v>
      </c>
    </row>
    <row r="281" spans="1:13" ht="15" thickBot="1" x14ac:dyDescent="0.4">
      <c r="C281" s="40" t="s">
        <v>932</v>
      </c>
      <c r="D281" s="42" t="s">
        <v>718</v>
      </c>
      <c r="E281" s="42">
        <v>21</v>
      </c>
      <c r="F281" s="42">
        <v>11</v>
      </c>
      <c r="G281" s="42" t="s">
        <v>743</v>
      </c>
      <c r="H281" s="42" t="s">
        <v>781</v>
      </c>
      <c r="I281" s="40"/>
      <c r="L281">
        <f t="shared" si="13"/>
        <v>10</v>
      </c>
      <c r="M281">
        <f t="shared" si="14"/>
        <v>30</v>
      </c>
    </row>
    <row r="282" spans="1:13" x14ac:dyDescent="0.35">
      <c r="A282" t="s">
        <v>1123</v>
      </c>
      <c r="D282" s="41" t="s">
        <v>680</v>
      </c>
      <c r="E282" s="41">
        <v>11</v>
      </c>
      <c r="F282" s="41">
        <v>5</v>
      </c>
      <c r="G282" s="41" t="s">
        <v>756</v>
      </c>
      <c r="H282" s="41" t="s">
        <v>933</v>
      </c>
      <c r="L282">
        <f t="shared" si="13"/>
        <v>6</v>
      </c>
      <c r="M282">
        <f t="shared" si="14"/>
        <v>26</v>
      </c>
    </row>
    <row r="283" spans="1:13" x14ac:dyDescent="0.35">
      <c r="D283" s="41" t="s">
        <v>670</v>
      </c>
      <c r="E283" s="41">
        <v>18</v>
      </c>
      <c r="F283" s="41">
        <v>14</v>
      </c>
      <c r="G283" s="41" t="s">
        <v>582</v>
      </c>
      <c r="H283" s="41" t="s">
        <v>806</v>
      </c>
      <c r="L283">
        <f t="shared" si="13"/>
        <v>4</v>
      </c>
      <c r="M283">
        <f t="shared" si="14"/>
        <v>24</v>
      </c>
    </row>
    <row r="284" spans="1:13" x14ac:dyDescent="0.35">
      <c r="C284" t="s">
        <v>841</v>
      </c>
      <c r="D284" s="41" t="s">
        <v>743</v>
      </c>
      <c r="E284" s="41">
        <v>11</v>
      </c>
      <c r="F284" s="41">
        <v>4</v>
      </c>
      <c r="G284" s="41" t="s">
        <v>755</v>
      </c>
      <c r="H284" s="41" t="s">
        <v>870</v>
      </c>
      <c r="L284">
        <f t="shared" si="13"/>
        <v>7</v>
      </c>
      <c r="M284">
        <f t="shared" si="14"/>
        <v>27</v>
      </c>
    </row>
    <row r="285" spans="1:13" x14ac:dyDescent="0.35">
      <c r="D285" s="41" t="s">
        <v>738</v>
      </c>
      <c r="E285" s="41">
        <v>20</v>
      </c>
      <c r="F285" s="41">
        <v>6</v>
      </c>
      <c r="G285" s="41" t="s">
        <v>723</v>
      </c>
      <c r="H285" s="41" t="s">
        <v>740</v>
      </c>
      <c r="L285">
        <f t="shared" si="13"/>
        <v>14</v>
      </c>
      <c r="M285">
        <f t="shared" si="14"/>
        <v>34</v>
      </c>
    </row>
    <row r="286" spans="1:13" x14ac:dyDescent="0.35">
      <c r="C286" t="s">
        <v>805</v>
      </c>
      <c r="D286" s="41" t="s">
        <v>761</v>
      </c>
      <c r="E286" s="41">
        <v>18</v>
      </c>
      <c r="F286" s="41">
        <v>15</v>
      </c>
      <c r="G286" s="41" t="s">
        <v>765</v>
      </c>
      <c r="H286" s="41" t="s">
        <v>759</v>
      </c>
      <c r="L286">
        <f t="shared" si="13"/>
        <v>3</v>
      </c>
      <c r="M286">
        <f t="shared" si="14"/>
        <v>23</v>
      </c>
    </row>
    <row r="287" spans="1:13" x14ac:dyDescent="0.35">
      <c r="D287" s="41" t="s">
        <v>701</v>
      </c>
      <c r="E287" s="41">
        <v>21</v>
      </c>
      <c r="F287" s="41">
        <v>8</v>
      </c>
      <c r="G287" s="41" t="s">
        <v>713</v>
      </c>
      <c r="H287" s="41" t="s">
        <v>793</v>
      </c>
      <c r="L287">
        <f t="shared" si="13"/>
        <v>13</v>
      </c>
      <c r="M287">
        <f t="shared" si="14"/>
        <v>33</v>
      </c>
    </row>
    <row r="288" spans="1:13" x14ac:dyDescent="0.35">
      <c r="C288" t="s">
        <v>877</v>
      </c>
      <c r="D288" s="41" t="s">
        <v>467</v>
      </c>
      <c r="E288" s="41">
        <v>25</v>
      </c>
      <c r="F288" s="41">
        <v>9</v>
      </c>
      <c r="G288" s="41" t="s">
        <v>772</v>
      </c>
      <c r="H288" s="41" t="s">
        <v>934</v>
      </c>
      <c r="L288">
        <f t="shared" si="13"/>
        <v>16</v>
      </c>
      <c r="M288">
        <f t="shared" si="14"/>
        <v>36</v>
      </c>
    </row>
    <row r="289" spans="3:13" x14ac:dyDescent="0.35">
      <c r="D289" s="41" t="s">
        <v>764</v>
      </c>
      <c r="E289" s="41">
        <v>14</v>
      </c>
      <c r="F289" s="41">
        <v>4</v>
      </c>
      <c r="G289" s="41" t="s">
        <v>665</v>
      </c>
      <c r="H289" s="41" t="s">
        <v>801</v>
      </c>
      <c r="L289">
        <f t="shared" si="13"/>
        <v>10</v>
      </c>
      <c r="M289">
        <f t="shared" si="14"/>
        <v>30</v>
      </c>
    </row>
    <row r="290" spans="3:13" x14ac:dyDescent="0.35">
      <c r="D290" s="41" t="s">
        <v>706</v>
      </c>
      <c r="E290" s="41">
        <v>16</v>
      </c>
      <c r="F290" s="41">
        <v>11</v>
      </c>
      <c r="G290" s="41" t="s">
        <v>646</v>
      </c>
      <c r="H290" s="41" t="s">
        <v>773</v>
      </c>
      <c r="L290">
        <f t="shared" si="13"/>
        <v>5</v>
      </c>
      <c r="M290">
        <f t="shared" si="14"/>
        <v>25</v>
      </c>
    </row>
    <row r="291" spans="3:13" x14ac:dyDescent="0.35">
      <c r="C291" t="s">
        <v>812</v>
      </c>
      <c r="D291" s="41" t="s">
        <v>731</v>
      </c>
      <c r="E291" s="41">
        <v>27</v>
      </c>
      <c r="F291" s="41">
        <v>7</v>
      </c>
      <c r="G291" s="41" t="s">
        <v>722</v>
      </c>
      <c r="H291" s="41" t="s">
        <v>935</v>
      </c>
      <c r="L291">
        <f t="shared" si="13"/>
        <v>20</v>
      </c>
      <c r="M291">
        <f t="shared" si="14"/>
        <v>40</v>
      </c>
    </row>
    <row r="292" spans="3:13" x14ac:dyDescent="0.35">
      <c r="C292" t="s">
        <v>815</v>
      </c>
      <c r="D292" s="41" t="s">
        <v>648</v>
      </c>
      <c r="E292" s="41">
        <v>23</v>
      </c>
      <c r="F292" s="41">
        <v>10</v>
      </c>
      <c r="G292" s="41" t="s">
        <v>466</v>
      </c>
      <c r="H292" s="41" t="s">
        <v>793</v>
      </c>
      <c r="L292">
        <f t="shared" si="13"/>
        <v>13</v>
      </c>
      <c r="M292">
        <f t="shared" si="14"/>
        <v>33</v>
      </c>
    </row>
    <row r="293" spans="3:13" x14ac:dyDescent="0.35">
      <c r="C293" t="s">
        <v>880</v>
      </c>
      <c r="D293" s="41" t="s">
        <v>718</v>
      </c>
      <c r="E293" s="41">
        <v>19</v>
      </c>
      <c r="F293" s="41">
        <v>9</v>
      </c>
      <c r="G293" s="41" t="s">
        <v>679</v>
      </c>
      <c r="H293" s="41" t="s">
        <v>721</v>
      </c>
      <c r="L293">
        <f t="shared" si="13"/>
        <v>10</v>
      </c>
      <c r="M293">
        <f t="shared" si="14"/>
        <v>30</v>
      </c>
    </row>
    <row r="294" spans="3:13" x14ac:dyDescent="0.35">
      <c r="C294" t="s">
        <v>797</v>
      </c>
      <c r="D294" s="41" t="s">
        <v>734</v>
      </c>
      <c r="E294" s="41">
        <v>14</v>
      </c>
      <c r="F294" s="41">
        <v>11</v>
      </c>
      <c r="G294" s="41" t="s">
        <v>677</v>
      </c>
      <c r="H294" s="41" t="s">
        <v>796</v>
      </c>
      <c r="L294">
        <f t="shared" si="13"/>
        <v>3</v>
      </c>
      <c r="M294">
        <f t="shared" si="14"/>
        <v>23</v>
      </c>
    </row>
    <row r="295" spans="3:13" x14ac:dyDescent="0.35">
      <c r="C295" t="s">
        <v>828</v>
      </c>
      <c r="D295" s="41" t="s">
        <v>750</v>
      </c>
      <c r="E295" s="41">
        <v>14</v>
      </c>
      <c r="F295" s="41">
        <v>9</v>
      </c>
      <c r="G295" s="41" t="s">
        <v>678</v>
      </c>
      <c r="H295" s="41" t="s">
        <v>857</v>
      </c>
      <c r="L295">
        <f t="shared" si="13"/>
        <v>5</v>
      </c>
      <c r="M295">
        <f t="shared" si="14"/>
        <v>25</v>
      </c>
    </row>
    <row r="296" spans="3:13" x14ac:dyDescent="0.35">
      <c r="D296" s="41" t="s">
        <v>777</v>
      </c>
      <c r="E296" s="41">
        <v>19</v>
      </c>
      <c r="F296" s="41">
        <v>15</v>
      </c>
      <c r="G296" s="41" t="s">
        <v>709</v>
      </c>
      <c r="H296" s="41" t="s">
        <v>806</v>
      </c>
      <c r="L296">
        <f t="shared" si="13"/>
        <v>4</v>
      </c>
      <c r="M296">
        <f t="shared" si="14"/>
        <v>24</v>
      </c>
    </row>
    <row r="297" spans="3:13" x14ac:dyDescent="0.35">
      <c r="D297" s="41" t="s">
        <v>660</v>
      </c>
      <c r="E297" s="41">
        <v>16</v>
      </c>
      <c r="F297" s="41">
        <v>7</v>
      </c>
      <c r="G297" s="41" t="s">
        <v>767</v>
      </c>
      <c r="H297" s="41" t="s">
        <v>874</v>
      </c>
      <c r="L297">
        <f t="shared" si="13"/>
        <v>9</v>
      </c>
      <c r="M297">
        <f t="shared" si="14"/>
        <v>29</v>
      </c>
    </row>
    <row r="298" spans="3:13" x14ac:dyDescent="0.35">
      <c r="C298" t="s">
        <v>936</v>
      </c>
      <c r="D298" s="41" t="s">
        <v>747</v>
      </c>
      <c r="E298" s="41">
        <v>19</v>
      </c>
      <c r="F298" s="41">
        <v>12</v>
      </c>
      <c r="G298" s="41" t="s">
        <v>700</v>
      </c>
      <c r="H298" s="41" t="s">
        <v>910</v>
      </c>
      <c r="L298">
        <f t="shared" si="13"/>
        <v>7</v>
      </c>
      <c r="M298">
        <f t="shared" si="14"/>
        <v>27</v>
      </c>
    </row>
    <row r="299" spans="3:13" x14ac:dyDescent="0.35">
      <c r="D299" s="41" t="s">
        <v>779</v>
      </c>
      <c r="E299" s="41">
        <v>16</v>
      </c>
      <c r="F299" s="41">
        <v>14</v>
      </c>
      <c r="G299" s="41" t="s">
        <v>465</v>
      </c>
      <c r="H299" s="41" t="s">
        <v>866</v>
      </c>
      <c r="L299">
        <f t="shared" si="13"/>
        <v>2</v>
      </c>
      <c r="M299">
        <f t="shared" si="14"/>
        <v>22</v>
      </c>
    </row>
    <row r="300" spans="3:13" x14ac:dyDescent="0.35">
      <c r="D300" s="41" t="s">
        <v>663</v>
      </c>
      <c r="E300" s="41">
        <v>13</v>
      </c>
      <c r="F300" s="41">
        <v>7</v>
      </c>
      <c r="G300" s="41" t="s">
        <v>771</v>
      </c>
      <c r="H300" s="41" t="s">
        <v>721</v>
      </c>
      <c r="L300">
        <f t="shared" si="13"/>
        <v>6</v>
      </c>
      <c r="M300">
        <f t="shared" si="14"/>
        <v>26</v>
      </c>
    </row>
    <row r="301" spans="3:13" x14ac:dyDescent="0.35">
      <c r="D301" s="41" t="s">
        <v>676</v>
      </c>
      <c r="E301" s="41">
        <v>8</v>
      </c>
      <c r="F301" s="41">
        <v>4</v>
      </c>
      <c r="G301" s="41" t="s">
        <v>671</v>
      </c>
      <c r="H301" s="41" t="s">
        <v>933</v>
      </c>
      <c r="L301">
        <f t="shared" si="13"/>
        <v>4</v>
      </c>
      <c r="M301">
        <f t="shared" si="14"/>
        <v>24</v>
      </c>
    </row>
    <row r="302" spans="3:13" x14ac:dyDescent="0.35">
      <c r="D302" s="41" t="s">
        <v>642</v>
      </c>
      <c r="E302" s="41">
        <v>15</v>
      </c>
      <c r="F302" s="41">
        <v>6</v>
      </c>
      <c r="G302" s="41" t="s">
        <v>732</v>
      </c>
      <c r="H302" s="41" t="s">
        <v>748</v>
      </c>
      <c r="L302">
        <f t="shared" si="13"/>
        <v>9</v>
      </c>
      <c r="M302">
        <f t="shared" si="14"/>
        <v>29</v>
      </c>
    </row>
    <row r="303" spans="3:13" x14ac:dyDescent="0.35">
      <c r="D303" s="41" t="s">
        <v>647</v>
      </c>
      <c r="E303" s="41">
        <v>16</v>
      </c>
      <c r="F303" s="41">
        <v>5</v>
      </c>
      <c r="G303" s="41" t="s">
        <v>783</v>
      </c>
      <c r="H303" s="41" t="s">
        <v>775</v>
      </c>
      <c r="L303">
        <f t="shared" si="13"/>
        <v>11</v>
      </c>
      <c r="M303">
        <f t="shared" si="14"/>
        <v>31</v>
      </c>
    </row>
    <row r="304" spans="3:13" x14ac:dyDescent="0.35">
      <c r="D304" s="41" t="s">
        <v>242</v>
      </c>
      <c r="E304" s="41">
        <v>32</v>
      </c>
      <c r="F304" s="41">
        <v>13</v>
      </c>
      <c r="G304" s="41" t="s">
        <v>758</v>
      </c>
      <c r="H304" s="41" t="s">
        <v>859</v>
      </c>
      <c r="I304" s="41" t="s">
        <v>937</v>
      </c>
      <c r="L304">
        <f t="shared" si="13"/>
        <v>19</v>
      </c>
      <c r="M304">
        <f t="shared" si="14"/>
        <v>39</v>
      </c>
    </row>
    <row r="305" spans="3:13" x14ac:dyDescent="0.35">
      <c r="C305" t="s">
        <v>817</v>
      </c>
      <c r="D305" s="41" t="s">
        <v>644</v>
      </c>
      <c r="E305" s="41">
        <v>20</v>
      </c>
      <c r="F305" s="41">
        <v>6</v>
      </c>
      <c r="G305" s="41" t="s">
        <v>726</v>
      </c>
      <c r="H305" s="41" t="s">
        <v>748</v>
      </c>
      <c r="L305">
        <f t="shared" si="13"/>
        <v>14</v>
      </c>
      <c r="M305">
        <f t="shared" si="14"/>
        <v>34</v>
      </c>
    </row>
    <row r="306" spans="3:13" x14ac:dyDescent="0.35">
      <c r="D306" s="41" t="s">
        <v>753</v>
      </c>
      <c r="E306" s="41">
        <v>17</v>
      </c>
      <c r="F306" s="41">
        <v>5</v>
      </c>
      <c r="G306" s="41" t="s">
        <v>692</v>
      </c>
      <c r="H306" s="41" t="s">
        <v>836</v>
      </c>
      <c r="L306">
        <f t="shared" si="13"/>
        <v>12</v>
      </c>
      <c r="M306">
        <f t="shared" si="14"/>
        <v>32</v>
      </c>
    </row>
    <row r="307" spans="3:13" x14ac:dyDescent="0.35">
      <c r="D307" s="41" t="s">
        <v>785</v>
      </c>
      <c r="E307" s="41">
        <v>21</v>
      </c>
      <c r="F307" s="41">
        <v>6</v>
      </c>
      <c r="G307" s="41" t="s">
        <v>792</v>
      </c>
      <c r="H307" s="41" t="s">
        <v>748</v>
      </c>
      <c r="L307">
        <f t="shared" si="13"/>
        <v>15</v>
      </c>
      <c r="M307">
        <f t="shared" si="14"/>
        <v>35</v>
      </c>
    </row>
    <row r="308" spans="3:13" x14ac:dyDescent="0.35">
      <c r="D308" s="41" t="s">
        <v>245</v>
      </c>
      <c r="E308" s="41">
        <v>14</v>
      </c>
      <c r="F308" s="41">
        <v>8</v>
      </c>
      <c r="G308" s="41" t="s">
        <v>774</v>
      </c>
      <c r="H308" s="41" t="s">
        <v>821</v>
      </c>
      <c r="L308">
        <f t="shared" si="13"/>
        <v>6</v>
      </c>
      <c r="M308">
        <f t="shared" si="14"/>
        <v>26</v>
      </c>
    </row>
    <row r="309" spans="3:13" x14ac:dyDescent="0.35">
      <c r="D309" s="41" t="s">
        <v>742</v>
      </c>
      <c r="E309" s="41">
        <v>17</v>
      </c>
      <c r="F309" s="41">
        <v>10</v>
      </c>
      <c r="G309" s="41" t="s">
        <v>716</v>
      </c>
      <c r="H309" s="41" t="s">
        <v>796</v>
      </c>
      <c r="L309">
        <f t="shared" si="13"/>
        <v>7</v>
      </c>
      <c r="M309">
        <f t="shared" si="14"/>
        <v>27</v>
      </c>
    </row>
    <row r="310" spans="3:13" x14ac:dyDescent="0.35">
      <c r="C310" t="s">
        <v>873</v>
      </c>
      <c r="D310" s="41" t="s">
        <v>641</v>
      </c>
      <c r="E310" s="41">
        <v>30</v>
      </c>
      <c r="F310" s="41">
        <v>13</v>
      </c>
      <c r="G310" s="41" t="s">
        <v>672</v>
      </c>
      <c r="H310" s="41" t="s">
        <v>754</v>
      </c>
      <c r="I310" t="s">
        <v>938</v>
      </c>
      <c r="L310">
        <f t="shared" si="13"/>
        <v>17</v>
      </c>
      <c r="M310">
        <f t="shared" si="14"/>
        <v>37</v>
      </c>
    </row>
    <row r="311" spans="3:13" x14ac:dyDescent="0.35">
      <c r="D311" s="41" t="s">
        <v>640</v>
      </c>
      <c r="E311" s="41">
        <v>12</v>
      </c>
      <c r="F311" s="41">
        <v>3</v>
      </c>
      <c r="G311" s="41" t="s">
        <v>704</v>
      </c>
      <c r="H311" s="41" t="s">
        <v>801</v>
      </c>
      <c r="L311">
        <f t="shared" si="13"/>
        <v>9</v>
      </c>
      <c r="M311">
        <f t="shared" si="14"/>
        <v>29</v>
      </c>
    </row>
    <row r="312" spans="3:13" x14ac:dyDescent="0.35">
      <c r="C312" t="s">
        <v>850</v>
      </c>
      <c r="D312" s="41" t="s">
        <v>760</v>
      </c>
      <c r="E312" s="41">
        <v>15</v>
      </c>
      <c r="F312" s="41">
        <v>10</v>
      </c>
      <c r="G312" s="41" t="s">
        <v>768</v>
      </c>
      <c r="H312" s="41" t="s">
        <v>714</v>
      </c>
      <c r="L312">
        <f t="shared" si="13"/>
        <v>5</v>
      </c>
      <c r="M312">
        <f t="shared" si="14"/>
        <v>25</v>
      </c>
    </row>
    <row r="313" spans="3:13" x14ac:dyDescent="0.35">
      <c r="C313" t="s">
        <v>863</v>
      </c>
      <c r="D313" s="41" t="s">
        <v>661</v>
      </c>
      <c r="E313" s="41">
        <v>18</v>
      </c>
      <c r="F313" s="41">
        <v>10</v>
      </c>
      <c r="G313" s="41" t="s">
        <v>729</v>
      </c>
      <c r="H313" s="41" t="s">
        <v>935</v>
      </c>
      <c r="L313">
        <f t="shared" si="13"/>
        <v>8</v>
      </c>
      <c r="M313">
        <f t="shared" si="14"/>
        <v>28</v>
      </c>
    </row>
    <row r="314" spans="3:13" x14ac:dyDescent="0.35">
      <c r="D314" s="41" t="s">
        <v>643</v>
      </c>
      <c r="E314" s="41">
        <v>17</v>
      </c>
      <c r="F314" s="41">
        <v>14</v>
      </c>
      <c r="G314" s="41" t="s">
        <v>693</v>
      </c>
      <c r="H314" s="41" t="s">
        <v>773</v>
      </c>
      <c r="L314">
        <f t="shared" si="13"/>
        <v>3</v>
      </c>
      <c r="M314">
        <f t="shared" si="14"/>
        <v>23</v>
      </c>
    </row>
    <row r="315" spans="3:13" x14ac:dyDescent="0.35">
      <c r="C315" t="s">
        <v>939</v>
      </c>
      <c r="D315" s="41" t="s">
        <v>737</v>
      </c>
      <c r="E315" s="41">
        <v>22</v>
      </c>
      <c r="F315" s="41">
        <v>20</v>
      </c>
      <c r="G315" s="41" t="s">
        <v>746</v>
      </c>
      <c r="H315" s="41" t="s">
        <v>818</v>
      </c>
      <c r="I315" t="s">
        <v>940</v>
      </c>
      <c r="L315">
        <f t="shared" si="13"/>
        <v>2</v>
      </c>
      <c r="M315">
        <f t="shared" si="14"/>
        <v>22</v>
      </c>
    </row>
    <row r="316" spans="3:13" x14ac:dyDescent="0.35">
      <c r="C316" t="s">
        <v>941</v>
      </c>
      <c r="D316" s="41" t="s">
        <v>751</v>
      </c>
      <c r="E316" s="41">
        <v>19</v>
      </c>
      <c r="F316" s="41">
        <v>16</v>
      </c>
      <c r="G316" s="41" t="s">
        <v>720</v>
      </c>
      <c r="H316" s="41" t="s">
        <v>851</v>
      </c>
      <c r="L316">
        <f t="shared" si="13"/>
        <v>3</v>
      </c>
      <c r="M316">
        <f t="shared" si="14"/>
        <v>23</v>
      </c>
    </row>
    <row r="317" spans="3:13" x14ac:dyDescent="0.35">
      <c r="C317" t="s">
        <v>906</v>
      </c>
      <c r="D317" s="41" t="s">
        <v>763</v>
      </c>
      <c r="E317" s="41">
        <v>19</v>
      </c>
      <c r="F317" s="41">
        <v>11</v>
      </c>
      <c r="G317" s="41" t="s">
        <v>649</v>
      </c>
      <c r="H317" s="41" t="s">
        <v>839</v>
      </c>
      <c r="L317">
        <f t="shared" si="13"/>
        <v>8</v>
      </c>
      <c r="M317">
        <f t="shared" si="14"/>
        <v>28</v>
      </c>
    </row>
    <row r="318" spans="3:13" x14ac:dyDescent="0.35">
      <c r="C318" t="s">
        <v>942</v>
      </c>
      <c r="D318" s="41" t="s">
        <v>776</v>
      </c>
      <c r="E318" s="41">
        <v>16</v>
      </c>
      <c r="F318" s="41">
        <v>10</v>
      </c>
      <c r="G318" s="41" t="s">
        <v>784</v>
      </c>
      <c r="H318" s="41" t="s">
        <v>790</v>
      </c>
      <c r="L318">
        <f t="shared" si="13"/>
        <v>6</v>
      </c>
      <c r="M318">
        <f t="shared" si="14"/>
        <v>26</v>
      </c>
    </row>
    <row r="319" spans="3:13" x14ac:dyDescent="0.35">
      <c r="C319" t="s">
        <v>943</v>
      </c>
      <c r="D319" s="41" t="s">
        <v>780</v>
      </c>
      <c r="E319" s="41">
        <v>13</v>
      </c>
      <c r="F319" s="41">
        <v>10</v>
      </c>
      <c r="G319" s="41" t="s">
        <v>712</v>
      </c>
      <c r="H319" s="41" t="s">
        <v>821</v>
      </c>
      <c r="L319">
        <f t="shared" si="13"/>
        <v>3</v>
      </c>
      <c r="M319">
        <f t="shared" si="14"/>
        <v>23</v>
      </c>
    </row>
    <row r="320" spans="3:13" x14ac:dyDescent="0.35">
      <c r="C320" t="s">
        <v>944</v>
      </c>
      <c r="D320" s="41" t="s">
        <v>673</v>
      </c>
      <c r="E320" s="41">
        <v>16</v>
      </c>
      <c r="F320" s="41">
        <v>11</v>
      </c>
      <c r="G320" s="41" t="s">
        <v>757</v>
      </c>
      <c r="H320" s="41" t="s">
        <v>769</v>
      </c>
      <c r="L320">
        <f t="shared" si="13"/>
        <v>5</v>
      </c>
      <c r="M320">
        <f t="shared" si="14"/>
        <v>25</v>
      </c>
    </row>
    <row r="321" spans="1:13" ht="15" thickBot="1" x14ac:dyDescent="0.4">
      <c r="C321" s="40" t="s">
        <v>945</v>
      </c>
      <c r="D321" s="40" t="s">
        <v>778</v>
      </c>
      <c r="E321" s="40">
        <v>25</v>
      </c>
      <c r="F321" s="40">
        <v>17</v>
      </c>
      <c r="G321" s="40" t="s">
        <v>650</v>
      </c>
      <c r="H321" s="40" t="s">
        <v>907</v>
      </c>
      <c r="I321" s="40" t="s">
        <v>946</v>
      </c>
      <c r="L321">
        <f t="shared" si="13"/>
        <v>8</v>
      </c>
      <c r="M321">
        <f t="shared" si="14"/>
        <v>28</v>
      </c>
    </row>
    <row r="322" spans="1:13" x14ac:dyDescent="0.35">
      <c r="A322" t="s">
        <v>1124</v>
      </c>
      <c r="C322" s="41" t="s">
        <v>816</v>
      </c>
      <c r="D322" s="41" t="s">
        <v>746</v>
      </c>
      <c r="E322" s="41">
        <v>24</v>
      </c>
      <c r="F322" s="41">
        <v>12</v>
      </c>
      <c r="G322" s="41" t="s">
        <v>670</v>
      </c>
      <c r="H322" s="41" t="s">
        <v>786</v>
      </c>
      <c r="I322" t="s">
        <v>947</v>
      </c>
      <c r="L322">
        <f t="shared" ref="L322:L385" si="15">E322-F322</f>
        <v>12</v>
      </c>
      <c r="M322">
        <f t="shared" si="14"/>
        <v>32</v>
      </c>
    </row>
    <row r="323" spans="1:13" x14ac:dyDescent="0.35">
      <c r="D323" s="41" t="s">
        <v>582</v>
      </c>
      <c r="E323" s="41">
        <v>23</v>
      </c>
      <c r="F323" s="41">
        <v>16</v>
      </c>
      <c r="G323" s="41" t="s">
        <v>737</v>
      </c>
      <c r="H323" s="41" t="s">
        <v>796</v>
      </c>
      <c r="L323">
        <f t="shared" si="15"/>
        <v>7</v>
      </c>
      <c r="M323">
        <f t="shared" ref="M323:M386" si="16">24+L323-4</f>
        <v>27</v>
      </c>
    </row>
    <row r="324" spans="1:13" x14ac:dyDescent="0.35">
      <c r="D324" s="41" t="s">
        <v>777</v>
      </c>
      <c r="E324" s="41">
        <v>25</v>
      </c>
      <c r="F324" s="41">
        <v>12</v>
      </c>
      <c r="G324" s="41" t="s">
        <v>755</v>
      </c>
      <c r="H324" s="41" t="s">
        <v>699</v>
      </c>
      <c r="L324">
        <f t="shared" si="15"/>
        <v>13</v>
      </c>
      <c r="M324">
        <f t="shared" si="16"/>
        <v>33</v>
      </c>
    </row>
    <row r="325" spans="1:13" x14ac:dyDescent="0.35">
      <c r="D325" s="41" t="s">
        <v>713</v>
      </c>
      <c r="E325" s="41">
        <v>16</v>
      </c>
      <c r="F325" s="41">
        <v>11</v>
      </c>
      <c r="G325" s="41" t="s">
        <v>723</v>
      </c>
      <c r="H325" s="41" t="s">
        <v>769</v>
      </c>
      <c r="L325">
        <f t="shared" si="15"/>
        <v>5</v>
      </c>
      <c r="M325">
        <f t="shared" si="16"/>
        <v>25</v>
      </c>
    </row>
    <row r="326" spans="1:13" x14ac:dyDescent="0.35">
      <c r="D326" s="41" t="s">
        <v>665</v>
      </c>
      <c r="E326" s="41">
        <v>11</v>
      </c>
      <c r="F326" s="41">
        <v>9</v>
      </c>
      <c r="G326" s="41" t="s">
        <v>774</v>
      </c>
      <c r="H326" s="41" t="s">
        <v>762</v>
      </c>
      <c r="L326">
        <f t="shared" si="15"/>
        <v>2</v>
      </c>
      <c r="M326">
        <f t="shared" si="16"/>
        <v>22</v>
      </c>
    </row>
    <row r="327" spans="1:13" x14ac:dyDescent="0.35">
      <c r="C327" t="s">
        <v>825</v>
      </c>
      <c r="D327" s="41" t="s">
        <v>750</v>
      </c>
      <c r="E327" s="41">
        <v>15</v>
      </c>
      <c r="F327" s="41">
        <v>12</v>
      </c>
      <c r="G327" s="41" t="s">
        <v>466</v>
      </c>
      <c r="H327" s="41" t="s">
        <v>702</v>
      </c>
      <c r="I327" t="s">
        <v>948</v>
      </c>
      <c r="L327">
        <f t="shared" si="15"/>
        <v>3</v>
      </c>
      <c r="M327">
        <f t="shared" si="16"/>
        <v>23</v>
      </c>
    </row>
    <row r="328" spans="1:13" x14ac:dyDescent="0.35">
      <c r="C328" t="s">
        <v>807</v>
      </c>
      <c r="D328" s="41" t="s">
        <v>763</v>
      </c>
      <c r="E328" s="41">
        <v>24</v>
      </c>
      <c r="F328" s="41">
        <v>11</v>
      </c>
      <c r="G328" s="41" t="s">
        <v>772</v>
      </c>
      <c r="H328" s="41" t="s">
        <v>781</v>
      </c>
      <c r="L328">
        <f t="shared" si="15"/>
        <v>13</v>
      </c>
      <c r="M328">
        <f t="shared" si="16"/>
        <v>33</v>
      </c>
    </row>
    <row r="329" spans="1:13" x14ac:dyDescent="0.35">
      <c r="C329" t="s">
        <v>936</v>
      </c>
      <c r="D329" s="41" t="s">
        <v>680</v>
      </c>
      <c r="E329" s="41">
        <v>14</v>
      </c>
      <c r="F329" s="41">
        <v>10</v>
      </c>
      <c r="G329" s="41" t="s">
        <v>650</v>
      </c>
      <c r="H329" s="41" t="s">
        <v>710</v>
      </c>
      <c r="L329">
        <f t="shared" si="15"/>
        <v>4</v>
      </c>
      <c r="M329">
        <f t="shared" si="16"/>
        <v>24</v>
      </c>
    </row>
    <row r="330" spans="1:13" x14ac:dyDescent="0.35">
      <c r="C330" t="s">
        <v>815</v>
      </c>
      <c r="D330" s="41" t="s">
        <v>648</v>
      </c>
      <c r="E330" s="41">
        <v>15</v>
      </c>
      <c r="F330" s="41">
        <v>11</v>
      </c>
      <c r="G330" s="41" t="s">
        <v>678</v>
      </c>
      <c r="H330" s="41" t="s">
        <v>769</v>
      </c>
      <c r="L330">
        <f t="shared" si="15"/>
        <v>4</v>
      </c>
      <c r="M330">
        <f t="shared" si="16"/>
        <v>24</v>
      </c>
    </row>
    <row r="331" spans="1:13" x14ac:dyDescent="0.35">
      <c r="D331" s="41" t="s">
        <v>738</v>
      </c>
      <c r="E331" s="41">
        <v>14</v>
      </c>
      <c r="F331" s="41">
        <v>9</v>
      </c>
      <c r="G331" s="41" t="s">
        <v>701</v>
      </c>
      <c r="H331" s="41" t="s">
        <v>714</v>
      </c>
      <c r="L331">
        <f t="shared" si="15"/>
        <v>5</v>
      </c>
      <c r="M331">
        <f t="shared" si="16"/>
        <v>25</v>
      </c>
    </row>
    <row r="332" spans="1:13" x14ac:dyDescent="0.35">
      <c r="D332" s="41" t="s">
        <v>761</v>
      </c>
      <c r="E332" s="41">
        <v>22</v>
      </c>
      <c r="F332" s="41">
        <v>8</v>
      </c>
      <c r="G332" s="41" t="s">
        <v>671</v>
      </c>
      <c r="H332" s="41" t="s">
        <v>836</v>
      </c>
      <c r="L332">
        <f t="shared" si="15"/>
        <v>14</v>
      </c>
      <c r="M332">
        <f t="shared" si="16"/>
        <v>34</v>
      </c>
    </row>
    <row r="333" spans="1:13" x14ac:dyDescent="0.35">
      <c r="D333" s="41" t="s">
        <v>679</v>
      </c>
      <c r="E333" s="41">
        <v>15</v>
      </c>
      <c r="F333" s="41">
        <v>11</v>
      </c>
      <c r="G333" s="41" t="s">
        <v>643</v>
      </c>
      <c r="H333" s="41" t="s">
        <v>793</v>
      </c>
      <c r="I333" t="s">
        <v>949</v>
      </c>
      <c r="L333">
        <f t="shared" si="15"/>
        <v>4</v>
      </c>
      <c r="M333">
        <f t="shared" si="16"/>
        <v>24</v>
      </c>
    </row>
    <row r="334" spans="1:13" x14ac:dyDescent="0.35">
      <c r="C334" t="s">
        <v>800</v>
      </c>
      <c r="D334" s="41" t="s">
        <v>778</v>
      </c>
      <c r="E334" s="41">
        <v>21</v>
      </c>
      <c r="F334" s="41">
        <v>19</v>
      </c>
      <c r="G334" s="41" t="s">
        <v>756</v>
      </c>
      <c r="H334" s="41" t="s">
        <v>727</v>
      </c>
      <c r="L334">
        <f t="shared" si="15"/>
        <v>2</v>
      </c>
      <c r="M334">
        <f t="shared" si="16"/>
        <v>22</v>
      </c>
    </row>
    <row r="335" spans="1:13" x14ac:dyDescent="0.35">
      <c r="D335" s="41" t="s">
        <v>783</v>
      </c>
      <c r="E335" s="41">
        <v>18</v>
      </c>
      <c r="F335" s="41">
        <v>6</v>
      </c>
      <c r="G335" s="41" t="s">
        <v>677</v>
      </c>
      <c r="H335" s="41" t="s">
        <v>739</v>
      </c>
      <c r="L335">
        <f t="shared" si="15"/>
        <v>12</v>
      </c>
      <c r="M335">
        <f t="shared" si="16"/>
        <v>32</v>
      </c>
    </row>
    <row r="336" spans="1:13" x14ac:dyDescent="0.35">
      <c r="C336" t="s">
        <v>788</v>
      </c>
      <c r="D336" s="41" t="s">
        <v>743</v>
      </c>
      <c r="E336" s="41">
        <v>16</v>
      </c>
      <c r="F336" s="41">
        <v>15</v>
      </c>
      <c r="G336" s="41" t="s">
        <v>709</v>
      </c>
      <c r="H336" s="41" t="s">
        <v>705</v>
      </c>
      <c r="L336">
        <f t="shared" si="15"/>
        <v>1</v>
      </c>
      <c r="M336">
        <f t="shared" si="16"/>
        <v>21</v>
      </c>
    </row>
    <row r="337" spans="3:13" x14ac:dyDescent="0.35">
      <c r="D337" s="41" t="s">
        <v>767</v>
      </c>
      <c r="E337" s="41">
        <v>17</v>
      </c>
      <c r="F337" s="41">
        <v>11</v>
      </c>
      <c r="G337" s="41" t="s">
        <v>640</v>
      </c>
      <c r="H337" s="41" t="s">
        <v>724</v>
      </c>
      <c r="L337">
        <f t="shared" si="15"/>
        <v>6</v>
      </c>
      <c r="M337">
        <f t="shared" si="16"/>
        <v>26</v>
      </c>
    </row>
    <row r="338" spans="3:13" x14ac:dyDescent="0.35">
      <c r="D338" s="41" t="s">
        <v>758</v>
      </c>
      <c r="E338" s="41">
        <v>15</v>
      </c>
      <c r="F338" s="41">
        <v>9</v>
      </c>
      <c r="G338" s="41" t="s">
        <v>646</v>
      </c>
      <c r="H338" s="41" t="s">
        <v>821</v>
      </c>
      <c r="L338">
        <f t="shared" si="15"/>
        <v>6</v>
      </c>
      <c r="M338">
        <f t="shared" si="16"/>
        <v>26</v>
      </c>
    </row>
    <row r="339" spans="3:13" x14ac:dyDescent="0.35">
      <c r="C339" t="s">
        <v>791</v>
      </c>
      <c r="D339" s="41" t="s">
        <v>751</v>
      </c>
      <c r="E339" s="41">
        <v>21</v>
      </c>
      <c r="F339" s="41">
        <v>10</v>
      </c>
      <c r="G339" s="41" t="s">
        <v>771</v>
      </c>
      <c r="H339" s="41" t="s">
        <v>773</v>
      </c>
      <c r="L339">
        <f t="shared" si="15"/>
        <v>11</v>
      </c>
      <c r="M339">
        <f t="shared" si="16"/>
        <v>31</v>
      </c>
    </row>
    <row r="340" spans="3:13" x14ac:dyDescent="0.35">
      <c r="D340" s="41" t="s">
        <v>706</v>
      </c>
      <c r="E340" s="41">
        <v>17</v>
      </c>
      <c r="F340" s="41">
        <v>13</v>
      </c>
      <c r="G340" s="41" t="s">
        <v>242</v>
      </c>
      <c r="H340" s="41" t="s">
        <v>781</v>
      </c>
      <c r="L340">
        <f t="shared" si="15"/>
        <v>4</v>
      </c>
      <c r="M340">
        <f t="shared" si="16"/>
        <v>24</v>
      </c>
    </row>
    <row r="341" spans="3:13" x14ac:dyDescent="0.35">
      <c r="C341" t="s">
        <v>828</v>
      </c>
      <c r="D341" s="41" t="s">
        <v>776</v>
      </c>
      <c r="E341" s="41">
        <v>18</v>
      </c>
      <c r="F341" s="41">
        <v>11</v>
      </c>
      <c r="G341" s="41" t="s">
        <v>726</v>
      </c>
      <c r="H341" s="41" t="s">
        <v>770</v>
      </c>
      <c r="L341">
        <f t="shared" si="15"/>
        <v>7</v>
      </c>
      <c r="M341">
        <f t="shared" si="16"/>
        <v>27</v>
      </c>
    </row>
    <row r="342" spans="3:13" x14ac:dyDescent="0.35">
      <c r="D342" s="41" t="s">
        <v>716</v>
      </c>
      <c r="E342" s="41">
        <v>16</v>
      </c>
      <c r="F342" s="41">
        <v>14</v>
      </c>
      <c r="G342" s="41" t="s">
        <v>722</v>
      </c>
      <c r="H342" s="41" t="s">
        <v>950</v>
      </c>
      <c r="L342">
        <f t="shared" si="15"/>
        <v>2</v>
      </c>
      <c r="M342">
        <f t="shared" si="16"/>
        <v>22</v>
      </c>
    </row>
    <row r="343" spans="3:13" x14ac:dyDescent="0.35">
      <c r="D343" s="41" t="s">
        <v>779</v>
      </c>
      <c r="E343" s="41">
        <v>15</v>
      </c>
      <c r="F343" s="41">
        <v>14</v>
      </c>
      <c r="G343" s="41" t="s">
        <v>672</v>
      </c>
      <c r="H343" s="41" t="s">
        <v>769</v>
      </c>
      <c r="I343" t="s">
        <v>951</v>
      </c>
      <c r="L343">
        <f t="shared" si="15"/>
        <v>1</v>
      </c>
      <c r="M343">
        <f t="shared" si="16"/>
        <v>21</v>
      </c>
    </row>
    <row r="344" spans="3:13" x14ac:dyDescent="0.35">
      <c r="D344" s="41" t="s">
        <v>704</v>
      </c>
      <c r="E344" s="41">
        <v>15</v>
      </c>
      <c r="F344" s="41">
        <v>14</v>
      </c>
      <c r="G344" s="41" t="s">
        <v>660</v>
      </c>
      <c r="H344" s="41" t="s">
        <v>952</v>
      </c>
      <c r="I344" t="s">
        <v>953</v>
      </c>
      <c r="L344">
        <f t="shared" si="15"/>
        <v>1</v>
      </c>
      <c r="M344">
        <f t="shared" si="16"/>
        <v>21</v>
      </c>
    </row>
    <row r="345" spans="3:13" x14ac:dyDescent="0.35">
      <c r="C345" t="s">
        <v>830</v>
      </c>
      <c r="D345" s="41" t="s">
        <v>676</v>
      </c>
      <c r="E345" s="41">
        <v>14</v>
      </c>
      <c r="F345" s="41">
        <v>11</v>
      </c>
      <c r="G345" s="41" t="s">
        <v>765</v>
      </c>
      <c r="H345" s="41" t="s">
        <v>773</v>
      </c>
      <c r="L345">
        <f t="shared" si="15"/>
        <v>3</v>
      </c>
      <c r="M345">
        <f t="shared" si="16"/>
        <v>23</v>
      </c>
    </row>
    <row r="346" spans="3:13" x14ac:dyDescent="0.35">
      <c r="D346" s="41" t="s">
        <v>642</v>
      </c>
      <c r="E346" s="41">
        <v>14</v>
      </c>
      <c r="F346" s="41">
        <v>13</v>
      </c>
      <c r="G346" s="41" t="s">
        <v>753</v>
      </c>
      <c r="H346" s="41" t="s">
        <v>710</v>
      </c>
      <c r="L346">
        <f t="shared" si="15"/>
        <v>1</v>
      </c>
      <c r="M346">
        <f t="shared" si="16"/>
        <v>21</v>
      </c>
    </row>
    <row r="347" spans="3:13" x14ac:dyDescent="0.35">
      <c r="D347" s="41" t="s">
        <v>732</v>
      </c>
      <c r="E347" s="41">
        <v>11</v>
      </c>
      <c r="F347" s="41">
        <v>10</v>
      </c>
      <c r="G347" s="41" t="s">
        <v>692</v>
      </c>
      <c r="H347" s="41" t="s">
        <v>707</v>
      </c>
      <c r="L347">
        <f t="shared" si="15"/>
        <v>1</v>
      </c>
      <c r="M347">
        <f t="shared" si="16"/>
        <v>21</v>
      </c>
    </row>
    <row r="348" spans="3:13" x14ac:dyDescent="0.35">
      <c r="C348" t="s">
        <v>846</v>
      </c>
      <c r="D348" s="41" t="s">
        <v>747</v>
      </c>
      <c r="E348" s="41">
        <v>15</v>
      </c>
      <c r="F348" s="41">
        <v>14</v>
      </c>
      <c r="G348" s="41" t="s">
        <v>661</v>
      </c>
      <c r="H348" s="41" t="s">
        <v>781</v>
      </c>
      <c r="L348">
        <f t="shared" si="15"/>
        <v>1</v>
      </c>
      <c r="M348">
        <f t="shared" si="16"/>
        <v>21</v>
      </c>
    </row>
    <row r="349" spans="3:13" x14ac:dyDescent="0.35">
      <c r="D349" s="41" t="s">
        <v>768</v>
      </c>
      <c r="E349" s="41">
        <v>12</v>
      </c>
      <c r="F349" s="41">
        <v>10</v>
      </c>
      <c r="G349" s="41" t="s">
        <v>785</v>
      </c>
      <c r="H349" s="41" t="s">
        <v>702</v>
      </c>
      <c r="L349">
        <f t="shared" si="15"/>
        <v>2</v>
      </c>
      <c r="M349">
        <f t="shared" si="16"/>
        <v>22</v>
      </c>
    </row>
    <row r="350" spans="3:13" x14ac:dyDescent="0.35">
      <c r="C350" t="s">
        <v>855</v>
      </c>
      <c r="D350" s="41" t="s">
        <v>641</v>
      </c>
      <c r="E350" s="41">
        <v>16</v>
      </c>
      <c r="F350" s="41">
        <v>13</v>
      </c>
      <c r="G350" s="41" t="s">
        <v>465</v>
      </c>
      <c r="H350" s="41" t="s">
        <v>705</v>
      </c>
      <c r="L350">
        <f t="shared" si="15"/>
        <v>3</v>
      </c>
      <c r="M350">
        <f t="shared" si="16"/>
        <v>23</v>
      </c>
    </row>
    <row r="351" spans="3:13" x14ac:dyDescent="0.35">
      <c r="C351" t="s">
        <v>954</v>
      </c>
      <c r="D351" s="41" t="s">
        <v>760</v>
      </c>
      <c r="E351" s="41">
        <v>13</v>
      </c>
      <c r="F351" s="41">
        <v>12</v>
      </c>
      <c r="G351" s="41" t="s">
        <v>792</v>
      </c>
      <c r="H351" s="41" t="s">
        <v>955</v>
      </c>
      <c r="L351">
        <f t="shared" si="15"/>
        <v>1</v>
      </c>
      <c r="M351">
        <f t="shared" si="16"/>
        <v>21</v>
      </c>
    </row>
    <row r="352" spans="3:13" x14ac:dyDescent="0.35">
      <c r="C352" t="s">
        <v>918</v>
      </c>
      <c r="D352" s="41" t="s">
        <v>647</v>
      </c>
      <c r="E352" s="41">
        <v>14</v>
      </c>
      <c r="F352" s="41">
        <v>10</v>
      </c>
      <c r="G352" s="41" t="s">
        <v>734</v>
      </c>
      <c r="H352" s="41" t="s">
        <v>714</v>
      </c>
      <c r="L352">
        <f t="shared" si="15"/>
        <v>4</v>
      </c>
      <c r="M352">
        <f t="shared" si="16"/>
        <v>24</v>
      </c>
    </row>
    <row r="353" spans="1:13" x14ac:dyDescent="0.35">
      <c r="C353" t="s">
        <v>956</v>
      </c>
      <c r="D353" s="41" t="s">
        <v>729</v>
      </c>
      <c r="E353" s="41">
        <v>16</v>
      </c>
      <c r="F353" s="41">
        <v>10</v>
      </c>
      <c r="G353" s="41" t="s">
        <v>700</v>
      </c>
      <c r="H353" s="41" t="s">
        <v>773</v>
      </c>
      <c r="L353">
        <f t="shared" si="15"/>
        <v>6</v>
      </c>
      <c r="M353">
        <f t="shared" si="16"/>
        <v>26</v>
      </c>
    </row>
    <row r="354" spans="1:13" x14ac:dyDescent="0.35">
      <c r="D354" s="41" t="s">
        <v>764</v>
      </c>
      <c r="E354" s="41">
        <v>11</v>
      </c>
      <c r="F354" s="41">
        <v>9</v>
      </c>
      <c r="G354" s="41" t="s">
        <v>245</v>
      </c>
      <c r="H354" s="41" t="s">
        <v>770</v>
      </c>
      <c r="L354">
        <f t="shared" si="15"/>
        <v>2</v>
      </c>
      <c r="M354">
        <f t="shared" si="16"/>
        <v>22</v>
      </c>
    </row>
    <row r="355" spans="1:13" x14ac:dyDescent="0.35">
      <c r="D355" s="41" t="s">
        <v>663</v>
      </c>
      <c r="E355" s="41">
        <v>17</v>
      </c>
      <c r="F355" s="41">
        <v>13</v>
      </c>
      <c r="G355" s="41" t="s">
        <v>720</v>
      </c>
      <c r="H355" s="41" t="s">
        <v>907</v>
      </c>
      <c r="I355" t="s">
        <v>957</v>
      </c>
      <c r="L355">
        <f t="shared" si="15"/>
        <v>4</v>
      </c>
      <c r="M355">
        <f t="shared" si="16"/>
        <v>24</v>
      </c>
    </row>
    <row r="356" spans="1:13" x14ac:dyDescent="0.35">
      <c r="C356" t="s">
        <v>853</v>
      </c>
      <c r="D356" s="41" t="s">
        <v>693</v>
      </c>
      <c r="E356" s="41">
        <v>20</v>
      </c>
      <c r="F356" s="41">
        <v>19</v>
      </c>
      <c r="G356" s="41" t="s">
        <v>718</v>
      </c>
      <c r="H356" s="41" t="s">
        <v>786</v>
      </c>
      <c r="I356" t="s">
        <v>958</v>
      </c>
      <c r="L356">
        <f t="shared" si="15"/>
        <v>1</v>
      </c>
      <c r="M356">
        <f t="shared" si="16"/>
        <v>21</v>
      </c>
    </row>
    <row r="357" spans="1:13" x14ac:dyDescent="0.35">
      <c r="B357" t="s">
        <v>959</v>
      </c>
      <c r="C357" t="s">
        <v>812</v>
      </c>
      <c r="D357" s="41" t="s">
        <v>731</v>
      </c>
      <c r="E357" s="41">
        <v>29</v>
      </c>
      <c r="F357" s="41">
        <v>14</v>
      </c>
      <c r="G357" s="41" t="s">
        <v>742</v>
      </c>
      <c r="H357" s="41" t="s">
        <v>719</v>
      </c>
      <c r="L357">
        <f t="shared" si="15"/>
        <v>15</v>
      </c>
      <c r="M357">
        <f t="shared" si="16"/>
        <v>35</v>
      </c>
    </row>
    <row r="358" spans="1:13" x14ac:dyDescent="0.35">
      <c r="C358" t="s">
        <v>960</v>
      </c>
      <c r="D358" s="41" t="s">
        <v>467</v>
      </c>
      <c r="E358" s="41">
        <v>14</v>
      </c>
      <c r="F358" s="41">
        <v>12</v>
      </c>
      <c r="G358" s="41" t="s">
        <v>649</v>
      </c>
      <c r="H358" s="41" t="s">
        <v>710</v>
      </c>
      <c r="L358">
        <f t="shared" si="15"/>
        <v>2</v>
      </c>
      <c r="M358">
        <f t="shared" si="16"/>
        <v>22</v>
      </c>
    </row>
    <row r="359" spans="1:13" x14ac:dyDescent="0.35">
      <c r="C359" t="s">
        <v>961</v>
      </c>
      <c r="D359" s="41" t="s">
        <v>644</v>
      </c>
      <c r="E359" s="41">
        <v>17</v>
      </c>
      <c r="F359" s="41">
        <v>11</v>
      </c>
      <c r="G359" s="41" t="s">
        <v>784</v>
      </c>
      <c r="H359" s="41" t="s">
        <v>770</v>
      </c>
      <c r="L359">
        <f t="shared" si="15"/>
        <v>6</v>
      </c>
      <c r="M359">
        <f t="shared" si="16"/>
        <v>26</v>
      </c>
    </row>
    <row r="360" spans="1:13" x14ac:dyDescent="0.35">
      <c r="C360" t="s">
        <v>962</v>
      </c>
      <c r="D360" s="41" t="s">
        <v>757</v>
      </c>
      <c r="E360" s="41">
        <v>24</v>
      </c>
      <c r="F360" s="41">
        <v>18</v>
      </c>
      <c r="G360" s="41" t="s">
        <v>712</v>
      </c>
      <c r="H360" s="41" t="s">
        <v>754</v>
      </c>
      <c r="I360" t="s">
        <v>963</v>
      </c>
      <c r="L360">
        <f t="shared" si="15"/>
        <v>6</v>
      </c>
      <c r="M360">
        <f t="shared" si="16"/>
        <v>26</v>
      </c>
    </row>
    <row r="361" spans="1:13" ht="15" thickBot="1" x14ac:dyDescent="0.4">
      <c r="C361" s="40" t="s">
        <v>964</v>
      </c>
      <c r="D361" s="42" t="s">
        <v>780</v>
      </c>
      <c r="E361" s="42">
        <v>18</v>
      </c>
      <c r="F361" s="42">
        <v>16</v>
      </c>
      <c r="G361" s="42" t="s">
        <v>673</v>
      </c>
      <c r="H361" s="42" t="s">
        <v>735</v>
      </c>
      <c r="I361" s="40" t="s">
        <v>965</v>
      </c>
      <c r="L361">
        <f t="shared" si="15"/>
        <v>2</v>
      </c>
      <c r="M361">
        <f t="shared" si="16"/>
        <v>22</v>
      </c>
    </row>
    <row r="362" spans="1:13" x14ac:dyDescent="0.35">
      <c r="A362" t="s">
        <v>1125</v>
      </c>
      <c r="D362" s="41" t="s">
        <v>772</v>
      </c>
      <c r="E362" s="41">
        <v>15</v>
      </c>
      <c r="F362" s="41">
        <v>10</v>
      </c>
      <c r="G362" s="41" t="s">
        <v>792</v>
      </c>
      <c r="H362" s="41" t="s">
        <v>714</v>
      </c>
      <c r="L362">
        <f t="shared" si="15"/>
        <v>5</v>
      </c>
      <c r="M362">
        <f t="shared" si="16"/>
        <v>25</v>
      </c>
    </row>
    <row r="363" spans="1:13" x14ac:dyDescent="0.35">
      <c r="D363" s="41" t="s">
        <v>755</v>
      </c>
      <c r="E363" s="41">
        <v>14</v>
      </c>
      <c r="F363" s="41">
        <v>11</v>
      </c>
      <c r="G363" s="41" t="s">
        <v>678</v>
      </c>
      <c r="H363" s="41" t="s">
        <v>781</v>
      </c>
      <c r="L363">
        <f t="shared" si="15"/>
        <v>3</v>
      </c>
      <c r="M363">
        <f t="shared" si="16"/>
        <v>23</v>
      </c>
    </row>
    <row r="364" spans="1:13" x14ac:dyDescent="0.35">
      <c r="D364" s="41" t="s">
        <v>242</v>
      </c>
      <c r="E364" s="41">
        <v>14</v>
      </c>
      <c r="F364" s="41">
        <v>7</v>
      </c>
      <c r="G364" s="41" t="s">
        <v>723</v>
      </c>
      <c r="H364" s="41" t="s">
        <v>741</v>
      </c>
      <c r="L364">
        <f t="shared" si="15"/>
        <v>7</v>
      </c>
      <c r="M364">
        <f t="shared" si="16"/>
        <v>27</v>
      </c>
    </row>
    <row r="365" spans="1:13" x14ac:dyDescent="0.35">
      <c r="D365" s="41" t="s">
        <v>670</v>
      </c>
      <c r="E365" s="41">
        <v>17</v>
      </c>
      <c r="F365" s="41">
        <v>16</v>
      </c>
      <c r="G365" s="41" t="s">
        <v>732</v>
      </c>
      <c r="H365" s="41" t="s">
        <v>719</v>
      </c>
      <c r="L365">
        <f t="shared" si="15"/>
        <v>1</v>
      </c>
      <c r="M365">
        <f t="shared" si="16"/>
        <v>21</v>
      </c>
    </row>
    <row r="366" spans="1:13" x14ac:dyDescent="0.35">
      <c r="D366" s="41" t="s">
        <v>646</v>
      </c>
      <c r="E366" s="41">
        <v>14</v>
      </c>
      <c r="F366" s="41">
        <v>13</v>
      </c>
      <c r="G366" s="41" t="s">
        <v>701</v>
      </c>
      <c r="H366" s="41" t="s">
        <v>741</v>
      </c>
      <c r="L366">
        <f t="shared" si="15"/>
        <v>1</v>
      </c>
      <c r="M366">
        <f t="shared" si="16"/>
        <v>21</v>
      </c>
    </row>
    <row r="367" spans="1:13" x14ac:dyDescent="0.35">
      <c r="D367" s="41" t="s">
        <v>466</v>
      </c>
      <c r="E367" s="41">
        <v>19</v>
      </c>
      <c r="F367" s="41">
        <v>17</v>
      </c>
      <c r="G367" s="41" t="s">
        <v>709</v>
      </c>
      <c r="H367" s="41" t="s">
        <v>910</v>
      </c>
      <c r="L367">
        <f t="shared" si="15"/>
        <v>2</v>
      </c>
      <c r="M367">
        <f t="shared" si="16"/>
        <v>22</v>
      </c>
    </row>
    <row r="368" spans="1:13" x14ac:dyDescent="0.35">
      <c r="D368" s="41" t="s">
        <v>582</v>
      </c>
      <c r="E368" s="41">
        <v>14</v>
      </c>
      <c r="F368" s="41">
        <v>11</v>
      </c>
      <c r="G368" s="41" t="s">
        <v>642</v>
      </c>
      <c r="H368" s="41" t="s">
        <v>789</v>
      </c>
      <c r="L368">
        <f t="shared" si="15"/>
        <v>3</v>
      </c>
      <c r="M368">
        <f t="shared" si="16"/>
        <v>23</v>
      </c>
    </row>
    <row r="369" spans="3:13" x14ac:dyDescent="0.35">
      <c r="C369" t="s">
        <v>805</v>
      </c>
      <c r="D369" s="41" t="s">
        <v>677</v>
      </c>
      <c r="E369" s="41">
        <v>27</v>
      </c>
      <c r="F369" s="41">
        <v>15</v>
      </c>
      <c r="G369" s="41" t="s">
        <v>729</v>
      </c>
      <c r="H369" s="41" t="s">
        <v>920</v>
      </c>
      <c r="L369">
        <f t="shared" si="15"/>
        <v>12</v>
      </c>
      <c r="M369">
        <f t="shared" si="16"/>
        <v>32</v>
      </c>
    </row>
    <row r="370" spans="3:13" x14ac:dyDescent="0.35">
      <c r="D370" s="41" t="s">
        <v>680</v>
      </c>
      <c r="E370" s="41">
        <v>22</v>
      </c>
      <c r="F370" s="41">
        <v>10</v>
      </c>
      <c r="G370" s="41" t="s">
        <v>665</v>
      </c>
      <c r="H370" s="41" t="s">
        <v>775</v>
      </c>
      <c r="L370">
        <f t="shared" si="15"/>
        <v>12</v>
      </c>
      <c r="M370">
        <f t="shared" si="16"/>
        <v>32</v>
      </c>
    </row>
    <row r="371" spans="3:13" x14ac:dyDescent="0.35">
      <c r="C371" t="s">
        <v>797</v>
      </c>
      <c r="D371" s="41" t="s">
        <v>784</v>
      </c>
      <c r="E371" s="41">
        <v>20</v>
      </c>
      <c r="F371" s="41">
        <v>11</v>
      </c>
      <c r="G371" s="41" t="s">
        <v>771</v>
      </c>
      <c r="H371" s="41" t="s">
        <v>773</v>
      </c>
      <c r="L371">
        <f t="shared" si="15"/>
        <v>9</v>
      </c>
      <c r="M371">
        <f t="shared" si="16"/>
        <v>29</v>
      </c>
    </row>
    <row r="372" spans="3:13" x14ac:dyDescent="0.35">
      <c r="D372" s="41" t="s">
        <v>756</v>
      </c>
      <c r="E372" s="41">
        <v>18</v>
      </c>
      <c r="F372" s="41">
        <v>17</v>
      </c>
      <c r="G372" s="41" t="s">
        <v>764</v>
      </c>
      <c r="H372" s="41" t="s">
        <v>866</v>
      </c>
      <c r="L372">
        <f t="shared" si="15"/>
        <v>1</v>
      </c>
      <c r="M372">
        <f t="shared" si="16"/>
        <v>21</v>
      </c>
    </row>
    <row r="373" spans="3:13" x14ac:dyDescent="0.35">
      <c r="D373" s="41" t="s">
        <v>722</v>
      </c>
      <c r="E373" s="41">
        <v>21</v>
      </c>
      <c r="F373" s="41">
        <v>18</v>
      </c>
      <c r="G373" s="41" t="s">
        <v>672</v>
      </c>
      <c r="H373" s="41" t="s">
        <v>966</v>
      </c>
      <c r="I373" t="s">
        <v>967</v>
      </c>
      <c r="L373">
        <f t="shared" si="15"/>
        <v>3</v>
      </c>
      <c r="M373">
        <f t="shared" si="16"/>
        <v>23</v>
      </c>
    </row>
    <row r="374" spans="3:13" x14ac:dyDescent="0.35">
      <c r="D374" s="41" t="s">
        <v>720</v>
      </c>
      <c r="E374" s="41">
        <v>29</v>
      </c>
      <c r="F374" s="41">
        <v>4</v>
      </c>
      <c r="G374" s="41" t="s">
        <v>726</v>
      </c>
      <c r="H374" s="41" t="s">
        <v>968</v>
      </c>
      <c r="L374">
        <f t="shared" si="15"/>
        <v>25</v>
      </c>
      <c r="M374">
        <f t="shared" si="16"/>
        <v>45</v>
      </c>
    </row>
    <row r="375" spans="3:13" x14ac:dyDescent="0.35">
      <c r="C375" t="s">
        <v>804</v>
      </c>
      <c r="D375" s="41" t="s">
        <v>679</v>
      </c>
      <c r="E375" s="41">
        <v>19</v>
      </c>
      <c r="F375" s="41">
        <v>15</v>
      </c>
      <c r="G375" s="41" t="s">
        <v>712</v>
      </c>
      <c r="H375" s="41" t="s">
        <v>818</v>
      </c>
      <c r="L375">
        <f t="shared" si="15"/>
        <v>4</v>
      </c>
      <c r="M375">
        <f t="shared" si="16"/>
        <v>24</v>
      </c>
    </row>
    <row r="376" spans="3:13" x14ac:dyDescent="0.35">
      <c r="D376" s="41" t="s">
        <v>704</v>
      </c>
      <c r="E376" s="41">
        <v>18</v>
      </c>
      <c r="F376" s="41">
        <v>4</v>
      </c>
      <c r="G376" s="41" t="s">
        <v>671</v>
      </c>
      <c r="H376" s="41" t="s">
        <v>969</v>
      </c>
      <c r="L376">
        <f t="shared" si="15"/>
        <v>14</v>
      </c>
      <c r="M376">
        <f t="shared" si="16"/>
        <v>34</v>
      </c>
    </row>
    <row r="377" spans="3:13" x14ac:dyDescent="0.35">
      <c r="C377" t="s">
        <v>936</v>
      </c>
      <c r="D377" s="41" t="s">
        <v>774</v>
      </c>
      <c r="E377" s="41">
        <v>23</v>
      </c>
      <c r="F377" s="41">
        <v>17</v>
      </c>
      <c r="G377" s="41" t="s">
        <v>650</v>
      </c>
      <c r="H377" s="41" t="s">
        <v>910</v>
      </c>
      <c r="I377" t="s">
        <v>970</v>
      </c>
      <c r="L377">
        <f t="shared" si="15"/>
        <v>6</v>
      </c>
      <c r="M377">
        <f t="shared" si="16"/>
        <v>26</v>
      </c>
    </row>
    <row r="378" spans="3:13" x14ac:dyDescent="0.35">
      <c r="D378" s="41" t="s">
        <v>742</v>
      </c>
      <c r="E378" s="41">
        <v>16</v>
      </c>
      <c r="F378" s="41">
        <v>13</v>
      </c>
      <c r="G378" s="41" t="s">
        <v>465</v>
      </c>
      <c r="H378" s="41" t="s">
        <v>928</v>
      </c>
      <c r="I378" t="s">
        <v>971</v>
      </c>
      <c r="L378">
        <f t="shared" si="15"/>
        <v>3</v>
      </c>
      <c r="M378">
        <f t="shared" si="16"/>
        <v>23</v>
      </c>
    </row>
    <row r="379" spans="3:13" x14ac:dyDescent="0.35">
      <c r="D379" s="41" t="s">
        <v>713</v>
      </c>
      <c r="E379" s="41">
        <v>10</v>
      </c>
      <c r="F379" s="41">
        <v>9</v>
      </c>
      <c r="G379" s="41" t="s">
        <v>706</v>
      </c>
      <c r="H379" s="41" t="s">
        <v>839</v>
      </c>
      <c r="L379">
        <f t="shared" si="15"/>
        <v>1</v>
      </c>
      <c r="M379">
        <f t="shared" si="16"/>
        <v>21</v>
      </c>
    </row>
    <row r="380" spans="3:13" x14ac:dyDescent="0.35">
      <c r="C380" t="s">
        <v>841</v>
      </c>
      <c r="D380" s="41" t="s">
        <v>738</v>
      </c>
      <c r="E380" s="41">
        <v>19</v>
      </c>
      <c r="F380" s="41">
        <v>14</v>
      </c>
      <c r="G380" s="41" t="s">
        <v>758</v>
      </c>
      <c r="H380" s="41" t="s">
        <v>920</v>
      </c>
      <c r="L380">
        <f t="shared" si="15"/>
        <v>5</v>
      </c>
      <c r="M380">
        <f t="shared" si="16"/>
        <v>25</v>
      </c>
    </row>
    <row r="381" spans="3:13" x14ac:dyDescent="0.35">
      <c r="D381" s="41" t="s">
        <v>779</v>
      </c>
      <c r="E381" s="41">
        <v>20</v>
      </c>
      <c r="F381" s="41">
        <v>17</v>
      </c>
      <c r="G381" s="41" t="s">
        <v>716</v>
      </c>
      <c r="H381" s="41" t="s">
        <v>972</v>
      </c>
      <c r="L381">
        <f t="shared" si="15"/>
        <v>3</v>
      </c>
      <c r="M381">
        <f t="shared" si="16"/>
        <v>23</v>
      </c>
    </row>
    <row r="382" spans="3:13" x14ac:dyDescent="0.35">
      <c r="D382" s="41" t="s">
        <v>676</v>
      </c>
      <c r="E382" s="41">
        <v>14</v>
      </c>
      <c r="F382" s="41">
        <v>12</v>
      </c>
      <c r="G382" s="41" t="s">
        <v>640</v>
      </c>
      <c r="H382" s="41" t="s">
        <v>769</v>
      </c>
      <c r="I382" s="41" t="s">
        <v>973</v>
      </c>
      <c r="L382">
        <f t="shared" si="15"/>
        <v>2</v>
      </c>
      <c r="M382">
        <f t="shared" si="16"/>
        <v>22</v>
      </c>
    </row>
    <row r="383" spans="3:13" x14ac:dyDescent="0.35">
      <c r="C383" t="s">
        <v>812</v>
      </c>
      <c r="D383" s="41" t="s">
        <v>467</v>
      </c>
      <c r="E383" s="41">
        <v>13</v>
      </c>
      <c r="F383" s="41">
        <v>10</v>
      </c>
      <c r="G383" s="41" t="s">
        <v>785</v>
      </c>
      <c r="H383" s="41" t="s">
        <v>974</v>
      </c>
      <c r="L383">
        <f t="shared" si="15"/>
        <v>3</v>
      </c>
      <c r="M383">
        <f t="shared" si="16"/>
        <v>23</v>
      </c>
    </row>
    <row r="384" spans="3:13" x14ac:dyDescent="0.35">
      <c r="D384" s="41" t="s">
        <v>767</v>
      </c>
      <c r="E384" s="41">
        <v>14</v>
      </c>
      <c r="F384" s="41">
        <v>8</v>
      </c>
      <c r="G384" s="41" t="s">
        <v>765</v>
      </c>
      <c r="H384" s="41" t="s">
        <v>842</v>
      </c>
      <c r="L384">
        <f t="shared" si="15"/>
        <v>6</v>
      </c>
      <c r="M384">
        <f t="shared" si="16"/>
        <v>26</v>
      </c>
    </row>
    <row r="385" spans="3:13" x14ac:dyDescent="0.35">
      <c r="C385" t="s">
        <v>908</v>
      </c>
      <c r="D385" s="41" t="s">
        <v>643</v>
      </c>
      <c r="E385" s="41">
        <v>13</v>
      </c>
      <c r="F385" s="41">
        <v>12</v>
      </c>
      <c r="G385" s="41" t="s">
        <v>757</v>
      </c>
      <c r="H385" s="41" t="s">
        <v>705</v>
      </c>
      <c r="L385">
        <f t="shared" si="15"/>
        <v>1</v>
      </c>
      <c r="M385">
        <f t="shared" si="16"/>
        <v>21</v>
      </c>
    </row>
    <row r="386" spans="3:13" x14ac:dyDescent="0.35">
      <c r="D386" s="41" t="s">
        <v>761</v>
      </c>
      <c r="E386" s="41">
        <v>18</v>
      </c>
      <c r="F386" s="41">
        <v>11</v>
      </c>
      <c r="G386" s="41" t="s">
        <v>660</v>
      </c>
      <c r="H386" s="41" t="s">
        <v>796</v>
      </c>
      <c r="L386">
        <f t="shared" ref="L386:L449" si="17">E386-F386</f>
        <v>7</v>
      </c>
      <c r="M386">
        <f t="shared" si="16"/>
        <v>27</v>
      </c>
    </row>
    <row r="387" spans="3:13" x14ac:dyDescent="0.35">
      <c r="D387" s="41" t="s">
        <v>753</v>
      </c>
      <c r="E387" s="41">
        <v>18</v>
      </c>
      <c r="F387" s="41">
        <v>9</v>
      </c>
      <c r="G387" s="41" t="s">
        <v>737</v>
      </c>
      <c r="H387" s="41" t="s">
        <v>759</v>
      </c>
      <c r="L387">
        <f t="shared" si="17"/>
        <v>9</v>
      </c>
      <c r="M387">
        <f t="shared" ref="M387:M450" si="18">24+L387-4</f>
        <v>29</v>
      </c>
    </row>
    <row r="388" spans="3:13" x14ac:dyDescent="0.35">
      <c r="C388" t="s">
        <v>788</v>
      </c>
      <c r="D388" s="41" t="s">
        <v>649</v>
      </c>
      <c r="E388" s="41">
        <v>14</v>
      </c>
      <c r="F388" s="41">
        <v>11</v>
      </c>
      <c r="G388" s="41" t="s">
        <v>768</v>
      </c>
      <c r="H388" s="41" t="s">
        <v>831</v>
      </c>
      <c r="L388">
        <f t="shared" si="17"/>
        <v>3</v>
      </c>
      <c r="M388">
        <f t="shared" si="18"/>
        <v>23</v>
      </c>
    </row>
    <row r="389" spans="3:13" x14ac:dyDescent="0.35">
      <c r="D389" s="41" t="s">
        <v>746</v>
      </c>
      <c r="E389" s="41">
        <v>28</v>
      </c>
      <c r="F389" s="41">
        <v>17</v>
      </c>
      <c r="G389" s="41" t="s">
        <v>692</v>
      </c>
      <c r="H389" s="41" t="s">
        <v>975</v>
      </c>
      <c r="L389">
        <f t="shared" si="17"/>
        <v>11</v>
      </c>
      <c r="M389">
        <f t="shared" si="18"/>
        <v>31</v>
      </c>
    </row>
    <row r="390" spans="3:13" x14ac:dyDescent="0.35">
      <c r="D390" s="41" t="s">
        <v>647</v>
      </c>
      <c r="E390" s="41">
        <v>16</v>
      </c>
      <c r="F390" s="41">
        <v>15</v>
      </c>
      <c r="G390" s="41" t="s">
        <v>747</v>
      </c>
      <c r="H390" s="41" t="s">
        <v>786</v>
      </c>
      <c r="I390" t="s">
        <v>976</v>
      </c>
      <c r="L390">
        <f t="shared" si="17"/>
        <v>1</v>
      </c>
      <c r="M390">
        <f t="shared" si="18"/>
        <v>21</v>
      </c>
    </row>
    <row r="391" spans="3:13" x14ac:dyDescent="0.35">
      <c r="D391" s="41" t="s">
        <v>783</v>
      </c>
      <c r="E391" s="41">
        <v>17</v>
      </c>
      <c r="F391" s="41">
        <v>10</v>
      </c>
      <c r="G391" s="41" t="s">
        <v>700</v>
      </c>
      <c r="H391" s="41" t="s">
        <v>796</v>
      </c>
      <c r="L391">
        <f t="shared" si="17"/>
        <v>7</v>
      </c>
      <c r="M391">
        <f t="shared" si="18"/>
        <v>27</v>
      </c>
    </row>
    <row r="392" spans="3:13" x14ac:dyDescent="0.35">
      <c r="C392" t="s">
        <v>824</v>
      </c>
      <c r="D392" s="41" t="s">
        <v>663</v>
      </c>
      <c r="E392" s="41">
        <v>13</v>
      </c>
      <c r="F392" s="41">
        <v>7</v>
      </c>
      <c r="G392" s="41" t="s">
        <v>776</v>
      </c>
      <c r="H392" s="41" t="s">
        <v>838</v>
      </c>
      <c r="L392">
        <f t="shared" si="17"/>
        <v>6</v>
      </c>
      <c r="M392">
        <f t="shared" si="18"/>
        <v>26</v>
      </c>
    </row>
    <row r="393" spans="3:13" x14ac:dyDescent="0.35">
      <c r="C393" t="s">
        <v>850</v>
      </c>
      <c r="D393" s="41" t="s">
        <v>648</v>
      </c>
      <c r="E393" s="41">
        <v>18</v>
      </c>
      <c r="F393" s="41">
        <v>17</v>
      </c>
      <c r="G393" s="41" t="s">
        <v>777</v>
      </c>
      <c r="H393" s="41" t="s">
        <v>717</v>
      </c>
      <c r="L393">
        <f t="shared" si="17"/>
        <v>1</v>
      </c>
      <c r="M393">
        <f t="shared" si="18"/>
        <v>21</v>
      </c>
    </row>
    <row r="394" spans="3:13" x14ac:dyDescent="0.35">
      <c r="C394" t="s">
        <v>800</v>
      </c>
      <c r="D394" s="41" t="s">
        <v>778</v>
      </c>
      <c r="E394" s="41">
        <v>29</v>
      </c>
      <c r="F394" s="41">
        <v>9</v>
      </c>
      <c r="G394" s="41" t="s">
        <v>245</v>
      </c>
      <c r="H394" s="41" t="s">
        <v>823</v>
      </c>
      <c r="L394">
        <f t="shared" si="17"/>
        <v>20</v>
      </c>
      <c r="M394">
        <f t="shared" si="18"/>
        <v>40</v>
      </c>
    </row>
    <row r="395" spans="3:13" x14ac:dyDescent="0.35">
      <c r="C395" t="s">
        <v>977</v>
      </c>
      <c r="D395" s="41" t="s">
        <v>734</v>
      </c>
      <c r="E395" s="41">
        <v>17</v>
      </c>
      <c r="F395" s="41">
        <v>8</v>
      </c>
      <c r="G395" s="41" t="s">
        <v>661</v>
      </c>
      <c r="H395" s="41" t="s">
        <v>789</v>
      </c>
      <c r="L395">
        <f t="shared" si="17"/>
        <v>9</v>
      </c>
      <c r="M395">
        <f t="shared" si="18"/>
        <v>29</v>
      </c>
    </row>
    <row r="396" spans="3:13" x14ac:dyDescent="0.35">
      <c r="C396" t="s">
        <v>978</v>
      </c>
      <c r="D396" s="41" t="s">
        <v>673</v>
      </c>
      <c r="E396" s="41">
        <v>21</v>
      </c>
      <c r="F396" s="41">
        <v>14</v>
      </c>
      <c r="G396" s="41" t="s">
        <v>693</v>
      </c>
      <c r="H396" s="41" t="s">
        <v>793</v>
      </c>
      <c r="L396">
        <f t="shared" si="17"/>
        <v>7</v>
      </c>
      <c r="M396">
        <f t="shared" si="18"/>
        <v>27</v>
      </c>
    </row>
    <row r="397" spans="3:13" x14ac:dyDescent="0.35">
      <c r="C397" t="s">
        <v>979</v>
      </c>
      <c r="D397" s="41" t="s">
        <v>750</v>
      </c>
      <c r="E397" s="41">
        <v>18</v>
      </c>
      <c r="F397" s="41">
        <v>7</v>
      </c>
      <c r="G397" s="41" t="s">
        <v>743</v>
      </c>
      <c r="H397" s="41" t="s">
        <v>775</v>
      </c>
      <c r="L397">
        <f t="shared" si="17"/>
        <v>11</v>
      </c>
      <c r="M397">
        <f t="shared" si="18"/>
        <v>31</v>
      </c>
    </row>
    <row r="398" spans="3:13" x14ac:dyDescent="0.35">
      <c r="C398" t="s">
        <v>980</v>
      </c>
      <c r="D398" s="41" t="s">
        <v>731</v>
      </c>
      <c r="E398" s="41">
        <v>24</v>
      </c>
      <c r="F398" s="41">
        <v>17</v>
      </c>
      <c r="G398" s="41" t="s">
        <v>641</v>
      </c>
      <c r="H398" s="41" t="s">
        <v>786</v>
      </c>
      <c r="L398">
        <f t="shared" si="17"/>
        <v>7</v>
      </c>
      <c r="M398">
        <f t="shared" si="18"/>
        <v>27</v>
      </c>
    </row>
    <row r="399" spans="3:13" x14ac:dyDescent="0.35">
      <c r="C399" t="s">
        <v>981</v>
      </c>
      <c r="D399" s="41" t="s">
        <v>718</v>
      </c>
      <c r="E399" s="41">
        <v>12</v>
      </c>
      <c r="F399" s="41">
        <v>11</v>
      </c>
      <c r="G399" s="41" t="s">
        <v>780</v>
      </c>
      <c r="H399" s="41" t="s">
        <v>769</v>
      </c>
      <c r="I399" t="s">
        <v>982</v>
      </c>
      <c r="L399">
        <f t="shared" si="17"/>
        <v>1</v>
      </c>
      <c r="M399">
        <f t="shared" si="18"/>
        <v>21</v>
      </c>
    </row>
    <row r="400" spans="3:13" x14ac:dyDescent="0.35">
      <c r="C400" t="s">
        <v>983</v>
      </c>
      <c r="D400" s="41" t="s">
        <v>760</v>
      </c>
      <c r="E400" s="41">
        <v>10</v>
      </c>
      <c r="F400" s="41">
        <v>4</v>
      </c>
      <c r="G400" s="41" t="s">
        <v>763</v>
      </c>
      <c r="H400" s="41" t="s">
        <v>984</v>
      </c>
      <c r="L400">
        <f t="shared" si="17"/>
        <v>6</v>
      </c>
      <c r="M400">
        <f t="shared" si="18"/>
        <v>26</v>
      </c>
    </row>
    <row r="401" spans="1:13" ht="15" thickBot="1" x14ac:dyDescent="0.4">
      <c r="C401" s="40" t="s">
        <v>985</v>
      </c>
      <c r="D401" s="40" t="s">
        <v>644</v>
      </c>
      <c r="E401" s="40">
        <v>20</v>
      </c>
      <c r="F401" s="40">
        <v>13</v>
      </c>
      <c r="G401" s="40" t="s">
        <v>751</v>
      </c>
      <c r="H401" s="40" t="s">
        <v>789</v>
      </c>
      <c r="I401" s="40"/>
      <c r="L401">
        <f t="shared" si="17"/>
        <v>7</v>
      </c>
      <c r="M401">
        <f t="shared" si="18"/>
        <v>27</v>
      </c>
    </row>
    <row r="402" spans="1:13" x14ac:dyDescent="0.35">
      <c r="A402" t="s">
        <v>1126</v>
      </c>
      <c r="C402" s="41" t="s">
        <v>867</v>
      </c>
      <c r="D402" s="41" t="s">
        <v>757</v>
      </c>
      <c r="E402" s="41">
        <v>27</v>
      </c>
      <c r="F402" s="41">
        <v>9</v>
      </c>
      <c r="G402" s="41" t="s">
        <v>723</v>
      </c>
      <c r="H402" s="41" t="s">
        <v>789</v>
      </c>
      <c r="L402">
        <f t="shared" si="17"/>
        <v>18</v>
      </c>
      <c r="M402">
        <f t="shared" si="18"/>
        <v>38</v>
      </c>
    </row>
    <row r="403" spans="1:13" x14ac:dyDescent="0.35">
      <c r="D403" s="41" t="s">
        <v>677</v>
      </c>
      <c r="E403" s="41">
        <v>20</v>
      </c>
      <c r="F403" s="41">
        <v>9</v>
      </c>
      <c r="G403" s="41" t="s">
        <v>772</v>
      </c>
      <c r="H403" s="41" t="s">
        <v>789</v>
      </c>
      <c r="L403">
        <f t="shared" si="17"/>
        <v>11</v>
      </c>
      <c r="M403">
        <f t="shared" si="18"/>
        <v>31</v>
      </c>
    </row>
    <row r="404" spans="1:13" x14ac:dyDescent="0.35">
      <c r="D404" s="41" t="s">
        <v>680</v>
      </c>
      <c r="E404" s="41">
        <v>10</v>
      </c>
      <c r="F404" s="41">
        <v>7</v>
      </c>
      <c r="G404" s="41" t="s">
        <v>755</v>
      </c>
      <c r="H404" s="41" t="s">
        <v>762</v>
      </c>
      <c r="L404">
        <f t="shared" si="17"/>
        <v>3</v>
      </c>
      <c r="M404">
        <f t="shared" si="18"/>
        <v>23</v>
      </c>
    </row>
    <row r="405" spans="1:13" x14ac:dyDescent="0.35">
      <c r="D405" s="41" t="s">
        <v>678</v>
      </c>
      <c r="E405" s="41">
        <v>15</v>
      </c>
      <c r="F405" s="41">
        <v>12</v>
      </c>
      <c r="G405" s="41" t="s">
        <v>679</v>
      </c>
      <c r="H405" s="41" t="s">
        <v>721</v>
      </c>
      <c r="L405">
        <f t="shared" si="17"/>
        <v>3</v>
      </c>
      <c r="M405">
        <f t="shared" si="18"/>
        <v>23</v>
      </c>
    </row>
    <row r="406" spans="1:13" x14ac:dyDescent="0.35">
      <c r="D406" s="41" t="s">
        <v>706</v>
      </c>
      <c r="E406" s="41">
        <v>15</v>
      </c>
      <c r="F406" s="41">
        <v>9</v>
      </c>
      <c r="G406" s="41" t="s">
        <v>670</v>
      </c>
      <c r="H406" s="41" t="s">
        <v>839</v>
      </c>
      <c r="L406">
        <f t="shared" si="17"/>
        <v>6</v>
      </c>
      <c r="M406">
        <f t="shared" si="18"/>
        <v>26</v>
      </c>
    </row>
    <row r="407" spans="1:13" x14ac:dyDescent="0.35">
      <c r="C407" t="s">
        <v>843</v>
      </c>
      <c r="D407" s="41" t="s">
        <v>709</v>
      </c>
      <c r="E407" s="41">
        <v>19</v>
      </c>
      <c r="F407" s="41">
        <v>12</v>
      </c>
      <c r="G407" s="41" t="s">
        <v>763</v>
      </c>
      <c r="H407" s="41" t="s">
        <v>986</v>
      </c>
      <c r="L407">
        <f t="shared" si="17"/>
        <v>7</v>
      </c>
      <c r="M407">
        <f t="shared" si="18"/>
        <v>27</v>
      </c>
    </row>
    <row r="408" spans="1:13" x14ac:dyDescent="0.35">
      <c r="D408" s="41" t="s">
        <v>726</v>
      </c>
      <c r="E408" s="41">
        <v>22</v>
      </c>
      <c r="F408" s="41">
        <v>16</v>
      </c>
      <c r="G408" s="41" t="s">
        <v>661</v>
      </c>
      <c r="H408" s="41" t="s">
        <v>987</v>
      </c>
      <c r="L408">
        <f t="shared" si="17"/>
        <v>6</v>
      </c>
      <c r="M408">
        <f t="shared" si="18"/>
        <v>26</v>
      </c>
    </row>
    <row r="409" spans="1:13" x14ac:dyDescent="0.35">
      <c r="C409" t="s">
        <v>959</v>
      </c>
      <c r="D409" s="41" t="s">
        <v>665</v>
      </c>
      <c r="E409" s="41">
        <v>15</v>
      </c>
      <c r="F409" s="41">
        <v>10</v>
      </c>
      <c r="G409" s="41" t="s">
        <v>643</v>
      </c>
      <c r="H409" s="41" t="s">
        <v>775</v>
      </c>
      <c r="L409">
        <f t="shared" si="17"/>
        <v>5</v>
      </c>
      <c r="M409">
        <f t="shared" si="18"/>
        <v>25</v>
      </c>
    </row>
    <row r="410" spans="1:13" x14ac:dyDescent="0.35">
      <c r="D410" s="41" t="s">
        <v>771</v>
      </c>
      <c r="E410" s="41">
        <v>15</v>
      </c>
      <c r="F410" s="41">
        <v>12</v>
      </c>
      <c r="G410" s="41" t="s">
        <v>785</v>
      </c>
      <c r="H410" s="41" t="s">
        <v>710</v>
      </c>
      <c r="L410">
        <f t="shared" si="17"/>
        <v>3</v>
      </c>
      <c r="M410">
        <f t="shared" si="18"/>
        <v>23</v>
      </c>
    </row>
    <row r="411" spans="1:13" x14ac:dyDescent="0.35">
      <c r="D411" s="41" t="s">
        <v>671</v>
      </c>
      <c r="E411" s="41">
        <v>17</v>
      </c>
      <c r="F411" s="41">
        <v>14</v>
      </c>
      <c r="G411" s="41" t="s">
        <v>465</v>
      </c>
      <c r="H411" s="41" t="s">
        <v>727</v>
      </c>
      <c r="L411">
        <f t="shared" si="17"/>
        <v>3</v>
      </c>
      <c r="M411">
        <f t="shared" si="18"/>
        <v>23</v>
      </c>
    </row>
    <row r="412" spans="1:13" x14ac:dyDescent="0.35">
      <c r="C412" t="s">
        <v>830</v>
      </c>
      <c r="D412" s="41" t="s">
        <v>646</v>
      </c>
      <c r="E412" s="41">
        <v>23</v>
      </c>
      <c r="F412" s="41">
        <v>8</v>
      </c>
      <c r="G412" s="41" t="s">
        <v>783</v>
      </c>
      <c r="H412" s="41" t="s">
        <v>836</v>
      </c>
      <c r="L412">
        <f t="shared" si="17"/>
        <v>15</v>
      </c>
      <c r="M412">
        <f t="shared" si="18"/>
        <v>35</v>
      </c>
    </row>
    <row r="413" spans="1:13" x14ac:dyDescent="0.35">
      <c r="C413" t="s">
        <v>812</v>
      </c>
      <c r="D413" s="41" t="s">
        <v>731</v>
      </c>
      <c r="E413" s="41">
        <v>21</v>
      </c>
      <c r="F413" s="41">
        <v>10</v>
      </c>
      <c r="G413" s="41" t="s">
        <v>466</v>
      </c>
      <c r="H413" s="41" t="s">
        <v>724</v>
      </c>
      <c r="L413">
        <f t="shared" si="17"/>
        <v>11</v>
      </c>
      <c r="M413">
        <f t="shared" si="18"/>
        <v>31</v>
      </c>
    </row>
    <row r="414" spans="1:13" x14ac:dyDescent="0.35">
      <c r="D414" s="41" t="s">
        <v>701</v>
      </c>
      <c r="E414" s="41">
        <v>13</v>
      </c>
      <c r="F414" s="41">
        <v>5</v>
      </c>
      <c r="G414" s="41" t="s">
        <v>732</v>
      </c>
      <c r="H414" s="41" t="s">
        <v>739</v>
      </c>
      <c r="L414">
        <f t="shared" si="17"/>
        <v>8</v>
      </c>
      <c r="M414">
        <f t="shared" si="18"/>
        <v>28</v>
      </c>
    </row>
    <row r="415" spans="1:13" x14ac:dyDescent="0.35">
      <c r="D415" s="41" t="s">
        <v>722</v>
      </c>
      <c r="E415" s="41">
        <v>19</v>
      </c>
      <c r="F415" s="41">
        <v>18</v>
      </c>
      <c r="G415" s="41" t="s">
        <v>582</v>
      </c>
      <c r="H415" s="41" t="s">
        <v>988</v>
      </c>
      <c r="I415" t="s">
        <v>989</v>
      </c>
      <c r="L415">
        <f t="shared" si="17"/>
        <v>1</v>
      </c>
      <c r="M415">
        <f t="shared" si="18"/>
        <v>21</v>
      </c>
    </row>
    <row r="416" spans="1:13" x14ac:dyDescent="0.35">
      <c r="D416" s="41" t="s">
        <v>672</v>
      </c>
      <c r="E416" s="41">
        <v>16</v>
      </c>
      <c r="F416" s="41">
        <v>11</v>
      </c>
      <c r="G416" s="41" t="s">
        <v>242</v>
      </c>
      <c r="H416" s="41" t="s">
        <v>870</v>
      </c>
      <c r="L416">
        <f t="shared" si="17"/>
        <v>5</v>
      </c>
      <c r="M416">
        <f t="shared" si="18"/>
        <v>25</v>
      </c>
    </row>
    <row r="417" spans="3:13" x14ac:dyDescent="0.35">
      <c r="C417" t="s">
        <v>873</v>
      </c>
      <c r="D417" s="41" t="s">
        <v>784</v>
      </c>
      <c r="E417" s="41">
        <v>15</v>
      </c>
      <c r="F417" s="41">
        <v>14</v>
      </c>
      <c r="G417" s="41" t="s">
        <v>716</v>
      </c>
      <c r="H417" s="41" t="s">
        <v>705</v>
      </c>
      <c r="L417">
        <f t="shared" si="17"/>
        <v>1</v>
      </c>
      <c r="M417">
        <f t="shared" si="18"/>
        <v>21</v>
      </c>
    </row>
    <row r="418" spans="3:13" x14ac:dyDescent="0.35">
      <c r="C418" t="s">
        <v>815</v>
      </c>
      <c r="D418" s="41" t="s">
        <v>760</v>
      </c>
      <c r="E418" s="41">
        <v>13</v>
      </c>
      <c r="F418" s="41">
        <v>8</v>
      </c>
      <c r="G418" s="41" t="s">
        <v>758</v>
      </c>
      <c r="H418" s="41" t="s">
        <v>832</v>
      </c>
      <c r="L418">
        <f t="shared" si="17"/>
        <v>5</v>
      </c>
      <c r="M418">
        <f t="shared" si="18"/>
        <v>25</v>
      </c>
    </row>
    <row r="419" spans="3:13" x14ac:dyDescent="0.35">
      <c r="D419" s="41" t="s">
        <v>676</v>
      </c>
      <c r="E419" s="41">
        <v>13</v>
      </c>
      <c r="F419" s="41">
        <v>8</v>
      </c>
      <c r="G419" s="41" t="s">
        <v>756</v>
      </c>
      <c r="H419" s="41" t="s">
        <v>714</v>
      </c>
      <c r="L419">
        <f t="shared" si="17"/>
        <v>5</v>
      </c>
      <c r="M419">
        <f t="shared" si="18"/>
        <v>25</v>
      </c>
    </row>
    <row r="420" spans="3:13" x14ac:dyDescent="0.35">
      <c r="D420" s="41" t="s">
        <v>642</v>
      </c>
      <c r="E420" s="41">
        <v>10</v>
      </c>
      <c r="F420" s="41">
        <v>7</v>
      </c>
      <c r="G420" s="41" t="s">
        <v>640</v>
      </c>
      <c r="H420" s="41" t="s">
        <v>730</v>
      </c>
      <c r="L420">
        <f t="shared" si="17"/>
        <v>3</v>
      </c>
      <c r="M420">
        <f t="shared" si="18"/>
        <v>23</v>
      </c>
    </row>
    <row r="421" spans="3:13" x14ac:dyDescent="0.35">
      <c r="C421" t="s">
        <v>853</v>
      </c>
      <c r="D421" s="41" t="s">
        <v>660</v>
      </c>
      <c r="E421" s="41">
        <v>23</v>
      </c>
      <c r="F421" s="41">
        <v>19</v>
      </c>
      <c r="G421" s="41" t="s">
        <v>750</v>
      </c>
      <c r="H421" s="41" t="s">
        <v>907</v>
      </c>
      <c r="I421" t="s">
        <v>990</v>
      </c>
      <c r="L421">
        <f t="shared" si="17"/>
        <v>4</v>
      </c>
      <c r="M421">
        <f t="shared" si="18"/>
        <v>24</v>
      </c>
    </row>
    <row r="422" spans="3:13" x14ac:dyDescent="0.35">
      <c r="D422" s="41" t="s">
        <v>692</v>
      </c>
      <c r="E422" s="41">
        <v>14</v>
      </c>
      <c r="F422" s="41">
        <v>10</v>
      </c>
      <c r="G422" s="41" t="s">
        <v>792</v>
      </c>
      <c r="H422" s="41" t="s">
        <v>821</v>
      </c>
      <c r="L422">
        <f t="shared" si="17"/>
        <v>4</v>
      </c>
      <c r="M422">
        <f t="shared" si="18"/>
        <v>24</v>
      </c>
    </row>
    <row r="423" spans="3:13" x14ac:dyDescent="0.35">
      <c r="D423" s="41" t="s">
        <v>777</v>
      </c>
      <c r="E423" s="41">
        <v>17</v>
      </c>
      <c r="F423" s="41">
        <v>11</v>
      </c>
      <c r="G423" s="41" t="s">
        <v>768</v>
      </c>
      <c r="H423" s="41" t="s">
        <v>748</v>
      </c>
      <c r="L423">
        <f t="shared" si="17"/>
        <v>6</v>
      </c>
      <c r="M423">
        <f t="shared" si="18"/>
        <v>26</v>
      </c>
    </row>
    <row r="424" spans="3:13" x14ac:dyDescent="0.35">
      <c r="D424" s="41" t="s">
        <v>747</v>
      </c>
      <c r="E424" s="41">
        <v>12</v>
      </c>
      <c r="F424" s="41">
        <v>10</v>
      </c>
      <c r="G424" s="41" t="s">
        <v>713</v>
      </c>
      <c r="H424" s="41" t="s">
        <v>741</v>
      </c>
      <c r="L424">
        <f t="shared" si="17"/>
        <v>2</v>
      </c>
      <c r="M424">
        <f t="shared" si="18"/>
        <v>22</v>
      </c>
    </row>
    <row r="425" spans="3:13" x14ac:dyDescent="0.35">
      <c r="D425" s="41" t="s">
        <v>764</v>
      </c>
      <c r="E425" s="41">
        <v>15</v>
      </c>
      <c r="F425" s="41">
        <v>11</v>
      </c>
      <c r="G425" s="41" t="s">
        <v>737</v>
      </c>
      <c r="H425" s="41" t="s">
        <v>839</v>
      </c>
      <c r="L425">
        <f t="shared" si="17"/>
        <v>4</v>
      </c>
      <c r="M425">
        <f t="shared" si="18"/>
        <v>24</v>
      </c>
    </row>
    <row r="426" spans="3:13" x14ac:dyDescent="0.35">
      <c r="D426" s="41" t="s">
        <v>774</v>
      </c>
      <c r="E426" s="41">
        <v>16</v>
      </c>
      <c r="F426" s="41">
        <v>11</v>
      </c>
      <c r="G426" s="41" t="s">
        <v>765</v>
      </c>
      <c r="H426" s="41" t="s">
        <v>724</v>
      </c>
      <c r="L426">
        <f t="shared" si="17"/>
        <v>5</v>
      </c>
      <c r="M426">
        <f t="shared" si="18"/>
        <v>25</v>
      </c>
    </row>
    <row r="427" spans="3:13" x14ac:dyDescent="0.35">
      <c r="C427" t="s">
        <v>828</v>
      </c>
      <c r="D427" s="41" t="s">
        <v>776</v>
      </c>
      <c r="E427" s="41">
        <v>24</v>
      </c>
      <c r="F427" s="41">
        <v>13</v>
      </c>
      <c r="G427" s="41" t="s">
        <v>700</v>
      </c>
      <c r="H427" s="41" t="s">
        <v>818</v>
      </c>
      <c r="L427">
        <f t="shared" si="17"/>
        <v>11</v>
      </c>
      <c r="M427">
        <f t="shared" si="18"/>
        <v>31</v>
      </c>
    </row>
    <row r="428" spans="3:13" x14ac:dyDescent="0.35">
      <c r="D428" s="41" t="s">
        <v>245</v>
      </c>
      <c r="E428" s="41">
        <v>20</v>
      </c>
      <c r="F428" s="41">
        <v>18</v>
      </c>
      <c r="G428" s="41" t="s">
        <v>767</v>
      </c>
      <c r="H428" s="41" t="s">
        <v>991</v>
      </c>
      <c r="I428" t="s">
        <v>992</v>
      </c>
      <c r="L428">
        <f t="shared" si="17"/>
        <v>2</v>
      </c>
      <c r="M428">
        <f t="shared" si="18"/>
        <v>22</v>
      </c>
    </row>
    <row r="429" spans="3:13" x14ac:dyDescent="0.35">
      <c r="D429" s="41" t="s">
        <v>761</v>
      </c>
      <c r="E429" s="41">
        <v>18</v>
      </c>
      <c r="F429" s="41">
        <v>10</v>
      </c>
      <c r="G429" s="41" t="s">
        <v>753</v>
      </c>
      <c r="H429" s="41" t="s">
        <v>874</v>
      </c>
      <c r="L429">
        <f t="shared" si="17"/>
        <v>8</v>
      </c>
      <c r="M429">
        <f t="shared" si="18"/>
        <v>28</v>
      </c>
    </row>
    <row r="430" spans="3:13" x14ac:dyDescent="0.35">
      <c r="C430" t="s">
        <v>791</v>
      </c>
      <c r="D430" s="41" t="s">
        <v>780</v>
      </c>
      <c r="E430" s="41">
        <v>25</v>
      </c>
      <c r="F430" s="41">
        <v>11</v>
      </c>
      <c r="G430" s="41" t="s">
        <v>729</v>
      </c>
      <c r="H430" s="41" t="s">
        <v>920</v>
      </c>
      <c r="L430">
        <f t="shared" si="17"/>
        <v>14</v>
      </c>
      <c r="M430">
        <f t="shared" si="18"/>
        <v>34</v>
      </c>
    </row>
    <row r="431" spans="3:13" x14ac:dyDescent="0.35">
      <c r="D431" s="41" t="s">
        <v>704</v>
      </c>
      <c r="E431" s="41">
        <v>23</v>
      </c>
      <c r="F431" s="41">
        <v>13</v>
      </c>
      <c r="G431" s="41" t="s">
        <v>742</v>
      </c>
      <c r="H431" s="41" t="s">
        <v>881</v>
      </c>
      <c r="L431">
        <f t="shared" si="17"/>
        <v>10</v>
      </c>
      <c r="M431">
        <f t="shared" si="18"/>
        <v>30</v>
      </c>
    </row>
    <row r="432" spans="3:13" x14ac:dyDescent="0.35">
      <c r="C432" t="s">
        <v>993</v>
      </c>
      <c r="D432" s="41" t="s">
        <v>720</v>
      </c>
      <c r="E432" s="41">
        <v>15</v>
      </c>
      <c r="F432" s="41">
        <v>13</v>
      </c>
      <c r="G432" s="41" t="s">
        <v>673</v>
      </c>
      <c r="H432" s="41" t="s">
        <v>699</v>
      </c>
      <c r="L432">
        <f t="shared" si="17"/>
        <v>2</v>
      </c>
      <c r="M432">
        <f t="shared" si="18"/>
        <v>22</v>
      </c>
    </row>
    <row r="433" spans="1:13" x14ac:dyDescent="0.35">
      <c r="D433" s="41" t="s">
        <v>663</v>
      </c>
      <c r="E433" s="41">
        <v>21</v>
      </c>
      <c r="F433" s="41">
        <v>8</v>
      </c>
      <c r="G433" s="41" t="s">
        <v>779</v>
      </c>
      <c r="H433" s="41" t="s">
        <v>821</v>
      </c>
      <c r="L433">
        <f t="shared" si="17"/>
        <v>13</v>
      </c>
      <c r="M433">
        <f t="shared" si="18"/>
        <v>33</v>
      </c>
    </row>
    <row r="434" spans="1:13" x14ac:dyDescent="0.35">
      <c r="D434" s="41" t="s">
        <v>647</v>
      </c>
      <c r="E434" s="41">
        <v>13</v>
      </c>
      <c r="F434" s="41">
        <v>11</v>
      </c>
      <c r="G434" s="41" t="s">
        <v>693</v>
      </c>
      <c r="H434" s="41" t="s">
        <v>857</v>
      </c>
      <c r="L434">
        <f t="shared" si="17"/>
        <v>2</v>
      </c>
      <c r="M434">
        <f t="shared" si="18"/>
        <v>22</v>
      </c>
    </row>
    <row r="435" spans="1:13" x14ac:dyDescent="0.35">
      <c r="C435" t="s">
        <v>994</v>
      </c>
      <c r="D435" s="41" t="s">
        <v>712</v>
      </c>
      <c r="E435" s="41">
        <v>12</v>
      </c>
      <c r="F435" s="41">
        <v>11</v>
      </c>
      <c r="G435" s="41" t="s">
        <v>746</v>
      </c>
      <c r="H435" s="41" t="s">
        <v>898</v>
      </c>
      <c r="L435">
        <f t="shared" si="17"/>
        <v>1</v>
      </c>
      <c r="M435">
        <f t="shared" si="18"/>
        <v>21</v>
      </c>
    </row>
    <row r="436" spans="1:13" x14ac:dyDescent="0.35">
      <c r="C436" t="s">
        <v>995</v>
      </c>
      <c r="D436" s="41" t="s">
        <v>650</v>
      </c>
      <c r="E436" s="41">
        <v>16</v>
      </c>
      <c r="F436" s="41">
        <v>5</v>
      </c>
      <c r="G436" s="41" t="s">
        <v>738</v>
      </c>
      <c r="H436" s="41" t="s">
        <v>752</v>
      </c>
      <c r="L436">
        <f t="shared" si="17"/>
        <v>11</v>
      </c>
      <c r="M436">
        <f t="shared" si="18"/>
        <v>31</v>
      </c>
    </row>
    <row r="437" spans="1:13" x14ac:dyDescent="0.35">
      <c r="C437" t="s">
        <v>996</v>
      </c>
      <c r="D437" s="41" t="s">
        <v>743</v>
      </c>
      <c r="E437" s="41">
        <v>21</v>
      </c>
      <c r="F437" s="41">
        <v>11</v>
      </c>
      <c r="G437" s="41" t="s">
        <v>467</v>
      </c>
      <c r="H437" s="41" t="s">
        <v>748</v>
      </c>
      <c r="L437">
        <f t="shared" si="17"/>
        <v>10</v>
      </c>
      <c r="M437">
        <f t="shared" si="18"/>
        <v>30</v>
      </c>
    </row>
    <row r="438" spans="1:13" x14ac:dyDescent="0.35">
      <c r="C438" t="s">
        <v>997</v>
      </c>
      <c r="D438" s="41" t="s">
        <v>648</v>
      </c>
      <c r="E438" s="41">
        <v>15</v>
      </c>
      <c r="F438" s="41">
        <v>9</v>
      </c>
      <c r="G438" s="41" t="s">
        <v>734</v>
      </c>
      <c r="H438" s="41" t="s">
        <v>821</v>
      </c>
      <c r="L438">
        <f t="shared" si="17"/>
        <v>6</v>
      </c>
      <c r="M438">
        <f t="shared" si="18"/>
        <v>26</v>
      </c>
    </row>
    <row r="439" spans="1:13" x14ac:dyDescent="0.35">
      <c r="C439" t="s">
        <v>998</v>
      </c>
      <c r="D439" s="41" t="s">
        <v>751</v>
      </c>
      <c r="E439" s="41">
        <v>14</v>
      </c>
      <c r="F439" s="41">
        <v>11</v>
      </c>
      <c r="G439" s="41" t="s">
        <v>641</v>
      </c>
      <c r="H439" s="41" t="s">
        <v>781</v>
      </c>
      <c r="L439">
        <f t="shared" si="17"/>
        <v>3</v>
      </c>
      <c r="M439">
        <f t="shared" si="18"/>
        <v>23</v>
      </c>
    </row>
    <row r="440" spans="1:13" x14ac:dyDescent="0.35">
      <c r="C440" t="s">
        <v>999</v>
      </c>
      <c r="D440" s="41" t="s">
        <v>649</v>
      </c>
      <c r="E440" s="41">
        <v>24</v>
      </c>
      <c r="F440" s="41">
        <v>17</v>
      </c>
      <c r="G440" s="41" t="s">
        <v>644</v>
      </c>
      <c r="H440" s="41" t="s">
        <v>1000</v>
      </c>
      <c r="L440">
        <f t="shared" si="17"/>
        <v>7</v>
      </c>
      <c r="M440">
        <f t="shared" si="18"/>
        <v>27</v>
      </c>
    </row>
    <row r="441" spans="1:13" ht="15" thickBot="1" x14ac:dyDescent="0.4">
      <c r="C441" s="40" t="s">
        <v>1001</v>
      </c>
      <c r="D441" s="42" t="s">
        <v>718</v>
      </c>
      <c r="E441" s="42">
        <v>14</v>
      </c>
      <c r="F441" s="42">
        <v>4</v>
      </c>
      <c r="G441" s="42" t="s">
        <v>778</v>
      </c>
      <c r="H441" s="42" t="s">
        <v>766</v>
      </c>
      <c r="I441" s="40"/>
      <c r="L441">
        <f t="shared" si="17"/>
        <v>10</v>
      </c>
      <c r="M441">
        <f t="shared" si="18"/>
        <v>30</v>
      </c>
    </row>
    <row r="442" spans="1:13" x14ac:dyDescent="0.35">
      <c r="A442" t="s">
        <v>1127</v>
      </c>
      <c r="D442" s="41" t="s">
        <v>767</v>
      </c>
      <c r="E442" s="41">
        <v>12</v>
      </c>
      <c r="F442" s="41">
        <v>8</v>
      </c>
      <c r="G442" s="41" t="s">
        <v>723</v>
      </c>
      <c r="H442" s="41" t="s">
        <v>814</v>
      </c>
      <c r="L442">
        <f t="shared" si="17"/>
        <v>4</v>
      </c>
      <c r="M442">
        <f t="shared" si="18"/>
        <v>24</v>
      </c>
    </row>
    <row r="443" spans="1:13" x14ac:dyDescent="0.35">
      <c r="D443" s="41" t="s">
        <v>679</v>
      </c>
      <c r="E443" s="41">
        <v>12</v>
      </c>
      <c r="F443" s="41">
        <v>11</v>
      </c>
      <c r="G443" s="41" t="s">
        <v>772</v>
      </c>
      <c r="H443" s="41" t="s">
        <v>826</v>
      </c>
      <c r="L443">
        <f t="shared" si="17"/>
        <v>1</v>
      </c>
      <c r="M443">
        <f t="shared" si="18"/>
        <v>21</v>
      </c>
    </row>
    <row r="444" spans="1:13" x14ac:dyDescent="0.35">
      <c r="D444" s="41" t="s">
        <v>746</v>
      </c>
      <c r="E444" s="41">
        <v>16</v>
      </c>
      <c r="F444" s="41">
        <v>11</v>
      </c>
      <c r="G444" s="41" t="s">
        <v>755</v>
      </c>
      <c r="H444" s="41" t="s">
        <v>707</v>
      </c>
      <c r="L444">
        <f t="shared" si="17"/>
        <v>5</v>
      </c>
      <c r="M444">
        <f t="shared" si="18"/>
        <v>25</v>
      </c>
    </row>
    <row r="445" spans="1:13" x14ac:dyDescent="0.35">
      <c r="D445" s="41" t="s">
        <v>670</v>
      </c>
      <c r="E445" s="41">
        <v>13</v>
      </c>
      <c r="F445" s="41">
        <v>11</v>
      </c>
      <c r="G445" s="41" t="s">
        <v>777</v>
      </c>
      <c r="H445" s="41" t="s">
        <v>821</v>
      </c>
      <c r="L445">
        <f t="shared" si="17"/>
        <v>2</v>
      </c>
      <c r="M445">
        <f t="shared" si="18"/>
        <v>22</v>
      </c>
    </row>
    <row r="446" spans="1:13" x14ac:dyDescent="0.35">
      <c r="D446" s="41" t="s">
        <v>692</v>
      </c>
      <c r="E446" s="41">
        <v>21</v>
      </c>
      <c r="F446" s="41">
        <v>18</v>
      </c>
      <c r="G446" s="41" t="s">
        <v>678</v>
      </c>
      <c r="H446" s="41" t="s">
        <v>950</v>
      </c>
      <c r="I446" t="s">
        <v>1002</v>
      </c>
      <c r="L446">
        <f t="shared" si="17"/>
        <v>3</v>
      </c>
      <c r="M446">
        <f t="shared" si="18"/>
        <v>23</v>
      </c>
    </row>
    <row r="447" spans="1:13" x14ac:dyDescent="0.35">
      <c r="D447" s="41" t="s">
        <v>582</v>
      </c>
      <c r="E447" s="41">
        <v>26</v>
      </c>
      <c r="F447" s="41">
        <v>5</v>
      </c>
      <c r="G447" s="41" t="s">
        <v>709</v>
      </c>
      <c r="H447" s="41" t="s">
        <v>919</v>
      </c>
      <c r="L447">
        <f t="shared" si="17"/>
        <v>21</v>
      </c>
      <c r="M447">
        <f t="shared" si="18"/>
        <v>41</v>
      </c>
    </row>
    <row r="448" spans="1:13" x14ac:dyDescent="0.35">
      <c r="D448" s="41" t="s">
        <v>726</v>
      </c>
      <c r="E448" s="41">
        <v>14</v>
      </c>
      <c r="F448" s="41">
        <v>10</v>
      </c>
      <c r="G448" s="41" t="s">
        <v>665</v>
      </c>
      <c r="H448" s="41" t="s">
        <v>789</v>
      </c>
      <c r="L448">
        <f t="shared" si="17"/>
        <v>4</v>
      </c>
      <c r="M448">
        <f t="shared" si="18"/>
        <v>24</v>
      </c>
    </row>
    <row r="449" spans="3:13" x14ac:dyDescent="0.35">
      <c r="D449" s="41" t="s">
        <v>642</v>
      </c>
      <c r="E449" s="41">
        <v>13</v>
      </c>
      <c r="F449" s="41">
        <v>12</v>
      </c>
      <c r="G449" s="41" t="s">
        <v>466</v>
      </c>
      <c r="H449" s="41" t="s">
        <v>721</v>
      </c>
      <c r="L449">
        <f t="shared" si="17"/>
        <v>1</v>
      </c>
      <c r="M449">
        <f t="shared" si="18"/>
        <v>21</v>
      </c>
    </row>
    <row r="450" spans="3:13" x14ac:dyDescent="0.35">
      <c r="D450" s="41" t="s">
        <v>783</v>
      </c>
      <c r="E450" s="41">
        <v>18</v>
      </c>
      <c r="F450" s="41">
        <v>12</v>
      </c>
      <c r="G450" s="41" t="s">
        <v>465</v>
      </c>
      <c r="H450" s="41" t="s">
        <v>727</v>
      </c>
      <c r="L450">
        <f t="shared" ref="L450:L513" si="19">E450-F450</f>
        <v>6</v>
      </c>
      <c r="M450">
        <f t="shared" si="18"/>
        <v>26</v>
      </c>
    </row>
    <row r="451" spans="3:13" x14ac:dyDescent="0.35">
      <c r="C451" t="s">
        <v>921</v>
      </c>
      <c r="D451" s="41" t="s">
        <v>771</v>
      </c>
      <c r="E451" s="41">
        <v>15</v>
      </c>
      <c r="F451" s="41">
        <v>11</v>
      </c>
      <c r="G451" s="41" t="s">
        <v>778</v>
      </c>
      <c r="H451" s="41" t="s">
        <v>799</v>
      </c>
      <c r="L451">
        <f t="shared" si="19"/>
        <v>4</v>
      </c>
      <c r="M451">
        <f t="shared" ref="M451:M514" si="20">24+L451-4</f>
        <v>24</v>
      </c>
    </row>
    <row r="452" spans="3:13" x14ac:dyDescent="0.35">
      <c r="D452" s="41" t="s">
        <v>646</v>
      </c>
      <c r="E452" s="41">
        <v>12</v>
      </c>
      <c r="F452" s="41">
        <v>7</v>
      </c>
      <c r="G452" s="41" t="s">
        <v>671</v>
      </c>
      <c r="H452" s="41" t="s">
        <v>1003</v>
      </c>
      <c r="L452">
        <f t="shared" si="19"/>
        <v>5</v>
      </c>
      <c r="M452">
        <f t="shared" si="20"/>
        <v>25</v>
      </c>
    </row>
    <row r="453" spans="3:13" x14ac:dyDescent="0.35">
      <c r="D453" s="41" t="s">
        <v>701</v>
      </c>
      <c r="E453" s="41">
        <v>14</v>
      </c>
      <c r="F453" s="41">
        <v>11</v>
      </c>
      <c r="G453" s="41" t="s">
        <v>704</v>
      </c>
      <c r="H453" s="41" t="s">
        <v>773</v>
      </c>
      <c r="L453">
        <f t="shared" si="19"/>
        <v>3</v>
      </c>
      <c r="M453">
        <f t="shared" si="20"/>
        <v>23</v>
      </c>
    </row>
    <row r="454" spans="3:13" x14ac:dyDescent="0.35">
      <c r="D454" s="41" t="s">
        <v>716</v>
      </c>
      <c r="E454" s="41">
        <v>12</v>
      </c>
      <c r="F454" s="41">
        <v>9</v>
      </c>
      <c r="G454" s="41" t="s">
        <v>747</v>
      </c>
      <c r="H454" s="41" t="s">
        <v>741</v>
      </c>
      <c r="L454">
        <f t="shared" si="19"/>
        <v>3</v>
      </c>
      <c r="M454">
        <f t="shared" si="20"/>
        <v>23</v>
      </c>
    </row>
    <row r="455" spans="3:13" x14ac:dyDescent="0.35">
      <c r="C455" t="s">
        <v>880</v>
      </c>
      <c r="D455" s="41" t="s">
        <v>648</v>
      </c>
      <c r="E455" s="41">
        <v>17</v>
      </c>
      <c r="F455" s="41">
        <v>9</v>
      </c>
      <c r="G455" s="41" t="s">
        <v>732</v>
      </c>
      <c r="H455" s="41" t="s">
        <v>770</v>
      </c>
      <c r="L455">
        <f t="shared" si="19"/>
        <v>8</v>
      </c>
      <c r="M455">
        <f t="shared" si="20"/>
        <v>28</v>
      </c>
    </row>
    <row r="456" spans="3:13" x14ac:dyDescent="0.35">
      <c r="C456" t="s">
        <v>954</v>
      </c>
      <c r="D456" s="41" t="s">
        <v>751</v>
      </c>
      <c r="E456" s="41">
        <v>18</v>
      </c>
      <c r="F456" s="41">
        <v>9</v>
      </c>
      <c r="G456" s="41" t="s">
        <v>756</v>
      </c>
      <c r="H456" s="41" t="s">
        <v>842</v>
      </c>
      <c r="L456">
        <f t="shared" si="19"/>
        <v>9</v>
      </c>
      <c r="M456">
        <f t="shared" si="20"/>
        <v>29</v>
      </c>
    </row>
    <row r="457" spans="3:13" x14ac:dyDescent="0.35">
      <c r="D457" s="41" t="s">
        <v>713</v>
      </c>
      <c r="E457" s="41">
        <v>17</v>
      </c>
      <c r="F457" s="41">
        <v>15</v>
      </c>
      <c r="G457" s="41" t="s">
        <v>640</v>
      </c>
      <c r="H457" s="41" t="s">
        <v>773</v>
      </c>
      <c r="L457">
        <f t="shared" si="19"/>
        <v>2</v>
      </c>
      <c r="M457">
        <f t="shared" si="20"/>
        <v>22</v>
      </c>
    </row>
    <row r="458" spans="3:13" x14ac:dyDescent="0.35">
      <c r="C458" t="s">
        <v>956</v>
      </c>
      <c r="D458" s="41" t="s">
        <v>672</v>
      </c>
      <c r="E458" s="41">
        <v>18</v>
      </c>
      <c r="F458" s="41">
        <v>9</v>
      </c>
      <c r="G458" s="41" t="s">
        <v>734</v>
      </c>
      <c r="H458" s="41" t="s">
        <v>748</v>
      </c>
      <c r="L458">
        <f t="shared" si="19"/>
        <v>9</v>
      </c>
      <c r="M458">
        <f t="shared" si="20"/>
        <v>29</v>
      </c>
    </row>
    <row r="459" spans="3:13" x14ac:dyDescent="0.35">
      <c r="C459" t="s">
        <v>850</v>
      </c>
      <c r="D459" s="41" t="s">
        <v>780</v>
      </c>
      <c r="E459" s="41">
        <v>24</v>
      </c>
      <c r="F459" s="41">
        <v>21</v>
      </c>
      <c r="G459" s="41" t="s">
        <v>785</v>
      </c>
      <c r="H459" s="41" t="s">
        <v>1004</v>
      </c>
      <c r="I459" s="41" t="s">
        <v>1005</v>
      </c>
      <c r="L459">
        <f t="shared" si="19"/>
        <v>3</v>
      </c>
      <c r="M459">
        <f t="shared" si="20"/>
        <v>23</v>
      </c>
    </row>
    <row r="460" spans="3:13" x14ac:dyDescent="0.35">
      <c r="D460" s="41" t="s">
        <v>761</v>
      </c>
      <c r="E460" s="41">
        <v>25</v>
      </c>
      <c r="F460" s="41">
        <v>12</v>
      </c>
      <c r="G460" s="41" t="s">
        <v>758</v>
      </c>
      <c r="H460" s="41" t="s">
        <v>719</v>
      </c>
      <c r="L460">
        <f t="shared" si="19"/>
        <v>13</v>
      </c>
      <c r="M460">
        <f t="shared" si="20"/>
        <v>33</v>
      </c>
    </row>
    <row r="461" spans="3:13" x14ac:dyDescent="0.35">
      <c r="D461" s="41" t="s">
        <v>712</v>
      </c>
      <c r="E461" s="41">
        <v>19</v>
      </c>
      <c r="F461" s="41">
        <v>10</v>
      </c>
      <c r="G461" s="41" t="s">
        <v>792</v>
      </c>
      <c r="H461" s="41" t="s">
        <v>821</v>
      </c>
      <c r="L461">
        <f t="shared" si="19"/>
        <v>9</v>
      </c>
      <c r="M461">
        <f t="shared" si="20"/>
        <v>29</v>
      </c>
    </row>
    <row r="462" spans="3:13" x14ac:dyDescent="0.35">
      <c r="C462" t="s">
        <v>813</v>
      </c>
      <c r="D462" s="41" t="s">
        <v>673</v>
      </c>
      <c r="E462" s="41">
        <v>26</v>
      </c>
      <c r="F462" s="41">
        <v>20</v>
      </c>
      <c r="G462" s="41" t="s">
        <v>768</v>
      </c>
      <c r="H462" s="41" t="s">
        <v>987</v>
      </c>
      <c r="L462">
        <f t="shared" si="19"/>
        <v>6</v>
      </c>
      <c r="M462">
        <f t="shared" si="20"/>
        <v>26</v>
      </c>
    </row>
    <row r="463" spans="3:13" x14ac:dyDescent="0.35">
      <c r="D463" s="41" t="s">
        <v>722</v>
      </c>
      <c r="E463" s="41">
        <v>13</v>
      </c>
      <c r="F463" s="41">
        <v>11</v>
      </c>
      <c r="G463" s="41" t="s">
        <v>661</v>
      </c>
      <c r="H463" s="41" t="s">
        <v>710</v>
      </c>
      <c r="L463">
        <f t="shared" si="19"/>
        <v>2</v>
      </c>
      <c r="M463">
        <f t="shared" si="20"/>
        <v>22</v>
      </c>
    </row>
    <row r="464" spans="3:13" x14ac:dyDescent="0.35">
      <c r="C464" t="s">
        <v>788</v>
      </c>
      <c r="D464" s="41" t="s">
        <v>641</v>
      </c>
      <c r="E464" s="41">
        <v>17</v>
      </c>
      <c r="F464" s="41">
        <v>12</v>
      </c>
      <c r="G464" s="41" t="s">
        <v>677</v>
      </c>
      <c r="H464" s="41" t="s">
        <v>831</v>
      </c>
      <c r="L464">
        <f t="shared" si="19"/>
        <v>5</v>
      </c>
      <c r="M464">
        <f t="shared" si="20"/>
        <v>25</v>
      </c>
    </row>
    <row r="465" spans="3:13" x14ac:dyDescent="0.35">
      <c r="C465" t="s">
        <v>837</v>
      </c>
      <c r="D465" s="41" t="s">
        <v>720</v>
      </c>
      <c r="E465" s="41">
        <v>29</v>
      </c>
      <c r="F465" s="41">
        <v>9</v>
      </c>
      <c r="G465" s="41" t="s">
        <v>680</v>
      </c>
      <c r="H465" s="41" t="s">
        <v>1006</v>
      </c>
      <c r="L465">
        <f t="shared" si="19"/>
        <v>20</v>
      </c>
      <c r="M465">
        <f t="shared" si="20"/>
        <v>40</v>
      </c>
    </row>
    <row r="466" spans="3:13" x14ac:dyDescent="0.35">
      <c r="C466" t="s">
        <v>884</v>
      </c>
      <c r="D466" s="41" t="s">
        <v>743</v>
      </c>
      <c r="E466" s="41">
        <v>13</v>
      </c>
      <c r="F466" s="41">
        <v>11</v>
      </c>
      <c r="G466" s="41" t="s">
        <v>737</v>
      </c>
      <c r="H466" s="41" t="s">
        <v>839</v>
      </c>
      <c r="L466">
        <f t="shared" si="19"/>
        <v>2</v>
      </c>
      <c r="M466">
        <f t="shared" si="20"/>
        <v>22</v>
      </c>
    </row>
    <row r="467" spans="3:13" x14ac:dyDescent="0.35">
      <c r="D467" s="41" t="s">
        <v>742</v>
      </c>
      <c r="E467" s="41">
        <v>16</v>
      </c>
      <c r="F467" s="41">
        <v>12</v>
      </c>
      <c r="G467" s="41" t="s">
        <v>700</v>
      </c>
      <c r="H467" s="41" t="s">
        <v>789</v>
      </c>
      <c r="L467">
        <f t="shared" si="19"/>
        <v>4</v>
      </c>
      <c r="M467">
        <f t="shared" si="20"/>
        <v>24</v>
      </c>
    </row>
    <row r="468" spans="3:13" x14ac:dyDescent="0.35">
      <c r="D468" s="41" t="s">
        <v>765</v>
      </c>
      <c r="E468" s="41">
        <v>22</v>
      </c>
      <c r="F468" s="41">
        <v>20</v>
      </c>
      <c r="G468" s="41" t="s">
        <v>242</v>
      </c>
      <c r="H468" s="41" t="s">
        <v>1007</v>
      </c>
      <c r="I468" t="s">
        <v>1008</v>
      </c>
      <c r="L468">
        <f t="shared" si="19"/>
        <v>2</v>
      </c>
      <c r="M468">
        <f t="shared" si="20"/>
        <v>22</v>
      </c>
    </row>
    <row r="469" spans="3:13" x14ac:dyDescent="0.35">
      <c r="D469" s="41" t="s">
        <v>660</v>
      </c>
      <c r="E469" s="41">
        <v>17</v>
      </c>
      <c r="F469" s="41">
        <v>11</v>
      </c>
      <c r="G469" s="41" t="s">
        <v>738</v>
      </c>
      <c r="H469" s="41" t="s">
        <v>719</v>
      </c>
      <c r="L469">
        <f t="shared" si="19"/>
        <v>6</v>
      </c>
      <c r="M469">
        <f t="shared" si="20"/>
        <v>26</v>
      </c>
    </row>
    <row r="470" spans="3:13" x14ac:dyDescent="0.35">
      <c r="C470" t="s">
        <v>830</v>
      </c>
      <c r="D470" s="41" t="s">
        <v>706</v>
      </c>
      <c r="E470" s="41">
        <v>14</v>
      </c>
      <c r="F470" s="41">
        <v>12</v>
      </c>
      <c r="G470" s="41" t="s">
        <v>676</v>
      </c>
      <c r="H470" s="41" t="s">
        <v>796</v>
      </c>
      <c r="L470">
        <f t="shared" si="19"/>
        <v>2</v>
      </c>
      <c r="M470">
        <f t="shared" si="20"/>
        <v>22</v>
      </c>
    </row>
    <row r="471" spans="3:13" x14ac:dyDescent="0.35">
      <c r="C471" t="s">
        <v>812</v>
      </c>
      <c r="D471" s="41" t="s">
        <v>763</v>
      </c>
      <c r="E471" s="41">
        <v>17</v>
      </c>
      <c r="F471" s="41">
        <v>16</v>
      </c>
      <c r="G471" s="41" t="s">
        <v>643</v>
      </c>
      <c r="H471" s="41" t="s">
        <v>769</v>
      </c>
      <c r="I471" s="41" t="s">
        <v>1009</v>
      </c>
      <c r="L471">
        <f t="shared" si="19"/>
        <v>1</v>
      </c>
      <c r="M471">
        <f t="shared" si="20"/>
        <v>21</v>
      </c>
    </row>
    <row r="472" spans="3:13" x14ac:dyDescent="0.35">
      <c r="C472" t="s">
        <v>807</v>
      </c>
      <c r="D472" s="41" t="s">
        <v>731</v>
      </c>
      <c r="E472" s="41">
        <v>16</v>
      </c>
      <c r="F472" s="41">
        <v>9</v>
      </c>
      <c r="G472" s="41" t="s">
        <v>729</v>
      </c>
      <c r="H472" s="41" t="s">
        <v>842</v>
      </c>
      <c r="L472">
        <f t="shared" si="19"/>
        <v>7</v>
      </c>
      <c r="M472">
        <f t="shared" si="20"/>
        <v>27</v>
      </c>
    </row>
    <row r="473" spans="3:13" x14ac:dyDescent="0.35">
      <c r="C473" t="s">
        <v>825</v>
      </c>
      <c r="D473" s="41" t="s">
        <v>750</v>
      </c>
      <c r="E473" s="41">
        <v>14</v>
      </c>
      <c r="F473" s="41">
        <v>13</v>
      </c>
      <c r="G473" s="41" t="s">
        <v>753</v>
      </c>
      <c r="H473" s="41" t="s">
        <v>955</v>
      </c>
      <c r="L473">
        <f t="shared" si="19"/>
        <v>1</v>
      </c>
      <c r="M473">
        <f t="shared" si="20"/>
        <v>21</v>
      </c>
    </row>
    <row r="474" spans="3:13" x14ac:dyDescent="0.35">
      <c r="C474" t="s">
        <v>828</v>
      </c>
      <c r="D474" s="41" t="s">
        <v>776</v>
      </c>
      <c r="E474" s="41">
        <v>15</v>
      </c>
      <c r="F474" s="41">
        <v>11</v>
      </c>
      <c r="G474" s="41" t="s">
        <v>774</v>
      </c>
      <c r="H474" s="41" t="s">
        <v>796</v>
      </c>
      <c r="L474">
        <f t="shared" si="19"/>
        <v>4</v>
      </c>
      <c r="M474">
        <f t="shared" si="20"/>
        <v>24</v>
      </c>
    </row>
    <row r="475" spans="3:13" x14ac:dyDescent="0.35">
      <c r="C475" t="s">
        <v>923</v>
      </c>
      <c r="D475" s="41" t="s">
        <v>764</v>
      </c>
      <c r="E475" s="41">
        <v>21</v>
      </c>
      <c r="F475" s="41">
        <v>13</v>
      </c>
      <c r="G475" s="41" t="s">
        <v>644</v>
      </c>
      <c r="H475" s="41" t="s">
        <v>748</v>
      </c>
      <c r="L475">
        <f t="shared" si="19"/>
        <v>8</v>
      </c>
      <c r="M475">
        <f t="shared" si="20"/>
        <v>28</v>
      </c>
    </row>
    <row r="476" spans="3:13" x14ac:dyDescent="0.35">
      <c r="C476" t="s">
        <v>939</v>
      </c>
      <c r="D476" s="41" t="s">
        <v>779</v>
      </c>
      <c r="E476" s="41">
        <v>16</v>
      </c>
      <c r="F476" s="41">
        <v>12</v>
      </c>
      <c r="G476" s="41" t="s">
        <v>647</v>
      </c>
      <c r="H476" s="41" t="s">
        <v>781</v>
      </c>
      <c r="I476" t="s">
        <v>1010</v>
      </c>
      <c r="L476">
        <f t="shared" si="19"/>
        <v>4</v>
      </c>
      <c r="M476">
        <f t="shared" si="20"/>
        <v>24</v>
      </c>
    </row>
    <row r="477" spans="3:13" x14ac:dyDescent="0.35">
      <c r="C477" t="s">
        <v>855</v>
      </c>
      <c r="D477" t="s">
        <v>649</v>
      </c>
      <c r="E477" s="41">
        <v>27</v>
      </c>
      <c r="F477" s="41">
        <v>21</v>
      </c>
      <c r="G477" s="41" t="s">
        <v>693</v>
      </c>
      <c r="H477" s="41" t="s">
        <v>1011</v>
      </c>
      <c r="I477" t="s">
        <v>1012</v>
      </c>
      <c r="L477">
        <f t="shared" si="19"/>
        <v>6</v>
      </c>
      <c r="M477">
        <f t="shared" si="20"/>
        <v>26</v>
      </c>
    </row>
    <row r="478" spans="3:13" x14ac:dyDescent="0.35">
      <c r="C478" t="s">
        <v>873</v>
      </c>
      <c r="D478" t="s">
        <v>784</v>
      </c>
      <c r="E478" s="41">
        <v>19</v>
      </c>
      <c r="F478" s="41">
        <v>14</v>
      </c>
      <c r="G478" s="41" t="s">
        <v>245</v>
      </c>
      <c r="H478" s="41" t="s">
        <v>786</v>
      </c>
      <c r="L478">
        <f t="shared" si="19"/>
        <v>5</v>
      </c>
      <c r="M478">
        <f t="shared" si="20"/>
        <v>25</v>
      </c>
    </row>
    <row r="479" spans="3:13" x14ac:dyDescent="0.35">
      <c r="C479" t="s">
        <v>1013</v>
      </c>
      <c r="D479" t="s">
        <v>663</v>
      </c>
      <c r="E479" s="41">
        <v>16</v>
      </c>
      <c r="F479" s="41">
        <v>8</v>
      </c>
      <c r="G479" s="41" t="s">
        <v>650</v>
      </c>
      <c r="H479" s="41" t="s">
        <v>721</v>
      </c>
      <c r="L479">
        <f t="shared" si="19"/>
        <v>8</v>
      </c>
      <c r="M479">
        <f t="shared" si="20"/>
        <v>28</v>
      </c>
    </row>
    <row r="480" spans="3:13" x14ac:dyDescent="0.35">
      <c r="C480" t="s">
        <v>1014</v>
      </c>
      <c r="D480" t="s">
        <v>760</v>
      </c>
      <c r="E480" s="41">
        <v>13</v>
      </c>
      <c r="F480" s="41">
        <v>11</v>
      </c>
      <c r="G480" s="41" t="s">
        <v>757</v>
      </c>
      <c r="H480" s="41" t="s">
        <v>781</v>
      </c>
      <c r="L480">
        <f t="shared" si="19"/>
        <v>2</v>
      </c>
      <c r="M480">
        <f t="shared" si="20"/>
        <v>22</v>
      </c>
    </row>
    <row r="481" spans="1:13" ht="15" thickBot="1" x14ac:dyDescent="0.4">
      <c r="C481" s="40" t="s">
        <v>1015</v>
      </c>
      <c r="D481" s="40" t="s">
        <v>718</v>
      </c>
      <c r="E481" s="42">
        <v>16</v>
      </c>
      <c r="F481" s="42">
        <v>14</v>
      </c>
      <c r="G481" s="42" t="s">
        <v>467</v>
      </c>
      <c r="H481" s="42" t="s">
        <v>796</v>
      </c>
      <c r="I481" s="40"/>
      <c r="L481">
        <f t="shared" si="19"/>
        <v>2</v>
      </c>
      <c r="M481">
        <f t="shared" si="20"/>
        <v>22</v>
      </c>
    </row>
    <row r="482" spans="1:13" x14ac:dyDescent="0.35">
      <c r="A482" t="s">
        <v>1128</v>
      </c>
      <c r="C482" s="41" t="s">
        <v>863</v>
      </c>
      <c r="D482" s="41" t="s">
        <v>761</v>
      </c>
      <c r="E482" s="41">
        <v>28</v>
      </c>
      <c r="F482" s="41">
        <v>7</v>
      </c>
      <c r="G482" s="41" t="s">
        <v>723</v>
      </c>
      <c r="H482" s="41" t="s">
        <v>748</v>
      </c>
      <c r="I482" t="s">
        <v>1016</v>
      </c>
      <c r="L482">
        <f t="shared" si="19"/>
        <v>21</v>
      </c>
      <c r="M482">
        <f t="shared" si="20"/>
        <v>41</v>
      </c>
    </row>
    <row r="483" spans="1:13" x14ac:dyDescent="0.35">
      <c r="C483" s="41" t="s">
        <v>824</v>
      </c>
      <c r="D483" s="41" t="s">
        <v>772</v>
      </c>
      <c r="E483" s="41">
        <v>15</v>
      </c>
      <c r="F483" s="41">
        <v>14</v>
      </c>
      <c r="G483" s="41" t="s">
        <v>780</v>
      </c>
      <c r="H483" s="41" t="s">
        <v>773</v>
      </c>
      <c r="L483">
        <f t="shared" si="19"/>
        <v>1</v>
      </c>
      <c r="M483">
        <f t="shared" si="20"/>
        <v>21</v>
      </c>
    </row>
    <row r="484" spans="1:13" x14ac:dyDescent="0.35">
      <c r="D484" s="41" t="s">
        <v>753</v>
      </c>
      <c r="E484" s="41">
        <v>16</v>
      </c>
      <c r="F484" s="41">
        <v>9</v>
      </c>
      <c r="G484" s="41" t="s">
        <v>755</v>
      </c>
      <c r="H484" s="41" t="s">
        <v>721</v>
      </c>
      <c r="L484">
        <f t="shared" si="19"/>
        <v>7</v>
      </c>
      <c r="M484">
        <f t="shared" si="20"/>
        <v>27</v>
      </c>
    </row>
    <row r="485" spans="1:13" x14ac:dyDescent="0.35">
      <c r="D485" s="41" t="s">
        <v>737</v>
      </c>
      <c r="E485" s="41">
        <v>14</v>
      </c>
      <c r="F485" s="41">
        <v>12</v>
      </c>
      <c r="G485" s="41" t="s">
        <v>678</v>
      </c>
      <c r="H485" s="41" t="s">
        <v>988</v>
      </c>
      <c r="L485">
        <f t="shared" si="19"/>
        <v>2</v>
      </c>
      <c r="M485">
        <f t="shared" si="20"/>
        <v>22</v>
      </c>
    </row>
    <row r="486" spans="1:13" x14ac:dyDescent="0.35">
      <c r="D486" s="41" t="s">
        <v>732</v>
      </c>
      <c r="E486" s="41">
        <v>24</v>
      </c>
      <c r="F486" s="41">
        <v>6</v>
      </c>
      <c r="G486" s="41" t="s">
        <v>709</v>
      </c>
      <c r="H486" s="41" t="s">
        <v>844</v>
      </c>
      <c r="L486">
        <f t="shared" si="19"/>
        <v>18</v>
      </c>
      <c r="M486">
        <f t="shared" si="20"/>
        <v>38</v>
      </c>
    </row>
    <row r="487" spans="1:13" x14ac:dyDescent="0.35">
      <c r="D487" s="41" t="s">
        <v>466</v>
      </c>
      <c r="E487" s="41">
        <v>16</v>
      </c>
      <c r="F487" s="41">
        <v>10</v>
      </c>
      <c r="G487" s="41" t="s">
        <v>670</v>
      </c>
      <c r="H487" s="41" t="s">
        <v>789</v>
      </c>
      <c r="L487">
        <f t="shared" si="19"/>
        <v>6</v>
      </c>
      <c r="M487">
        <f t="shared" si="20"/>
        <v>26</v>
      </c>
    </row>
    <row r="488" spans="1:13" x14ac:dyDescent="0.35">
      <c r="D488" s="41" t="s">
        <v>747</v>
      </c>
      <c r="E488" s="41">
        <v>19</v>
      </c>
      <c r="F488" s="41">
        <v>6</v>
      </c>
      <c r="G488" s="41" t="s">
        <v>465</v>
      </c>
      <c r="H488" s="41" t="s">
        <v>775</v>
      </c>
      <c r="L488">
        <f t="shared" si="19"/>
        <v>13</v>
      </c>
      <c r="M488">
        <f t="shared" si="20"/>
        <v>33</v>
      </c>
    </row>
    <row r="489" spans="1:13" x14ac:dyDescent="0.35">
      <c r="C489" t="s">
        <v>923</v>
      </c>
      <c r="D489" s="41" t="s">
        <v>665</v>
      </c>
      <c r="E489" s="41">
        <v>17</v>
      </c>
      <c r="F489" s="41">
        <v>14</v>
      </c>
      <c r="G489" s="41" t="s">
        <v>751</v>
      </c>
      <c r="H489" s="41" t="s">
        <v>933</v>
      </c>
      <c r="I489" s="41" t="s">
        <v>1017</v>
      </c>
      <c r="L489">
        <f t="shared" si="19"/>
        <v>3</v>
      </c>
      <c r="M489">
        <f t="shared" si="20"/>
        <v>23</v>
      </c>
    </row>
    <row r="490" spans="1:13" x14ac:dyDescent="0.35">
      <c r="D490" s="41" t="s">
        <v>713</v>
      </c>
      <c r="E490" s="41">
        <v>28</v>
      </c>
      <c r="F490" s="41">
        <v>14</v>
      </c>
      <c r="G490" s="41" t="s">
        <v>671</v>
      </c>
      <c r="H490" s="41" t="s">
        <v>907</v>
      </c>
      <c r="I490" s="41" t="s">
        <v>1018</v>
      </c>
      <c r="L490">
        <f t="shared" si="19"/>
        <v>14</v>
      </c>
      <c r="M490">
        <f t="shared" si="20"/>
        <v>34</v>
      </c>
    </row>
    <row r="491" spans="1:13" x14ac:dyDescent="0.35">
      <c r="D491" s="41" t="s">
        <v>758</v>
      </c>
      <c r="E491" s="41">
        <v>24</v>
      </c>
      <c r="F491" s="41">
        <v>16</v>
      </c>
      <c r="G491" s="41" t="s">
        <v>767</v>
      </c>
      <c r="H491" s="41" t="s">
        <v>699</v>
      </c>
      <c r="L491">
        <f t="shared" si="19"/>
        <v>8</v>
      </c>
      <c r="M491">
        <f t="shared" si="20"/>
        <v>28</v>
      </c>
    </row>
    <row r="492" spans="1:13" x14ac:dyDescent="0.35">
      <c r="D492" s="41" t="s">
        <v>646</v>
      </c>
      <c r="E492" s="41">
        <v>13</v>
      </c>
      <c r="F492" s="41">
        <v>9</v>
      </c>
      <c r="G492" s="41" t="s">
        <v>640</v>
      </c>
      <c r="H492" s="41" t="s">
        <v>770</v>
      </c>
      <c r="L492">
        <f t="shared" si="19"/>
        <v>4</v>
      </c>
      <c r="M492">
        <f t="shared" si="20"/>
        <v>24</v>
      </c>
    </row>
    <row r="493" spans="1:13" x14ac:dyDescent="0.35">
      <c r="C493" t="s">
        <v>791</v>
      </c>
      <c r="D493" s="41" t="s">
        <v>644</v>
      </c>
      <c r="E493" s="41">
        <v>21</v>
      </c>
      <c r="F493" s="41">
        <v>5</v>
      </c>
      <c r="G493" s="41" t="s">
        <v>680</v>
      </c>
      <c r="H493" s="41" t="s">
        <v>799</v>
      </c>
      <c r="I493" s="41" t="s">
        <v>1019</v>
      </c>
      <c r="L493">
        <f t="shared" si="19"/>
        <v>16</v>
      </c>
      <c r="M493">
        <f t="shared" si="20"/>
        <v>36</v>
      </c>
    </row>
    <row r="494" spans="1:13" x14ac:dyDescent="0.35">
      <c r="C494" t="s">
        <v>815</v>
      </c>
      <c r="D494" s="41" t="s">
        <v>718</v>
      </c>
      <c r="E494" s="41">
        <v>21</v>
      </c>
      <c r="F494" s="41">
        <v>10</v>
      </c>
      <c r="G494" s="41" t="s">
        <v>792</v>
      </c>
      <c r="H494" s="41" t="s">
        <v>770</v>
      </c>
      <c r="L494">
        <f t="shared" si="19"/>
        <v>11</v>
      </c>
      <c r="M494">
        <f t="shared" si="20"/>
        <v>31</v>
      </c>
    </row>
    <row r="495" spans="1:13" x14ac:dyDescent="0.35">
      <c r="D495" s="41" t="s">
        <v>756</v>
      </c>
      <c r="E495" s="41">
        <v>20</v>
      </c>
      <c r="F495" s="41">
        <v>8</v>
      </c>
      <c r="G495" s="41" t="s">
        <v>726</v>
      </c>
      <c r="H495" s="41" t="s">
        <v>821</v>
      </c>
      <c r="L495">
        <f t="shared" si="19"/>
        <v>12</v>
      </c>
      <c r="M495">
        <f t="shared" si="20"/>
        <v>32</v>
      </c>
    </row>
    <row r="496" spans="1:13" x14ac:dyDescent="0.35">
      <c r="D496" s="41" t="s">
        <v>722</v>
      </c>
      <c r="E496" s="41">
        <v>14</v>
      </c>
      <c r="F496" s="41">
        <v>7</v>
      </c>
      <c r="G496" s="41" t="s">
        <v>677</v>
      </c>
      <c r="H496" s="41" t="s">
        <v>870</v>
      </c>
      <c r="L496">
        <f t="shared" si="19"/>
        <v>7</v>
      </c>
      <c r="M496">
        <f t="shared" si="20"/>
        <v>27</v>
      </c>
    </row>
    <row r="497" spans="3:13" x14ac:dyDescent="0.35">
      <c r="D497" s="41" t="s">
        <v>676</v>
      </c>
      <c r="E497" s="41">
        <v>24</v>
      </c>
      <c r="F497" s="41">
        <v>10</v>
      </c>
      <c r="G497" s="41" t="s">
        <v>701</v>
      </c>
      <c r="H497" s="41" t="s">
        <v>820</v>
      </c>
      <c r="L497">
        <f t="shared" si="19"/>
        <v>14</v>
      </c>
      <c r="M497">
        <f t="shared" si="20"/>
        <v>34</v>
      </c>
    </row>
    <row r="498" spans="3:13" x14ac:dyDescent="0.35">
      <c r="D498" s="41" t="s">
        <v>660</v>
      </c>
      <c r="E498" s="41">
        <v>20</v>
      </c>
      <c r="F498" s="41">
        <v>13</v>
      </c>
      <c r="G498" s="41" t="s">
        <v>242</v>
      </c>
      <c r="H498" s="41" t="s">
        <v>699</v>
      </c>
      <c r="L498">
        <f t="shared" si="19"/>
        <v>7</v>
      </c>
      <c r="M498">
        <f t="shared" si="20"/>
        <v>27</v>
      </c>
    </row>
    <row r="499" spans="3:13" x14ac:dyDescent="0.35">
      <c r="D499" s="41" t="s">
        <v>785</v>
      </c>
      <c r="E499" s="41">
        <v>28</v>
      </c>
      <c r="F499" s="41">
        <v>2</v>
      </c>
      <c r="G499" s="41" t="s">
        <v>679</v>
      </c>
      <c r="H499" s="41" t="s">
        <v>1020</v>
      </c>
      <c r="L499">
        <f t="shared" si="19"/>
        <v>26</v>
      </c>
      <c r="M499">
        <f t="shared" si="20"/>
        <v>46</v>
      </c>
    </row>
    <row r="500" spans="3:13" x14ac:dyDescent="0.35">
      <c r="D500" s="41" t="s">
        <v>779</v>
      </c>
      <c r="E500" s="41">
        <v>19</v>
      </c>
      <c r="F500" s="41">
        <v>8</v>
      </c>
      <c r="G500" s="41" t="s">
        <v>700</v>
      </c>
      <c r="H500" s="41" t="s">
        <v>741</v>
      </c>
      <c r="L500">
        <f t="shared" si="19"/>
        <v>11</v>
      </c>
      <c r="M500">
        <f t="shared" si="20"/>
        <v>31</v>
      </c>
    </row>
    <row r="501" spans="3:13" x14ac:dyDescent="0.35">
      <c r="D501" s="41" t="s">
        <v>716</v>
      </c>
      <c r="E501" s="41">
        <v>18</v>
      </c>
      <c r="F501" s="41">
        <v>12</v>
      </c>
      <c r="G501" s="41" t="s">
        <v>783</v>
      </c>
      <c r="H501" s="41" t="s">
        <v>790</v>
      </c>
      <c r="I501" s="41" t="s">
        <v>1021</v>
      </c>
      <c r="L501">
        <f t="shared" si="19"/>
        <v>6</v>
      </c>
      <c r="M501">
        <f t="shared" si="20"/>
        <v>26</v>
      </c>
    </row>
    <row r="502" spans="3:13" x14ac:dyDescent="0.35">
      <c r="C502" t="s">
        <v>853</v>
      </c>
      <c r="D502" s="41" t="s">
        <v>582</v>
      </c>
      <c r="E502" s="41">
        <v>19</v>
      </c>
      <c r="F502" s="41">
        <v>14</v>
      </c>
      <c r="G502" s="41" t="s">
        <v>648</v>
      </c>
      <c r="H502" s="41" t="s">
        <v>724</v>
      </c>
      <c r="I502" s="41" t="s">
        <v>1022</v>
      </c>
      <c r="L502">
        <f t="shared" si="19"/>
        <v>5</v>
      </c>
      <c r="M502">
        <f t="shared" si="20"/>
        <v>25</v>
      </c>
    </row>
    <row r="503" spans="3:13" x14ac:dyDescent="0.35">
      <c r="D503" s="41" t="s">
        <v>642</v>
      </c>
      <c r="E503" s="41">
        <v>15</v>
      </c>
      <c r="F503" s="41">
        <v>14</v>
      </c>
      <c r="G503" s="41" t="s">
        <v>777</v>
      </c>
      <c r="H503" s="41" t="s">
        <v>719</v>
      </c>
      <c r="L503">
        <f t="shared" si="19"/>
        <v>1</v>
      </c>
      <c r="M503">
        <f t="shared" si="20"/>
        <v>21</v>
      </c>
    </row>
    <row r="504" spans="3:13" x14ac:dyDescent="0.35">
      <c r="D504" s="41" t="s">
        <v>771</v>
      </c>
      <c r="E504" s="41">
        <v>11</v>
      </c>
      <c r="F504" s="41">
        <v>7</v>
      </c>
      <c r="G504" s="41" t="s">
        <v>774</v>
      </c>
      <c r="H504" s="41" t="s">
        <v>714</v>
      </c>
      <c r="L504">
        <f t="shared" si="19"/>
        <v>4</v>
      </c>
      <c r="M504">
        <f t="shared" si="20"/>
        <v>24</v>
      </c>
    </row>
    <row r="505" spans="3:13" x14ac:dyDescent="0.35">
      <c r="D505" s="41" t="s">
        <v>768</v>
      </c>
      <c r="E505" s="41">
        <v>18</v>
      </c>
      <c r="F505" s="41">
        <v>11</v>
      </c>
      <c r="G505" s="41" t="s">
        <v>643</v>
      </c>
      <c r="H505" s="41" t="s">
        <v>724</v>
      </c>
      <c r="L505">
        <f t="shared" si="19"/>
        <v>7</v>
      </c>
      <c r="M505">
        <f t="shared" si="20"/>
        <v>27</v>
      </c>
    </row>
    <row r="506" spans="3:13" x14ac:dyDescent="0.35">
      <c r="D506" s="41" t="s">
        <v>729</v>
      </c>
      <c r="E506" s="41">
        <v>10</v>
      </c>
      <c r="F506" s="41">
        <v>9</v>
      </c>
      <c r="G506" s="41" t="s">
        <v>672</v>
      </c>
      <c r="H506" s="41" t="s">
        <v>741</v>
      </c>
      <c r="L506">
        <f t="shared" si="19"/>
        <v>1</v>
      </c>
      <c r="M506">
        <f t="shared" si="20"/>
        <v>21</v>
      </c>
    </row>
    <row r="507" spans="3:13" x14ac:dyDescent="0.35">
      <c r="C507" t="s">
        <v>810</v>
      </c>
      <c r="D507" s="41" t="s">
        <v>661</v>
      </c>
      <c r="E507" s="41">
        <v>17</v>
      </c>
      <c r="F507" s="41">
        <v>14</v>
      </c>
      <c r="G507" s="41" t="s">
        <v>641</v>
      </c>
      <c r="H507" s="41" t="s">
        <v>773</v>
      </c>
      <c r="L507">
        <f t="shared" si="19"/>
        <v>3</v>
      </c>
      <c r="M507">
        <f t="shared" si="20"/>
        <v>23</v>
      </c>
    </row>
    <row r="508" spans="3:13" x14ac:dyDescent="0.35">
      <c r="C508" t="s">
        <v>873</v>
      </c>
      <c r="D508" s="41" t="s">
        <v>743</v>
      </c>
      <c r="E508" s="41">
        <v>16</v>
      </c>
      <c r="F508" s="41">
        <v>9</v>
      </c>
      <c r="G508" s="41" t="s">
        <v>692</v>
      </c>
      <c r="H508" s="41" t="s">
        <v>714</v>
      </c>
      <c r="L508">
        <f t="shared" si="19"/>
        <v>7</v>
      </c>
      <c r="M508">
        <f t="shared" si="20"/>
        <v>27</v>
      </c>
    </row>
    <row r="509" spans="3:13" x14ac:dyDescent="0.35">
      <c r="D509" s="41" t="s">
        <v>765</v>
      </c>
      <c r="E509" s="41">
        <v>20</v>
      </c>
      <c r="F509" s="41">
        <v>12</v>
      </c>
      <c r="G509" s="41" t="s">
        <v>738</v>
      </c>
      <c r="H509" s="41" t="s">
        <v>705</v>
      </c>
      <c r="L509">
        <f t="shared" si="19"/>
        <v>8</v>
      </c>
      <c r="M509">
        <f t="shared" si="20"/>
        <v>28</v>
      </c>
    </row>
    <row r="510" spans="3:13" x14ac:dyDescent="0.35">
      <c r="D510" s="41" t="s">
        <v>704</v>
      </c>
      <c r="E510" s="41">
        <v>21</v>
      </c>
      <c r="F510" s="41">
        <v>20</v>
      </c>
      <c r="G510" s="41" t="s">
        <v>706</v>
      </c>
      <c r="H510" s="41" t="s">
        <v>1011</v>
      </c>
      <c r="L510">
        <f t="shared" si="19"/>
        <v>1</v>
      </c>
      <c r="M510">
        <f t="shared" si="20"/>
        <v>21</v>
      </c>
    </row>
    <row r="511" spans="3:13" x14ac:dyDescent="0.35">
      <c r="C511" t="s">
        <v>1023</v>
      </c>
      <c r="D511" s="41" t="s">
        <v>245</v>
      </c>
      <c r="E511" s="41">
        <v>10</v>
      </c>
      <c r="F511" s="41">
        <v>7</v>
      </c>
      <c r="G511" s="41" t="s">
        <v>663</v>
      </c>
      <c r="H511" s="41" t="s">
        <v>933</v>
      </c>
      <c r="L511">
        <f t="shared" si="19"/>
        <v>3</v>
      </c>
      <c r="M511">
        <f t="shared" si="20"/>
        <v>23</v>
      </c>
    </row>
    <row r="512" spans="3:13" x14ac:dyDescent="0.35">
      <c r="C512" t="s">
        <v>812</v>
      </c>
      <c r="D512" s="41" t="s">
        <v>760</v>
      </c>
      <c r="E512" s="41">
        <v>17</v>
      </c>
      <c r="F512" s="41">
        <v>12</v>
      </c>
      <c r="G512" s="41" t="s">
        <v>693</v>
      </c>
      <c r="H512" s="41" t="s">
        <v>831</v>
      </c>
      <c r="L512">
        <f t="shared" si="19"/>
        <v>5</v>
      </c>
      <c r="M512">
        <f t="shared" si="20"/>
        <v>25</v>
      </c>
    </row>
    <row r="513" spans="1:13" x14ac:dyDescent="0.35">
      <c r="D513" s="41" t="s">
        <v>742</v>
      </c>
      <c r="E513" s="41">
        <v>17</v>
      </c>
      <c r="F513" s="41">
        <v>13</v>
      </c>
      <c r="G513" s="41" t="s">
        <v>647</v>
      </c>
      <c r="H513" s="41" t="s">
        <v>866</v>
      </c>
      <c r="L513">
        <f t="shared" si="19"/>
        <v>4</v>
      </c>
      <c r="M513">
        <f t="shared" si="20"/>
        <v>24</v>
      </c>
    </row>
    <row r="514" spans="1:13" x14ac:dyDescent="0.35">
      <c r="C514" t="s">
        <v>807</v>
      </c>
      <c r="D514" s="41" t="s">
        <v>731</v>
      </c>
      <c r="E514" s="41">
        <v>19</v>
      </c>
      <c r="F514" s="41">
        <v>17</v>
      </c>
      <c r="G514" s="41" t="s">
        <v>734</v>
      </c>
      <c r="H514" s="41" t="s">
        <v>1024</v>
      </c>
      <c r="I514" s="41" t="s">
        <v>1025</v>
      </c>
      <c r="L514">
        <f t="shared" ref="L514:L521" si="21">E514-F514</f>
        <v>2</v>
      </c>
      <c r="M514">
        <f t="shared" si="20"/>
        <v>22</v>
      </c>
    </row>
    <row r="515" spans="1:13" x14ac:dyDescent="0.35">
      <c r="C515" t="s">
        <v>911</v>
      </c>
      <c r="D515" s="41" t="s">
        <v>720</v>
      </c>
      <c r="E515" s="41">
        <v>19</v>
      </c>
      <c r="F515" s="41">
        <v>16</v>
      </c>
      <c r="G515" s="41" t="s">
        <v>764</v>
      </c>
      <c r="H515" s="41" t="s">
        <v>952</v>
      </c>
      <c r="L515">
        <f t="shared" si="21"/>
        <v>3</v>
      </c>
      <c r="M515">
        <f t="shared" ref="M515:M521" si="22">24+L515-4</f>
        <v>23</v>
      </c>
    </row>
    <row r="516" spans="1:13" x14ac:dyDescent="0.35">
      <c r="C516" t="s">
        <v>1026</v>
      </c>
      <c r="D516" s="41" t="s">
        <v>750</v>
      </c>
      <c r="E516" s="41">
        <v>25</v>
      </c>
      <c r="F516" s="41">
        <v>21</v>
      </c>
      <c r="G516" s="41" t="s">
        <v>746</v>
      </c>
      <c r="H516" s="41" t="s">
        <v>991</v>
      </c>
      <c r="I516" s="41" t="s">
        <v>1027</v>
      </c>
      <c r="L516">
        <f t="shared" si="21"/>
        <v>4</v>
      </c>
      <c r="M516">
        <f t="shared" si="22"/>
        <v>24</v>
      </c>
    </row>
    <row r="517" spans="1:13" x14ac:dyDescent="0.35">
      <c r="C517" t="s">
        <v>1028</v>
      </c>
      <c r="D517" s="41" t="s">
        <v>784</v>
      </c>
      <c r="E517" s="41">
        <v>13</v>
      </c>
      <c r="F517" s="41">
        <v>11</v>
      </c>
      <c r="G517" s="41" t="s">
        <v>650</v>
      </c>
      <c r="H517" s="41" t="s">
        <v>724</v>
      </c>
      <c r="L517">
        <f t="shared" si="21"/>
        <v>2</v>
      </c>
      <c r="M517">
        <f t="shared" si="22"/>
        <v>22</v>
      </c>
    </row>
    <row r="518" spans="1:13" x14ac:dyDescent="0.35">
      <c r="C518" t="s">
        <v>1029</v>
      </c>
      <c r="D518" s="41" t="s">
        <v>757</v>
      </c>
      <c r="E518" s="41">
        <v>24</v>
      </c>
      <c r="F518" s="41">
        <v>21</v>
      </c>
      <c r="G518" s="41" t="s">
        <v>649</v>
      </c>
      <c r="H518" s="41" t="s">
        <v>972</v>
      </c>
      <c r="L518">
        <f t="shared" si="21"/>
        <v>3</v>
      </c>
      <c r="M518">
        <f t="shared" si="22"/>
        <v>23</v>
      </c>
    </row>
    <row r="519" spans="1:13" x14ac:dyDescent="0.35">
      <c r="C519" t="s">
        <v>1030</v>
      </c>
      <c r="D519" s="41" t="s">
        <v>467</v>
      </c>
      <c r="E519" s="41">
        <v>10</v>
      </c>
      <c r="F519" s="41">
        <v>8</v>
      </c>
      <c r="G519" s="41" t="s">
        <v>712</v>
      </c>
      <c r="H519" s="41" t="s">
        <v>842</v>
      </c>
      <c r="I519" t="s">
        <v>1031</v>
      </c>
      <c r="L519">
        <f t="shared" si="21"/>
        <v>2</v>
      </c>
      <c r="M519">
        <f t="shared" si="22"/>
        <v>22</v>
      </c>
    </row>
    <row r="520" spans="1:13" x14ac:dyDescent="0.35">
      <c r="C520" t="s">
        <v>1032</v>
      </c>
      <c r="D520" s="41" t="s">
        <v>778</v>
      </c>
      <c r="E520" s="41">
        <v>12</v>
      </c>
      <c r="F520" s="41">
        <v>11</v>
      </c>
      <c r="G520" s="41" t="s">
        <v>776</v>
      </c>
      <c r="H520" s="41" t="s">
        <v>721</v>
      </c>
      <c r="I520" t="s">
        <v>1033</v>
      </c>
      <c r="L520">
        <f t="shared" si="21"/>
        <v>1</v>
      </c>
      <c r="M520">
        <f t="shared" si="22"/>
        <v>21</v>
      </c>
    </row>
    <row r="521" spans="1:13" ht="15" thickBot="1" x14ac:dyDescent="0.4">
      <c r="C521" s="40" t="s">
        <v>1034</v>
      </c>
      <c r="D521" s="40" t="s">
        <v>673</v>
      </c>
      <c r="E521" s="40">
        <v>20</v>
      </c>
      <c r="F521" s="40">
        <v>11</v>
      </c>
      <c r="G521" s="40" t="s">
        <v>763</v>
      </c>
      <c r="H521" s="40" t="s">
        <v>793</v>
      </c>
      <c r="I521" s="40" t="s">
        <v>1035</v>
      </c>
      <c r="L521">
        <f t="shared" si="21"/>
        <v>9</v>
      </c>
      <c r="M521">
        <f t="shared" si="22"/>
        <v>29</v>
      </c>
    </row>
    <row r="522" spans="1:13" x14ac:dyDescent="0.35">
      <c r="A522" t="s">
        <v>1129</v>
      </c>
      <c r="C522" s="41" t="s">
        <v>1036</v>
      </c>
      <c r="D522" s="41" t="s">
        <v>761</v>
      </c>
      <c r="E522" s="41">
        <v>21</v>
      </c>
      <c r="F522" s="41">
        <v>16</v>
      </c>
      <c r="G522" s="41" t="s">
        <v>713</v>
      </c>
      <c r="H522" s="41" t="s">
        <v>786</v>
      </c>
      <c r="I522" s="41" t="s">
        <v>1037</v>
      </c>
    </row>
    <row r="523" spans="1:13" x14ac:dyDescent="0.35">
      <c r="C523" s="41" t="s">
        <v>1038</v>
      </c>
      <c r="D523" s="41" t="s">
        <v>731</v>
      </c>
      <c r="E523" s="41">
        <v>24</v>
      </c>
      <c r="F523" s="41">
        <v>12</v>
      </c>
      <c r="G523" s="41" t="s">
        <v>779</v>
      </c>
      <c r="H523" s="41" t="s">
        <v>759</v>
      </c>
      <c r="I523" s="41" t="s">
        <v>1039</v>
      </c>
    </row>
    <row r="524" spans="1:13" x14ac:dyDescent="0.35">
      <c r="C524" s="41" t="s">
        <v>1040</v>
      </c>
      <c r="D524" s="41" t="s">
        <v>648</v>
      </c>
      <c r="E524" s="41">
        <v>13</v>
      </c>
      <c r="F524" s="41">
        <v>10</v>
      </c>
      <c r="G524" s="41" t="s">
        <v>750</v>
      </c>
      <c r="H524" s="41" t="s">
        <v>710</v>
      </c>
      <c r="I524" s="41" t="s">
        <v>1041</v>
      </c>
    </row>
    <row r="525" spans="1:13" x14ac:dyDescent="0.35">
      <c r="C525" s="41" t="s">
        <v>1042</v>
      </c>
      <c r="D525" s="41" t="s">
        <v>644</v>
      </c>
      <c r="E525" s="41">
        <v>9</v>
      </c>
      <c r="F525" s="41">
        <v>8</v>
      </c>
      <c r="G525" s="41" t="s">
        <v>778</v>
      </c>
      <c r="H525" s="41" t="s">
        <v>832</v>
      </c>
      <c r="I525" s="41" t="s">
        <v>1043</v>
      </c>
    </row>
    <row r="526" spans="1:13" ht="15" thickBot="1" x14ac:dyDescent="0.4">
      <c r="C526" s="40" t="s">
        <v>1044</v>
      </c>
      <c r="D526" s="40" t="s">
        <v>467</v>
      </c>
      <c r="E526" s="40">
        <v>15</v>
      </c>
      <c r="F526" s="40">
        <v>9</v>
      </c>
      <c r="G526" s="40" t="s">
        <v>673</v>
      </c>
      <c r="H526" s="40" t="s">
        <v>721</v>
      </c>
      <c r="I526" s="42" t="s">
        <v>1045</v>
      </c>
    </row>
    <row r="527" spans="1:13" x14ac:dyDescent="0.35">
      <c r="A527" t="s">
        <v>1130</v>
      </c>
      <c r="C527" s="43" t="s">
        <v>1046</v>
      </c>
      <c r="D527" s="41" t="s">
        <v>761</v>
      </c>
      <c r="E527" s="41">
        <v>13</v>
      </c>
      <c r="F527" s="41">
        <v>9</v>
      </c>
      <c r="G527" s="41" t="s">
        <v>648</v>
      </c>
      <c r="H527" s="41" t="s">
        <v>741</v>
      </c>
      <c r="I527" s="41" t="s">
        <v>1047</v>
      </c>
    </row>
    <row r="528" spans="1:13" x14ac:dyDescent="0.35">
      <c r="C528" s="1" t="s">
        <v>1048</v>
      </c>
      <c r="D528" s="41" t="s">
        <v>731</v>
      </c>
      <c r="E528" s="41">
        <v>20</v>
      </c>
      <c r="F528" s="41">
        <v>16</v>
      </c>
      <c r="G528" s="41" t="s">
        <v>778</v>
      </c>
      <c r="H528" s="41" t="s">
        <v>705</v>
      </c>
      <c r="I528" s="41" t="s">
        <v>1049</v>
      </c>
      <c r="K528" t="s">
        <v>1050</v>
      </c>
    </row>
    <row r="529" spans="1:18" x14ac:dyDescent="0.35">
      <c r="C529" s="1" t="s">
        <v>1051</v>
      </c>
      <c r="D529" s="41" t="s">
        <v>673</v>
      </c>
      <c r="E529" s="41">
        <v>17</v>
      </c>
      <c r="F529" s="41">
        <v>13</v>
      </c>
      <c r="G529" s="41" t="s">
        <v>467</v>
      </c>
      <c r="H529" s="41" t="s">
        <v>793</v>
      </c>
      <c r="I529" s="41" t="s">
        <v>1052</v>
      </c>
      <c r="J529">
        <v>1</v>
      </c>
      <c r="K529" s="44" t="s">
        <v>1053</v>
      </c>
      <c r="L529" t="s">
        <v>1054</v>
      </c>
      <c r="M529" t="s">
        <v>1055</v>
      </c>
      <c r="N529" t="s">
        <v>1056</v>
      </c>
    </row>
    <row r="530" spans="1:18" x14ac:dyDescent="0.35">
      <c r="C530" s="1" t="s">
        <v>1057</v>
      </c>
      <c r="D530" s="41" t="s">
        <v>644</v>
      </c>
      <c r="E530" s="41">
        <v>21</v>
      </c>
      <c r="F530" s="41">
        <v>10</v>
      </c>
      <c r="G530" s="41" t="s">
        <v>760</v>
      </c>
      <c r="H530" s="41" t="s">
        <v>910</v>
      </c>
      <c r="I530" s="41" t="s">
        <v>1058</v>
      </c>
      <c r="J530">
        <v>4</v>
      </c>
      <c r="K530" t="s">
        <v>648</v>
      </c>
      <c r="L530" t="s">
        <v>1059</v>
      </c>
      <c r="M530" t="s">
        <v>1060</v>
      </c>
      <c r="O530" t="s">
        <v>1061</v>
      </c>
      <c r="Q530" t="s">
        <v>240</v>
      </c>
      <c r="R530">
        <v>400</v>
      </c>
    </row>
    <row r="531" spans="1:18" x14ac:dyDescent="0.35">
      <c r="A531" t="s">
        <v>1131</v>
      </c>
      <c r="C531" s="1" t="s">
        <v>885</v>
      </c>
      <c r="D531" s="41" t="s">
        <v>731</v>
      </c>
      <c r="E531" s="41">
        <v>21</v>
      </c>
      <c r="F531" s="41">
        <v>7</v>
      </c>
      <c r="G531" s="41" t="s">
        <v>761</v>
      </c>
      <c r="H531" s="41" t="s">
        <v>789</v>
      </c>
      <c r="I531" s="41" t="s">
        <v>1062</v>
      </c>
      <c r="J531">
        <v>5</v>
      </c>
      <c r="K531" s="1" t="s">
        <v>1063</v>
      </c>
      <c r="L531" t="s">
        <v>1064</v>
      </c>
      <c r="M531" t="s">
        <v>1065</v>
      </c>
      <c r="N531" t="s">
        <v>1066</v>
      </c>
      <c r="O531" t="s">
        <v>1067</v>
      </c>
      <c r="Q531" t="s">
        <v>247</v>
      </c>
      <c r="R531">
        <v>300</v>
      </c>
    </row>
    <row r="532" spans="1:18" x14ac:dyDescent="0.35">
      <c r="C532" s="1" t="s">
        <v>1068</v>
      </c>
      <c r="D532" s="41" t="s">
        <v>648</v>
      </c>
      <c r="E532" s="41">
        <v>26</v>
      </c>
      <c r="F532" s="41">
        <v>14</v>
      </c>
      <c r="G532" s="41" t="s">
        <v>778</v>
      </c>
      <c r="H532" s="41" t="s">
        <v>823</v>
      </c>
      <c r="I532" s="41" t="s">
        <v>1069</v>
      </c>
      <c r="J532">
        <v>8</v>
      </c>
      <c r="K532" t="s">
        <v>778</v>
      </c>
      <c r="L532" t="s">
        <v>1070</v>
      </c>
      <c r="M532" t="s">
        <v>1071</v>
      </c>
      <c r="O532" t="s">
        <v>1072</v>
      </c>
      <c r="Q532" t="s">
        <v>241</v>
      </c>
      <c r="R532">
        <v>200</v>
      </c>
    </row>
    <row r="533" spans="1:18" x14ac:dyDescent="0.35">
      <c r="C533" s="1" t="s">
        <v>1073</v>
      </c>
      <c r="D533" s="41" t="s">
        <v>644</v>
      </c>
      <c r="E533" s="41">
        <v>19</v>
      </c>
      <c r="F533" s="41">
        <v>16</v>
      </c>
      <c r="G533" s="41" t="s">
        <v>673</v>
      </c>
      <c r="H533" s="41" t="s">
        <v>705</v>
      </c>
      <c r="I533" s="41" t="s">
        <v>1074</v>
      </c>
      <c r="O533" t="s">
        <v>1075</v>
      </c>
      <c r="Q533" t="s">
        <v>249</v>
      </c>
      <c r="R533">
        <v>175</v>
      </c>
    </row>
    <row r="534" spans="1:18" x14ac:dyDescent="0.35">
      <c r="C534" s="1" t="s">
        <v>854</v>
      </c>
      <c r="D534" s="41" t="s">
        <v>760</v>
      </c>
      <c r="E534" s="41">
        <v>14</v>
      </c>
      <c r="F534" s="41">
        <v>12</v>
      </c>
      <c r="G534" s="41" t="s">
        <v>467</v>
      </c>
      <c r="H534" s="41" t="s">
        <v>748</v>
      </c>
      <c r="I534" s="41" t="s">
        <v>1076</v>
      </c>
      <c r="K534" t="s">
        <v>1077</v>
      </c>
      <c r="O534" t="s">
        <v>1078</v>
      </c>
      <c r="Q534" t="s">
        <v>248</v>
      </c>
      <c r="R534">
        <v>125</v>
      </c>
    </row>
    <row r="535" spans="1:18" x14ac:dyDescent="0.35">
      <c r="A535" t="s">
        <v>1132</v>
      </c>
      <c r="C535" s="1" t="s">
        <v>1046</v>
      </c>
      <c r="D535" s="41" t="s">
        <v>761</v>
      </c>
      <c r="E535" s="41">
        <v>16</v>
      </c>
      <c r="F535" s="41">
        <v>7</v>
      </c>
      <c r="G535" s="41" t="s">
        <v>648</v>
      </c>
      <c r="H535" s="41" t="s">
        <v>870</v>
      </c>
      <c r="I535" s="41" t="s">
        <v>1079</v>
      </c>
      <c r="J535">
        <v>2</v>
      </c>
      <c r="K535" s="44" t="s">
        <v>644</v>
      </c>
      <c r="L535" t="s">
        <v>1054</v>
      </c>
      <c r="M535" t="s">
        <v>1080</v>
      </c>
      <c r="N535" t="s">
        <v>1064</v>
      </c>
      <c r="O535" t="s">
        <v>1081</v>
      </c>
      <c r="Q535" t="s">
        <v>249</v>
      </c>
      <c r="R535">
        <v>100</v>
      </c>
    </row>
    <row r="536" spans="1:18" x14ac:dyDescent="0.35">
      <c r="C536" s="1" t="s">
        <v>1082</v>
      </c>
      <c r="D536" s="41" t="s">
        <v>673</v>
      </c>
      <c r="E536" s="41">
        <v>17</v>
      </c>
      <c r="F536" s="41">
        <v>12</v>
      </c>
      <c r="G536" s="41" t="s">
        <v>760</v>
      </c>
      <c r="H536" s="41" t="s">
        <v>952</v>
      </c>
      <c r="I536" s="41" t="s">
        <v>1083</v>
      </c>
      <c r="J536">
        <v>3</v>
      </c>
      <c r="K536" t="s">
        <v>467</v>
      </c>
      <c r="L536" t="s">
        <v>1070</v>
      </c>
      <c r="M536" t="s">
        <v>1084</v>
      </c>
      <c r="O536" t="s">
        <v>1085</v>
      </c>
      <c r="Q536" t="s">
        <v>249</v>
      </c>
      <c r="R536">
        <v>75</v>
      </c>
    </row>
    <row r="537" spans="1:18" x14ac:dyDescent="0.35">
      <c r="A537" t="s">
        <v>1133</v>
      </c>
      <c r="C537" s="1" t="s">
        <v>876</v>
      </c>
      <c r="D537" s="41" t="s">
        <v>731</v>
      </c>
      <c r="E537" s="41">
        <v>23</v>
      </c>
      <c r="F537" s="41">
        <v>17</v>
      </c>
      <c r="G537" t="s">
        <v>673</v>
      </c>
      <c r="H537" s="41" t="s">
        <v>699</v>
      </c>
      <c r="I537" s="41" t="s">
        <v>1086</v>
      </c>
      <c r="J537">
        <v>6</v>
      </c>
      <c r="K537" s="1" t="s">
        <v>673</v>
      </c>
      <c r="L537" t="s">
        <v>1064</v>
      </c>
      <c r="M537" t="s">
        <v>1087</v>
      </c>
      <c r="N537" t="s">
        <v>1088</v>
      </c>
      <c r="O537" t="s">
        <v>1089</v>
      </c>
      <c r="Q537" t="s">
        <v>241</v>
      </c>
      <c r="R537">
        <v>50</v>
      </c>
    </row>
    <row r="538" spans="1:18" x14ac:dyDescent="0.35">
      <c r="C538" s="1" t="s">
        <v>1090</v>
      </c>
      <c r="D538" t="s">
        <v>761</v>
      </c>
      <c r="E538" s="41">
        <v>14</v>
      </c>
      <c r="F538" s="41">
        <v>11</v>
      </c>
      <c r="G538" t="s">
        <v>644</v>
      </c>
      <c r="H538" s="41" t="s">
        <v>724</v>
      </c>
      <c r="I538" s="41" t="s">
        <v>1091</v>
      </c>
      <c r="J538">
        <v>7</v>
      </c>
      <c r="K538" t="s">
        <v>760</v>
      </c>
      <c r="L538" t="s">
        <v>1059</v>
      </c>
      <c r="M538" t="s">
        <v>1092</v>
      </c>
    </row>
    <row r="539" spans="1:18" ht="15" thickBot="1" x14ac:dyDescent="0.4">
      <c r="A539" t="s">
        <v>1134</v>
      </c>
      <c r="C539" s="45" t="s">
        <v>1093</v>
      </c>
      <c r="D539" s="40" t="s">
        <v>761</v>
      </c>
      <c r="E539" s="40">
        <v>21</v>
      </c>
      <c r="F539" s="40">
        <v>20</v>
      </c>
      <c r="G539" s="40" t="s">
        <v>731</v>
      </c>
      <c r="H539" s="40" t="s">
        <v>1094</v>
      </c>
      <c r="I539" s="42" t="s">
        <v>1095</v>
      </c>
    </row>
    <row r="540" spans="1:18" x14ac:dyDescent="0.35">
      <c r="O540" t="s">
        <v>1096</v>
      </c>
    </row>
    <row r="541" spans="1:18" x14ac:dyDescent="0.35">
      <c r="G541" s="22"/>
      <c r="O541">
        <v>20</v>
      </c>
    </row>
    <row r="542" spans="1:18" x14ac:dyDescent="0.35">
      <c r="G542" s="22"/>
      <c r="O542">
        <v>15</v>
      </c>
    </row>
    <row r="543" spans="1:18" x14ac:dyDescent="0.35">
      <c r="G543" s="22"/>
      <c r="O543">
        <v>10</v>
      </c>
    </row>
    <row r="544" spans="1:18" x14ac:dyDescent="0.35">
      <c r="G544" s="22"/>
      <c r="O544">
        <v>10</v>
      </c>
    </row>
    <row r="545" spans="7:15" x14ac:dyDescent="0.35">
      <c r="G545" s="22"/>
      <c r="O545">
        <v>5</v>
      </c>
    </row>
    <row r="546" spans="7:15" x14ac:dyDescent="0.35">
      <c r="G546" s="22"/>
      <c r="O546">
        <v>5</v>
      </c>
    </row>
    <row r="547" spans="7:15" x14ac:dyDescent="0.35">
      <c r="O547">
        <v>5</v>
      </c>
    </row>
    <row r="548" spans="7:15" x14ac:dyDescent="0.35">
      <c r="O548">
        <v>5</v>
      </c>
    </row>
  </sheetData>
  <conditionalFormatting sqref="J1 O1">
    <cfRule type="cellIs" dxfId="0" priority="1" operator="lessThan">
      <formula>26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T81"/>
  <sheetViews>
    <sheetView workbookViewId="0">
      <selection activeCell="C4" sqref="C4"/>
    </sheetView>
  </sheetViews>
  <sheetFormatPr defaultColWidth="8.90625" defaultRowHeight="14.5" x14ac:dyDescent="0.35"/>
  <cols>
    <col min="1" max="1" width="18.08984375" style="2" customWidth="1"/>
    <col min="2" max="16384" width="8.90625" style="2"/>
  </cols>
  <sheetData>
    <row r="1" spans="1:20" x14ac:dyDescent="0.35">
      <c r="A1" s="2" t="s">
        <v>3453</v>
      </c>
      <c r="B1" s="2" t="s">
        <v>1098</v>
      </c>
      <c r="C1" s="2" t="s">
        <v>1099</v>
      </c>
      <c r="D1" s="2" t="s">
        <v>1100</v>
      </c>
      <c r="E1" s="2" t="s">
        <v>1101</v>
      </c>
      <c r="F1" s="2" t="s">
        <v>1102</v>
      </c>
      <c r="G1" s="2" t="s">
        <v>1103</v>
      </c>
      <c r="H1" s="2" t="s">
        <v>1104</v>
      </c>
      <c r="I1" s="2" t="s">
        <v>1105</v>
      </c>
      <c r="J1" s="2" t="s">
        <v>1106</v>
      </c>
      <c r="K1" s="2" t="s">
        <v>1107</v>
      </c>
      <c r="L1" s="2" t="s">
        <v>1108</v>
      </c>
      <c r="M1" s="2" t="s">
        <v>1109</v>
      </c>
      <c r="N1" s="2" t="s">
        <v>1110</v>
      </c>
      <c r="O1" s="2" t="s">
        <v>1111</v>
      </c>
      <c r="P1" s="2" t="s">
        <v>1112</v>
      </c>
      <c r="Q1" s="2" t="s">
        <v>1113</v>
      </c>
      <c r="R1" s="2" t="s">
        <v>1114</v>
      </c>
      <c r="S1" s="2" t="s">
        <v>1115</v>
      </c>
      <c r="T1" s="2" t="s">
        <v>1135</v>
      </c>
    </row>
    <row r="2" spans="1:20" x14ac:dyDescent="0.35">
      <c r="A2" s="2" t="s">
        <v>731</v>
      </c>
      <c r="B2" s="2">
        <v>1623</v>
      </c>
      <c r="C2" s="2">
        <v>1647</v>
      </c>
      <c r="D2" s="2">
        <v>1631</v>
      </c>
      <c r="E2" s="2">
        <v>1644</v>
      </c>
      <c r="F2" s="2">
        <v>1671</v>
      </c>
      <c r="G2" s="2">
        <v>1683</v>
      </c>
      <c r="H2" s="2">
        <v>1695</v>
      </c>
      <c r="I2" s="2">
        <v>1716</v>
      </c>
      <c r="J2" s="2">
        <v>1738</v>
      </c>
      <c r="K2" s="2">
        <v>1754</v>
      </c>
      <c r="L2" s="2">
        <v>1766</v>
      </c>
      <c r="M2" s="2">
        <v>1776</v>
      </c>
      <c r="N2" s="2">
        <v>1784</v>
      </c>
      <c r="O2" s="2">
        <v>1811</v>
      </c>
      <c r="P2" s="2">
        <v>1832</v>
      </c>
      <c r="Q2" s="2">
        <v>1872</v>
      </c>
      <c r="R2" s="2">
        <v>1872</v>
      </c>
      <c r="S2" s="2">
        <v>1899</v>
      </c>
      <c r="T2" s="2">
        <v>1865</v>
      </c>
    </row>
    <row r="3" spans="1:20" x14ac:dyDescent="0.35">
      <c r="A3" s="2" t="s">
        <v>761</v>
      </c>
      <c r="B3" s="2">
        <v>1578</v>
      </c>
      <c r="C3" s="2">
        <v>1554</v>
      </c>
      <c r="D3" s="2">
        <v>1527</v>
      </c>
      <c r="E3" s="2">
        <v>1551</v>
      </c>
      <c r="F3" s="2">
        <v>1534</v>
      </c>
      <c r="G3" s="2">
        <v>1556</v>
      </c>
      <c r="H3" s="2">
        <v>1532</v>
      </c>
      <c r="I3" s="2">
        <v>1553</v>
      </c>
      <c r="J3" s="2">
        <v>1582</v>
      </c>
      <c r="K3" s="2">
        <v>1604</v>
      </c>
      <c r="L3" s="2">
        <v>1627</v>
      </c>
      <c r="M3" s="2">
        <v>1648</v>
      </c>
      <c r="N3" s="2">
        <v>1664</v>
      </c>
      <c r="O3" s="2">
        <v>1690</v>
      </c>
      <c r="P3" s="2">
        <v>1728</v>
      </c>
      <c r="Q3" s="2">
        <v>1688</v>
      </c>
      <c r="R3" s="2">
        <v>1741</v>
      </c>
      <c r="S3" s="2">
        <v>1777</v>
      </c>
      <c r="T3" s="2">
        <v>1811</v>
      </c>
    </row>
    <row r="4" spans="1:20" x14ac:dyDescent="0.35">
      <c r="A4" s="2" t="s">
        <v>644</v>
      </c>
      <c r="B4" s="2">
        <v>1615</v>
      </c>
      <c r="C4" s="2">
        <v>1596</v>
      </c>
      <c r="D4" s="2">
        <v>1619</v>
      </c>
      <c r="E4" s="2">
        <v>1637</v>
      </c>
      <c r="F4" s="2">
        <v>1658</v>
      </c>
      <c r="G4" s="2">
        <v>1669</v>
      </c>
      <c r="H4" s="2">
        <v>1688</v>
      </c>
      <c r="I4" s="2">
        <v>1708</v>
      </c>
      <c r="J4" s="2">
        <v>1723</v>
      </c>
      <c r="K4" s="2">
        <v>1743</v>
      </c>
      <c r="L4" s="2">
        <v>1716</v>
      </c>
      <c r="M4" s="2">
        <v>1687</v>
      </c>
      <c r="N4" s="2">
        <v>1705</v>
      </c>
      <c r="O4" s="2">
        <v>1726</v>
      </c>
      <c r="P4" s="2">
        <v>1779</v>
      </c>
      <c r="Q4" s="2">
        <v>1808</v>
      </c>
      <c r="R4" s="2">
        <v>1808</v>
      </c>
      <c r="S4" s="2">
        <v>1772</v>
      </c>
      <c r="T4" s="2">
        <v>1772</v>
      </c>
    </row>
    <row r="5" spans="1:20" x14ac:dyDescent="0.35">
      <c r="A5" s="2" t="s">
        <v>673</v>
      </c>
      <c r="B5" s="2">
        <v>1625</v>
      </c>
      <c r="C5" s="2">
        <v>1642</v>
      </c>
      <c r="D5" s="2">
        <v>1671</v>
      </c>
      <c r="E5" s="2">
        <v>1696</v>
      </c>
      <c r="F5" s="2">
        <v>1718</v>
      </c>
      <c r="G5" s="2">
        <v>1729</v>
      </c>
      <c r="H5" s="2">
        <v>1744</v>
      </c>
      <c r="I5" s="2">
        <v>1757</v>
      </c>
      <c r="J5" s="2">
        <v>1739</v>
      </c>
      <c r="K5" s="2">
        <v>1751</v>
      </c>
      <c r="L5" s="2">
        <v>1731</v>
      </c>
      <c r="M5" s="2">
        <v>1741</v>
      </c>
      <c r="N5" s="2">
        <v>1761</v>
      </c>
      <c r="O5" s="2">
        <v>1723</v>
      </c>
      <c r="P5" s="2">
        <v>1756</v>
      </c>
      <c r="Q5" s="2">
        <v>1727</v>
      </c>
      <c r="R5" s="2">
        <v>1762</v>
      </c>
      <c r="S5" s="2">
        <v>1735</v>
      </c>
      <c r="T5" s="2">
        <v>1735</v>
      </c>
    </row>
    <row r="6" spans="1:20" x14ac:dyDescent="0.35">
      <c r="A6" s="2" t="s">
        <v>718</v>
      </c>
      <c r="B6" s="2">
        <v>1623</v>
      </c>
      <c r="C6" s="2">
        <v>1607</v>
      </c>
      <c r="D6" s="2">
        <v>1636</v>
      </c>
      <c r="E6" s="2">
        <v>1611</v>
      </c>
      <c r="F6" s="2">
        <v>1633</v>
      </c>
      <c r="G6" s="2">
        <v>1620</v>
      </c>
      <c r="H6" s="2">
        <v>1647</v>
      </c>
      <c r="I6" s="2">
        <v>1663</v>
      </c>
      <c r="J6" s="2">
        <v>1647</v>
      </c>
      <c r="K6" s="2">
        <v>1661</v>
      </c>
      <c r="L6" s="2">
        <v>1691</v>
      </c>
      <c r="M6" s="2">
        <v>1705</v>
      </c>
      <c r="N6" s="2">
        <v>1718</v>
      </c>
      <c r="O6" s="2">
        <v>1718</v>
      </c>
      <c r="P6" s="2">
        <v>1718</v>
      </c>
      <c r="Q6" s="2">
        <v>1718</v>
      </c>
      <c r="R6" s="2">
        <v>1718</v>
      </c>
      <c r="S6" s="2">
        <v>1718</v>
      </c>
      <c r="T6" s="2">
        <v>1718</v>
      </c>
    </row>
    <row r="7" spans="1:20" x14ac:dyDescent="0.35">
      <c r="A7" s="2" t="s">
        <v>750</v>
      </c>
      <c r="B7" s="2">
        <v>1628</v>
      </c>
      <c r="C7" s="2">
        <v>1648</v>
      </c>
      <c r="D7" s="2">
        <v>1621</v>
      </c>
      <c r="E7" s="2">
        <v>1634</v>
      </c>
      <c r="F7" s="2">
        <v>1657</v>
      </c>
      <c r="G7" s="2">
        <v>1666</v>
      </c>
      <c r="H7" s="2">
        <v>1690</v>
      </c>
      <c r="I7" s="2">
        <v>1701</v>
      </c>
      <c r="J7" s="2">
        <v>1710</v>
      </c>
      <c r="K7" s="2">
        <v>1732</v>
      </c>
      <c r="L7" s="2">
        <v>1709</v>
      </c>
      <c r="M7" s="2">
        <v>1718</v>
      </c>
      <c r="N7" s="2">
        <v>1732</v>
      </c>
      <c r="O7" s="2">
        <v>1705</v>
      </c>
      <c r="P7" s="2">
        <v>1705</v>
      </c>
      <c r="Q7" s="2">
        <v>1705</v>
      </c>
      <c r="R7" s="2">
        <v>1705</v>
      </c>
      <c r="S7" s="2">
        <v>1705</v>
      </c>
      <c r="T7" s="2">
        <v>1705</v>
      </c>
    </row>
    <row r="8" spans="1:20" x14ac:dyDescent="0.35">
      <c r="A8" s="2" t="s">
        <v>776</v>
      </c>
      <c r="B8" s="2">
        <v>1615</v>
      </c>
      <c r="C8" s="2">
        <v>1633</v>
      </c>
      <c r="D8" s="2">
        <v>1646</v>
      </c>
      <c r="E8" s="2">
        <v>1670</v>
      </c>
      <c r="F8" s="2">
        <v>1652</v>
      </c>
      <c r="G8" s="2">
        <v>1664</v>
      </c>
      <c r="H8" s="2">
        <v>1675</v>
      </c>
      <c r="I8" s="2">
        <v>1692</v>
      </c>
      <c r="J8" s="2">
        <v>1705</v>
      </c>
      <c r="K8" s="2">
        <v>1680</v>
      </c>
      <c r="L8" s="2">
        <v>1700</v>
      </c>
      <c r="M8" s="2">
        <v>1712</v>
      </c>
      <c r="N8" s="2">
        <v>1698</v>
      </c>
      <c r="O8" s="2">
        <v>1698</v>
      </c>
      <c r="P8" s="2">
        <v>1698</v>
      </c>
      <c r="Q8" s="2">
        <v>1698</v>
      </c>
      <c r="R8" s="2">
        <v>1698</v>
      </c>
      <c r="S8" s="2">
        <v>1698</v>
      </c>
      <c r="T8" s="2">
        <v>1698</v>
      </c>
    </row>
    <row r="9" spans="1:20" x14ac:dyDescent="0.35">
      <c r="A9" s="2" t="s">
        <v>648</v>
      </c>
      <c r="B9" s="2">
        <v>1617</v>
      </c>
      <c r="C9" s="2">
        <v>1632</v>
      </c>
      <c r="D9" s="2">
        <v>1643</v>
      </c>
      <c r="E9" s="2">
        <v>1656</v>
      </c>
      <c r="F9" s="2">
        <v>1667</v>
      </c>
      <c r="G9" s="2">
        <v>1690</v>
      </c>
      <c r="H9" s="2">
        <v>1674</v>
      </c>
      <c r="I9" s="2">
        <v>1692</v>
      </c>
      <c r="J9" s="2">
        <v>1702</v>
      </c>
      <c r="K9" s="2">
        <v>1712</v>
      </c>
      <c r="L9" s="2">
        <v>1728</v>
      </c>
      <c r="M9" s="2">
        <v>1739</v>
      </c>
      <c r="N9" s="2">
        <v>1714</v>
      </c>
      <c r="O9" s="2">
        <v>1741</v>
      </c>
      <c r="P9" s="2">
        <v>1703</v>
      </c>
      <c r="Q9" s="2">
        <v>1749</v>
      </c>
      <c r="R9" s="2">
        <v>1696</v>
      </c>
      <c r="S9" s="2">
        <v>1696</v>
      </c>
      <c r="T9" s="2">
        <v>1696</v>
      </c>
    </row>
    <row r="10" spans="1:20" x14ac:dyDescent="0.35">
      <c r="A10" s="2" t="s">
        <v>751</v>
      </c>
      <c r="B10" s="2">
        <v>1572</v>
      </c>
      <c r="C10" s="2">
        <v>1591</v>
      </c>
      <c r="D10" s="2">
        <v>1607</v>
      </c>
      <c r="E10" s="2">
        <v>1629</v>
      </c>
      <c r="F10" s="2">
        <v>1642</v>
      </c>
      <c r="G10" s="2">
        <v>1667</v>
      </c>
      <c r="H10" s="2">
        <v>1681</v>
      </c>
      <c r="I10" s="2">
        <v>1693</v>
      </c>
      <c r="J10" s="2">
        <v>1708</v>
      </c>
      <c r="K10" s="2">
        <v>1688</v>
      </c>
      <c r="L10" s="2">
        <v>1702</v>
      </c>
      <c r="M10" s="2">
        <v>1716</v>
      </c>
      <c r="N10" s="2">
        <v>1693</v>
      </c>
      <c r="O10" s="2">
        <v>1693</v>
      </c>
      <c r="P10" s="2">
        <v>1693</v>
      </c>
      <c r="Q10" s="2">
        <v>1693</v>
      </c>
      <c r="R10" s="2">
        <v>1693</v>
      </c>
      <c r="S10" s="2">
        <v>1693</v>
      </c>
      <c r="T10" s="2">
        <v>1693</v>
      </c>
    </row>
    <row r="11" spans="1:20" x14ac:dyDescent="0.35">
      <c r="A11" s="2" t="s">
        <v>743</v>
      </c>
      <c r="B11" s="2">
        <v>1586</v>
      </c>
      <c r="C11" s="2">
        <v>1599</v>
      </c>
      <c r="D11" s="2">
        <v>1616</v>
      </c>
      <c r="E11" s="2">
        <v>1632</v>
      </c>
      <c r="F11" s="2">
        <v>1646</v>
      </c>
      <c r="G11" s="2">
        <v>1660</v>
      </c>
      <c r="H11" s="2">
        <v>1633</v>
      </c>
      <c r="I11" s="2">
        <v>1647</v>
      </c>
      <c r="J11" s="2">
        <v>1656</v>
      </c>
      <c r="K11" s="2">
        <v>1634</v>
      </c>
      <c r="L11" s="2">
        <v>1664</v>
      </c>
      <c r="M11" s="2">
        <v>1674</v>
      </c>
      <c r="N11" s="2">
        <v>1689</v>
      </c>
      <c r="O11" s="2">
        <v>1689</v>
      </c>
      <c r="P11" s="2">
        <v>1689</v>
      </c>
      <c r="Q11" s="2">
        <v>1689</v>
      </c>
      <c r="R11" s="2">
        <v>1689</v>
      </c>
      <c r="S11" s="2">
        <v>1689</v>
      </c>
      <c r="T11" s="2">
        <v>1689</v>
      </c>
    </row>
    <row r="12" spans="1:20" x14ac:dyDescent="0.35">
      <c r="A12" s="2" t="s">
        <v>760</v>
      </c>
      <c r="B12" s="2">
        <v>1628</v>
      </c>
      <c r="C12" s="2">
        <v>1643</v>
      </c>
      <c r="D12" s="2">
        <v>1614</v>
      </c>
      <c r="E12" s="2">
        <v>1626</v>
      </c>
      <c r="F12" s="2">
        <v>1640</v>
      </c>
      <c r="G12" s="2">
        <v>1659</v>
      </c>
      <c r="H12" s="2">
        <v>1670</v>
      </c>
      <c r="I12" s="2">
        <v>1683</v>
      </c>
      <c r="J12" s="2">
        <v>1693</v>
      </c>
      <c r="K12" s="2">
        <v>1715</v>
      </c>
      <c r="L12" s="2">
        <v>1726</v>
      </c>
      <c r="M12" s="2">
        <v>1737</v>
      </c>
      <c r="N12" s="2">
        <v>1746</v>
      </c>
      <c r="O12" s="2">
        <v>1746</v>
      </c>
      <c r="P12" s="2">
        <v>1693</v>
      </c>
      <c r="Q12" s="2">
        <v>1721</v>
      </c>
      <c r="R12" s="2">
        <v>1686</v>
      </c>
      <c r="S12" s="2">
        <v>1686</v>
      </c>
      <c r="T12" s="2">
        <v>1686</v>
      </c>
    </row>
    <row r="13" spans="1:20" x14ac:dyDescent="0.35">
      <c r="A13" s="2" t="s">
        <v>780</v>
      </c>
      <c r="B13" s="2">
        <v>1615</v>
      </c>
      <c r="C13" s="2">
        <v>1632</v>
      </c>
      <c r="D13" s="2">
        <v>1656</v>
      </c>
      <c r="E13" s="2">
        <v>1681</v>
      </c>
      <c r="F13" s="2">
        <v>1666</v>
      </c>
      <c r="G13" s="2">
        <v>1675</v>
      </c>
      <c r="H13" s="2">
        <v>1647</v>
      </c>
      <c r="I13" s="2">
        <v>1665</v>
      </c>
      <c r="J13" s="2">
        <v>1683</v>
      </c>
      <c r="K13" s="2">
        <v>1669</v>
      </c>
      <c r="L13" s="2">
        <v>1691</v>
      </c>
      <c r="M13" s="2">
        <v>1700</v>
      </c>
      <c r="N13" s="2">
        <v>1679</v>
      </c>
      <c r="O13" s="2">
        <v>1679</v>
      </c>
      <c r="P13" s="2">
        <v>1679</v>
      </c>
      <c r="Q13" s="2">
        <v>1679</v>
      </c>
      <c r="R13" s="2">
        <v>1679</v>
      </c>
      <c r="S13" s="2">
        <v>1679</v>
      </c>
      <c r="T13" s="2">
        <v>1679</v>
      </c>
    </row>
    <row r="14" spans="1:20" x14ac:dyDescent="0.35">
      <c r="A14" s="2" t="s">
        <v>763</v>
      </c>
      <c r="B14" s="2">
        <v>1613</v>
      </c>
      <c r="C14" s="2">
        <v>1632</v>
      </c>
      <c r="D14" s="2">
        <v>1654</v>
      </c>
      <c r="E14" s="2">
        <v>1666</v>
      </c>
      <c r="F14" s="2">
        <v>1692</v>
      </c>
      <c r="G14" s="2">
        <v>1703</v>
      </c>
      <c r="H14" s="2">
        <v>1715</v>
      </c>
      <c r="I14" s="2">
        <v>1733</v>
      </c>
      <c r="J14" s="2">
        <v>1743</v>
      </c>
      <c r="K14" s="2">
        <v>1721</v>
      </c>
      <c r="L14" s="2">
        <v>1689</v>
      </c>
      <c r="M14" s="2">
        <v>1698</v>
      </c>
      <c r="N14" s="2">
        <v>1678</v>
      </c>
      <c r="O14" s="2">
        <v>1678</v>
      </c>
      <c r="P14" s="2">
        <v>1678</v>
      </c>
      <c r="Q14" s="2">
        <v>1678</v>
      </c>
      <c r="R14" s="2">
        <v>1678</v>
      </c>
      <c r="S14" s="2">
        <v>1678</v>
      </c>
      <c r="T14" s="2">
        <v>1678</v>
      </c>
    </row>
    <row r="15" spans="1:20" x14ac:dyDescent="0.35">
      <c r="A15" s="2" t="s">
        <v>784</v>
      </c>
      <c r="B15" s="2">
        <v>1618</v>
      </c>
      <c r="C15" s="2">
        <v>1634</v>
      </c>
      <c r="D15" s="2">
        <v>1653</v>
      </c>
      <c r="E15" s="2">
        <v>1631</v>
      </c>
      <c r="F15" s="2">
        <v>1614</v>
      </c>
      <c r="G15" s="2">
        <v>1630</v>
      </c>
      <c r="H15" s="2">
        <v>1641</v>
      </c>
      <c r="I15" s="2">
        <v>1624</v>
      </c>
      <c r="J15" s="2">
        <v>1609</v>
      </c>
      <c r="K15" s="2">
        <v>1627</v>
      </c>
      <c r="L15" s="2">
        <v>1638</v>
      </c>
      <c r="M15" s="2">
        <v>1655</v>
      </c>
      <c r="N15" s="2">
        <v>1668</v>
      </c>
      <c r="O15" s="2">
        <v>1668</v>
      </c>
      <c r="P15" s="2">
        <v>1668</v>
      </c>
      <c r="Q15" s="2">
        <v>1668</v>
      </c>
      <c r="R15" s="2">
        <v>1668</v>
      </c>
      <c r="S15" s="2">
        <v>1668</v>
      </c>
      <c r="T15" s="2">
        <v>1668</v>
      </c>
    </row>
    <row r="16" spans="1:20" x14ac:dyDescent="0.35">
      <c r="A16" s="2" t="s">
        <v>467</v>
      </c>
      <c r="B16" s="2">
        <v>1622</v>
      </c>
      <c r="C16" s="2">
        <v>1652</v>
      </c>
      <c r="D16" s="2">
        <v>1664</v>
      </c>
      <c r="E16" s="2">
        <v>1674</v>
      </c>
      <c r="F16" s="2">
        <v>1689</v>
      </c>
      <c r="G16" s="2">
        <v>1706</v>
      </c>
      <c r="H16" s="2">
        <v>1682</v>
      </c>
      <c r="I16" s="2">
        <v>1696</v>
      </c>
      <c r="J16" s="2">
        <v>1708</v>
      </c>
      <c r="K16" s="2">
        <v>1717</v>
      </c>
      <c r="L16" s="2">
        <v>1687</v>
      </c>
      <c r="M16" s="2">
        <v>1673</v>
      </c>
      <c r="N16" s="2">
        <v>1687</v>
      </c>
      <c r="O16" s="2">
        <v>1725</v>
      </c>
      <c r="P16" s="2">
        <v>1692</v>
      </c>
      <c r="Q16" s="2">
        <v>1664</v>
      </c>
      <c r="R16" s="2">
        <v>1664</v>
      </c>
      <c r="S16" s="2">
        <v>1664</v>
      </c>
      <c r="T16" s="2">
        <v>1664</v>
      </c>
    </row>
    <row r="17" spans="1:20" x14ac:dyDescent="0.35">
      <c r="A17" s="2" t="s">
        <v>720</v>
      </c>
      <c r="B17" s="2">
        <v>1614</v>
      </c>
      <c r="C17" s="2">
        <v>1599</v>
      </c>
      <c r="D17" s="2">
        <v>1624</v>
      </c>
      <c r="E17" s="2">
        <v>1600</v>
      </c>
      <c r="F17" s="2">
        <v>1579</v>
      </c>
      <c r="G17" s="2">
        <v>1568</v>
      </c>
      <c r="H17" s="2">
        <v>1593</v>
      </c>
      <c r="I17" s="2">
        <v>1581</v>
      </c>
      <c r="J17" s="2">
        <v>1564</v>
      </c>
      <c r="K17" s="2">
        <v>1597</v>
      </c>
      <c r="L17" s="2">
        <v>1617</v>
      </c>
      <c r="M17" s="2">
        <v>1645</v>
      </c>
      <c r="N17" s="2">
        <v>1660</v>
      </c>
      <c r="O17" s="2">
        <v>1660</v>
      </c>
      <c r="P17" s="2">
        <v>1660</v>
      </c>
      <c r="Q17" s="2">
        <v>1660</v>
      </c>
      <c r="R17" s="2">
        <v>1660</v>
      </c>
      <c r="S17" s="2">
        <v>1660</v>
      </c>
      <c r="T17" s="2">
        <v>1660</v>
      </c>
    </row>
    <row r="18" spans="1:20" x14ac:dyDescent="0.35">
      <c r="A18" s="2" t="s">
        <v>649</v>
      </c>
      <c r="B18" s="2">
        <v>1617</v>
      </c>
      <c r="C18" s="2">
        <v>1644</v>
      </c>
      <c r="D18" s="2">
        <v>1661</v>
      </c>
      <c r="E18" s="2">
        <v>1677</v>
      </c>
      <c r="F18" s="2">
        <v>1655</v>
      </c>
      <c r="G18" s="2">
        <v>1636</v>
      </c>
      <c r="H18" s="2">
        <v>1650</v>
      </c>
      <c r="I18" s="2">
        <v>1632</v>
      </c>
      <c r="J18" s="2">
        <v>1620</v>
      </c>
      <c r="K18" s="2">
        <v>1633</v>
      </c>
      <c r="L18" s="2">
        <v>1660</v>
      </c>
      <c r="M18" s="2">
        <v>1674</v>
      </c>
      <c r="N18" s="2">
        <v>1657</v>
      </c>
      <c r="O18" s="2">
        <v>1657</v>
      </c>
      <c r="P18" s="2">
        <v>1657</v>
      </c>
      <c r="Q18" s="2">
        <v>1657</v>
      </c>
      <c r="R18" s="2">
        <v>1657</v>
      </c>
      <c r="S18" s="2">
        <v>1657</v>
      </c>
      <c r="T18" s="2">
        <v>1657</v>
      </c>
    </row>
    <row r="19" spans="1:20" x14ac:dyDescent="0.35">
      <c r="A19" s="2" t="s">
        <v>757</v>
      </c>
      <c r="B19" s="2">
        <v>1624</v>
      </c>
      <c r="C19" s="2">
        <v>1642</v>
      </c>
      <c r="D19" s="2">
        <v>1666</v>
      </c>
      <c r="E19" s="2">
        <v>1679</v>
      </c>
      <c r="F19" s="2">
        <v>1653</v>
      </c>
      <c r="G19" s="2">
        <v>1666</v>
      </c>
      <c r="H19" s="2">
        <v>1639</v>
      </c>
      <c r="I19" s="2">
        <v>1626</v>
      </c>
      <c r="J19" s="2">
        <v>1648</v>
      </c>
      <c r="K19" s="2">
        <v>1632</v>
      </c>
      <c r="L19" s="2">
        <v>1650</v>
      </c>
      <c r="M19" s="2">
        <v>1639</v>
      </c>
      <c r="N19" s="2">
        <v>1656</v>
      </c>
      <c r="O19" s="2">
        <v>1656</v>
      </c>
      <c r="P19" s="2">
        <v>1656</v>
      </c>
      <c r="Q19" s="2">
        <v>1656</v>
      </c>
      <c r="R19" s="2">
        <v>1656</v>
      </c>
      <c r="S19" s="2">
        <v>1656</v>
      </c>
      <c r="T19" s="2">
        <v>1656</v>
      </c>
    </row>
    <row r="20" spans="1:20" x14ac:dyDescent="0.35">
      <c r="A20" s="2" t="s">
        <v>663</v>
      </c>
      <c r="B20" s="2">
        <v>1585</v>
      </c>
      <c r="C20" s="2">
        <v>1555</v>
      </c>
      <c r="D20" s="2">
        <v>1538</v>
      </c>
      <c r="E20" s="2">
        <v>1571</v>
      </c>
      <c r="F20" s="2">
        <v>1600</v>
      </c>
      <c r="G20" s="2">
        <v>1584</v>
      </c>
      <c r="H20" s="2">
        <v>1564</v>
      </c>
      <c r="I20" s="2">
        <v>1583</v>
      </c>
      <c r="J20" s="2">
        <v>1600</v>
      </c>
      <c r="K20" s="2">
        <v>1625</v>
      </c>
      <c r="L20" s="2">
        <v>1653</v>
      </c>
      <c r="M20" s="2">
        <v>1674</v>
      </c>
      <c r="N20" s="2">
        <v>1655</v>
      </c>
      <c r="O20" s="2">
        <v>1655</v>
      </c>
      <c r="P20" s="2">
        <v>1655</v>
      </c>
      <c r="Q20" s="2">
        <v>1655</v>
      </c>
      <c r="R20" s="2">
        <v>1655</v>
      </c>
      <c r="S20" s="2">
        <v>1655</v>
      </c>
      <c r="T20" s="2">
        <v>1655</v>
      </c>
    </row>
    <row r="21" spans="1:20" x14ac:dyDescent="0.35">
      <c r="A21" s="2" t="s">
        <v>712</v>
      </c>
      <c r="B21" s="2">
        <v>1614</v>
      </c>
      <c r="C21" s="2">
        <v>1629</v>
      </c>
      <c r="D21" s="2">
        <v>1640</v>
      </c>
      <c r="E21" s="2">
        <v>1657</v>
      </c>
      <c r="F21" s="2">
        <v>1665</v>
      </c>
      <c r="G21" s="2">
        <v>1678</v>
      </c>
      <c r="H21" s="2">
        <v>1696</v>
      </c>
      <c r="I21" s="2">
        <v>1678</v>
      </c>
      <c r="J21" s="2">
        <v>1656</v>
      </c>
      <c r="K21" s="2">
        <v>1634</v>
      </c>
      <c r="L21" s="2">
        <v>1648</v>
      </c>
      <c r="M21" s="2">
        <v>1664</v>
      </c>
      <c r="N21" s="2">
        <v>1650</v>
      </c>
      <c r="O21" s="2">
        <v>1650</v>
      </c>
      <c r="P21" s="2">
        <v>1650</v>
      </c>
      <c r="Q21" s="2">
        <v>1650</v>
      </c>
      <c r="R21" s="2">
        <v>1650</v>
      </c>
      <c r="S21" s="2">
        <v>1650</v>
      </c>
      <c r="T21" s="2">
        <v>1650</v>
      </c>
    </row>
    <row r="22" spans="1:20" x14ac:dyDescent="0.35">
      <c r="A22" s="2" t="s">
        <v>676</v>
      </c>
      <c r="B22" s="2">
        <v>1622</v>
      </c>
      <c r="C22" s="2">
        <v>1606</v>
      </c>
      <c r="D22" s="2">
        <v>1626</v>
      </c>
      <c r="E22" s="2">
        <v>1640</v>
      </c>
      <c r="F22" s="2">
        <v>1612</v>
      </c>
      <c r="G22" s="2">
        <v>1588</v>
      </c>
      <c r="H22" s="2">
        <v>1564</v>
      </c>
      <c r="I22" s="2">
        <v>1582</v>
      </c>
      <c r="J22" s="2">
        <v>1600</v>
      </c>
      <c r="K22" s="2">
        <v>1614</v>
      </c>
      <c r="L22" s="2">
        <v>1630</v>
      </c>
      <c r="M22" s="2">
        <v>1615</v>
      </c>
      <c r="N22" s="2">
        <v>1642</v>
      </c>
      <c r="O22" s="2">
        <v>1642</v>
      </c>
      <c r="P22" s="2">
        <v>1642</v>
      </c>
      <c r="Q22" s="2">
        <v>1642</v>
      </c>
      <c r="R22" s="2">
        <v>1642</v>
      </c>
      <c r="S22" s="2">
        <v>1642</v>
      </c>
      <c r="T22" s="2">
        <v>1642</v>
      </c>
    </row>
    <row r="23" spans="1:20" x14ac:dyDescent="0.35">
      <c r="A23" s="2" t="s">
        <v>642</v>
      </c>
      <c r="B23" s="2">
        <v>1572</v>
      </c>
      <c r="C23" s="2">
        <v>1550</v>
      </c>
      <c r="D23" s="2">
        <v>1539</v>
      </c>
      <c r="E23" s="2">
        <v>1521</v>
      </c>
      <c r="F23" s="2">
        <v>1546</v>
      </c>
      <c r="G23" s="2">
        <v>1569</v>
      </c>
      <c r="H23" s="2">
        <v>1590</v>
      </c>
      <c r="I23" s="2">
        <v>1612</v>
      </c>
      <c r="J23" s="2">
        <v>1625</v>
      </c>
      <c r="K23" s="2">
        <v>1606</v>
      </c>
      <c r="L23" s="2">
        <v>1620</v>
      </c>
      <c r="M23" s="2">
        <v>1630</v>
      </c>
      <c r="N23" s="2">
        <v>1642</v>
      </c>
      <c r="O23" s="2">
        <v>1642</v>
      </c>
      <c r="P23" s="2">
        <v>1642</v>
      </c>
      <c r="Q23" s="2">
        <v>1642</v>
      </c>
      <c r="R23" s="2">
        <v>1642</v>
      </c>
      <c r="S23" s="2">
        <v>1642</v>
      </c>
      <c r="T23" s="2">
        <v>1642</v>
      </c>
    </row>
    <row r="24" spans="1:20" x14ac:dyDescent="0.35">
      <c r="A24" s="2" t="s">
        <v>660</v>
      </c>
      <c r="B24" s="2">
        <v>1619</v>
      </c>
      <c r="C24" s="2">
        <v>1606</v>
      </c>
      <c r="D24" s="2">
        <v>1621</v>
      </c>
      <c r="E24" s="2">
        <v>1607</v>
      </c>
      <c r="F24" s="2">
        <v>1624</v>
      </c>
      <c r="G24" s="2">
        <v>1611</v>
      </c>
      <c r="H24" s="2">
        <v>1597</v>
      </c>
      <c r="I24" s="2">
        <v>1619</v>
      </c>
      <c r="J24" s="2">
        <v>1604</v>
      </c>
      <c r="K24" s="2">
        <v>1582</v>
      </c>
      <c r="L24" s="2">
        <v>1605</v>
      </c>
      <c r="M24" s="2">
        <v>1625</v>
      </c>
      <c r="N24" s="2">
        <v>1642</v>
      </c>
      <c r="O24" s="2">
        <v>1642</v>
      </c>
      <c r="P24" s="2">
        <v>1642</v>
      </c>
      <c r="Q24" s="2">
        <v>1642</v>
      </c>
      <c r="R24" s="2">
        <v>1642</v>
      </c>
      <c r="S24" s="2">
        <v>1642</v>
      </c>
      <c r="T24" s="2">
        <v>1642</v>
      </c>
    </row>
    <row r="25" spans="1:20" x14ac:dyDescent="0.35">
      <c r="A25" s="2" t="s">
        <v>746</v>
      </c>
      <c r="B25" s="2">
        <v>1614</v>
      </c>
      <c r="C25" s="2">
        <v>1594</v>
      </c>
      <c r="D25" s="2">
        <v>1577</v>
      </c>
      <c r="E25" s="2">
        <v>1606</v>
      </c>
      <c r="F25" s="2">
        <v>1624</v>
      </c>
      <c r="G25" s="2">
        <v>1604</v>
      </c>
      <c r="H25" s="2">
        <v>1628</v>
      </c>
      <c r="I25" s="2">
        <v>1613</v>
      </c>
      <c r="J25" s="2">
        <v>1632</v>
      </c>
      <c r="K25" s="2">
        <v>1653</v>
      </c>
      <c r="L25" s="2">
        <v>1639</v>
      </c>
      <c r="M25" s="2">
        <v>1650</v>
      </c>
      <c r="N25" s="2">
        <v>1636</v>
      </c>
      <c r="O25" s="2">
        <v>1636</v>
      </c>
      <c r="P25" s="2">
        <v>1636</v>
      </c>
      <c r="Q25" s="2">
        <v>1636</v>
      </c>
      <c r="R25" s="2">
        <v>1636</v>
      </c>
      <c r="S25" s="2">
        <v>1636</v>
      </c>
      <c r="T25" s="2">
        <v>1636</v>
      </c>
    </row>
    <row r="26" spans="1:20" x14ac:dyDescent="0.35">
      <c r="A26" s="2" t="s">
        <v>704</v>
      </c>
      <c r="B26" s="2">
        <v>1617</v>
      </c>
      <c r="C26" s="2">
        <v>1634</v>
      </c>
      <c r="D26" s="2">
        <v>1655</v>
      </c>
      <c r="E26" s="2">
        <v>1631</v>
      </c>
      <c r="F26" s="2">
        <v>1589</v>
      </c>
      <c r="G26" s="2">
        <v>1613</v>
      </c>
      <c r="H26" s="2">
        <v>1599</v>
      </c>
      <c r="I26" s="2">
        <v>1575</v>
      </c>
      <c r="J26" s="2">
        <v>1590</v>
      </c>
      <c r="K26" s="2">
        <v>1614</v>
      </c>
      <c r="L26" s="2">
        <v>1639</v>
      </c>
      <c r="M26" s="2">
        <v>1621</v>
      </c>
      <c r="N26" s="2">
        <v>1634</v>
      </c>
      <c r="O26" s="2">
        <v>1634</v>
      </c>
      <c r="P26" s="2">
        <v>1634</v>
      </c>
      <c r="Q26" s="2">
        <v>1634</v>
      </c>
      <c r="R26" s="2">
        <v>1634</v>
      </c>
      <c r="S26" s="2">
        <v>1634</v>
      </c>
      <c r="T26" s="2">
        <v>1634</v>
      </c>
    </row>
    <row r="27" spans="1:20" x14ac:dyDescent="0.35">
      <c r="A27" s="2" t="s">
        <v>742</v>
      </c>
      <c r="B27" s="2">
        <v>1614</v>
      </c>
      <c r="C27" s="2">
        <v>1634</v>
      </c>
      <c r="D27" s="2">
        <v>1648</v>
      </c>
      <c r="E27" s="2">
        <v>1630</v>
      </c>
      <c r="F27" s="2">
        <v>1614</v>
      </c>
      <c r="G27" s="2">
        <v>1594</v>
      </c>
      <c r="H27" s="2">
        <v>1618</v>
      </c>
      <c r="I27" s="2">
        <v>1636</v>
      </c>
      <c r="J27" s="2">
        <v>1614</v>
      </c>
      <c r="K27" s="2">
        <v>1626</v>
      </c>
      <c r="L27" s="2">
        <v>1601</v>
      </c>
      <c r="M27" s="2">
        <v>1617</v>
      </c>
      <c r="N27" s="2">
        <v>1633</v>
      </c>
      <c r="O27" s="2">
        <v>1633</v>
      </c>
      <c r="P27" s="2">
        <v>1633</v>
      </c>
      <c r="Q27" s="2">
        <v>1633</v>
      </c>
      <c r="R27" s="2">
        <v>1633</v>
      </c>
      <c r="S27" s="2">
        <v>1633</v>
      </c>
      <c r="T27" s="2">
        <v>1633</v>
      </c>
    </row>
    <row r="28" spans="1:20" x14ac:dyDescent="0.35">
      <c r="A28" s="2" t="s">
        <v>641</v>
      </c>
      <c r="B28" s="2">
        <v>1586</v>
      </c>
      <c r="C28" s="2">
        <v>1613</v>
      </c>
      <c r="D28" s="2">
        <v>1641</v>
      </c>
      <c r="E28" s="2">
        <v>1659</v>
      </c>
      <c r="F28" s="2">
        <v>1638</v>
      </c>
      <c r="G28" s="2">
        <v>1604</v>
      </c>
      <c r="H28" s="2">
        <v>1624</v>
      </c>
      <c r="I28" s="2">
        <v>1652</v>
      </c>
      <c r="J28" s="2">
        <v>1663</v>
      </c>
      <c r="K28" s="2">
        <v>1647</v>
      </c>
      <c r="L28" s="2">
        <v>1633</v>
      </c>
      <c r="M28" s="2">
        <v>1648</v>
      </c>
      <c r="N28" s="2">
        <v>1629</v>
      </c>
      <c r="O28" s="2">
        <v>1629</v>
      </c>
      <c r="P28" s="2">
        <v>1629</v>
      </c>
      <c r="Q28" s="2">
        <v>1629</v>
      </c>
      <c r="R28" s="2">
        <v>1629</v>
      </c>
      <c r="S28" s="2">
        <v>1629</v>
      </c>
      <c r="T28" s="2">
        <v>1629</v>
      </c>
    </row>
    <row r="29" spans="1:20" x14ac:dyDescent="0.35">
      <c r="A29" s="2" t="s">
        <v>245</v>
      </c>
      <c r="B29" s="2">
        <v>1617</v>
      </c>
      <c r="C29" s="2">
        <v>1630</v>
      </c>
      <c r="D29" s="2">
        <v>1617</v>
      </c>
      <c r="E29" s="2">
        <v>1642</v>
      </c>
      <c r="F29" s="2">
        <v>1608</v>
      </c>
      <c r="G29" s="2">
        <v>1591</v>
      </c>
      <c r="H29" s="2">
        <v>1619</v>
      </c>
      <c r="I29" s="2">
        <v>1636</v>
      </c>
      <c r="J29" s="2">
        <v>1620</v>
      </c>
      <c r="K29" s="2">
        <v>1597</v>
      </c>
      <c r="L29" s="2">
        <v>1612</v>
      </c>
      <c r="M29" s="2">
        <v>1595</v>
      </c>
      <c r="N29" s="2">
        <v>1614</v>
      </c>
      <c r="O29" s="2">
        <v>1614</v>
      </c>
      <c r="P29" s="2">
        <v>1614</v>
      </c>
      <c r="Q29" s="2">
        <v>1614</v>
      </c>
      <c r="R29" s="2">
        <v>1614</v>
      </c>
      <c r="S29" s="2">
        <v>1614</v>
      </c>
      <c r="T29" s="2">
        <v>1614</v>
      </c>
    </row>
    <row r="30" spans="1:20" x14ac:dyDescent="0.35">
      <c r="A30" s="2" t="s">
        <v>764</v>
      </c>
      <c r="B30" s="2">
        <v>1587</v>
      </c>
      <c r="C30" s="2">
        <v>1602</v>
      </c>
      <c r="D30" s="2">
        <v>1585</v>
      </c>
      <c r="E30" s="2">
        <v>1559</v>
      </c>
      <c r="F30" s="2">
        <v>1546</v>
      </c>
      <c r="G30" s="2">
        <v>1568</v>
      </c>
      <c r="H30" s="2">
        <v>1556</v>
      </c>
      <c r="I30" s="2">
        <v>1582</v>
      </c>
      <c r="J30" s="2">
        <v>1598</v>
      </c>
      <c r="K30" s="2">
        <v>1583</v>
      </c>
      <c r="L30" s="2">
        <v>1600</v>
      </c>
      <c r="M30" s="2">
        <v>1629</v>
      </c>
      <c r="N30" s="2">
        <v>1614</v>
      </c>
      <c r="O30" s="2">
        <v>1614</v>
      </c>
      <c r="P30" s="2">
        <v>1614</v>
      </c>
      <c r="Q30" s="2">
        <v>1614</v>
      </c>
      <c r="R30" s="2">
        <v>1614</v>
      </c>
      <c r="S30" s="2">
        <v>1614</v>
      </c>
      <c r="T30" s="2">
        <v>1614</v>
      </c>
    </row>
    <row r="31" spans="1:20" x14ac:dyDescent="0.35">
      <c r="A31" s="2" t="s">
        <v>765</v>
      </c>
      <c r="B31" s="2">
        <v>1575</v>
      </c>
      <c r="C31" s="2">
        <v>1605</v>
      </c>
      <c r="D31" s="2">
        <v>1589</v>
      </c>
      <c r="E31" s="2">
        <v>1613</v>
      </c>
      <c r="F31" s="2">
        <v>1628</v>
      </c>
      <c r="G31" s="2">
        <v>1641</v>
      </c>
      <c r="H31" s="2">
        <v>1657</v>
      </c>
      <c r="I31" s="2">
        <v>1636</v>
      </c>
      <c r="J31" s="2">
        <v>1618</v>
      </c>
      <c r="K31" s="2">
        <v>1597</v>
      </c>
      <c r="L31" s="2">
        <v>1578</v>
      </c>
      <c r="M31" s="2">
        <v>1592</v>
      </c>
      <c r="N31" s="2">
        <v>1614</v>
      </c>
      <c r="O31" s="2">
        <v>1614</v>
      </c>
      <c r="P31" s="2">
        <v>1614</v>
      </c>
      <c r="Q31" s="2">
        <v>1614</v>
      </c>
      <c r="R31" s="2">
        <v>1614</v>
      </c>
      <c r="S31" s="2">
        <v>1614</v>
      </c>
      <c r="T31" s="2">
        <v>1614</v>
      </c>
    </row>
    <row r="32" spans="1:20" x14ac:dyDescent="0.35">
      <c r="A32" s="2" t="s">
        <v>778</v>
      </c>
      <c r="B32" s="2">
        <v>1622</v>
      </c>
      <c r="C32" s="2">
        <v>1635</v>
      </c>
      <c r="D32" s="2">
        <v>1652</v>
      </c>
      <c r="E32" s="2">
        <v>1678</v>
      </c>
      <c r="F32" s="2">
        <v>1695</v>
      </c>
      <c r="G32" s="2">
        <v>1708</v>
      </c>
      <c r="H32" s="2">
        <v>1687</v>
      </c>
      <c r="I32" s="2">
        <v>1708</v>
      </c>
      <c r="J32" s="2">
        <v>1717</v>
      </c>
      <c r="K32" s="2">
        <v>1740</v>
      </c>
      <c r="L32" s="2">
        <v>1710</v>
      </c>
      <c r="M32" s="2">
        <v>1685</v>
      </c>
      <c r="N32" s="2">
        <v>1699</v>
      </c>
      <c r="O32" s="2">
        <v>1678</v>
      </c>
      <c r="P32" s="2">
        <v>1657</v>
      </c>
      <c r="Q32" s="2">
        <v>1611</v>
      </c>
      <c r="R32" s="2">
        <v>1611</v>
      </c>
      <c r="S32" s="2">
        <v>1611</v>
      </c>
      <c r="T32" s="2">
        <v>1611</v>
      </c>
    </row>
    <row r="33" spans="1:20" x14ac:dyDescent="0.35">
      <c r="A33" s="2" t="s">
        <v>779</v>
      </c>
      <c r="B33" s="2">
        <v>1578</v>
      </c>
      <c r="C33" s="2">
        <v>1598</v>
      </c>
      <c r="D33" s="2">
        <v>1583</v>
      </c>
      <c r="E33" s="2">
        <v>1601</v>
      </c>
      <c r="F33" s="2">
        <v>1584</v>
      </c>
      <c r="G33" s="2">
        <v>1604</v>
      </c>
      <c r="H33" s="2">
        <v>1588</v>
      </c>
      <c r="I33" s="2">
        <v>1601</v>
      </c>
      <c r="J33" s="2">
        <v>1613</v>
      </c>
      <c r="K33" s="2">
        <v>1627</v>
      </c>
      <c r="L33" s="2">
        <v>1599</v>
      </c>
      <c r="M33" s="2">
        <v>1617</v>
      </c>
      <c r="N33" s="2">
        <v>1638</v>
      </c>
      <c r="O33" s="2">
        <v>1611</v>
      </c>
      <c r="P33" s="2">
        <v>1611</v>
      </c>
      <c r="Q33" s="2">
        <v>1611</v>
      </c>
      <c r="R33" s="2">
        <v>1611</v>
      </c>
      <c r="S33" s="2">
        <v>1611</v>
      </c>
      <c r="T33" s="2">
        <v>1611</v>
      </c>
    </row>
    <row r="34" spans="1:20" x14ac:dyDescent="0.35">
      <c r="A34" s="2" t="s">
        <v>582</v>
      </c>
      <c r="B34" s="2">
        <v>1580</v>
      </c>
      <c r="C34" s="2">
        <v>1567</v>
      </c>
      <c r="D34" s="2">
        <v>1544</v>
      </c>
      <c r="E34" s="2">
        <v>1563</v>
      </c>
      <c r="F34" s="2">
        <v>1547</v>
      </c>
      <c r="G34" s="2">
        <v>1522</v>
      </c>
      <c r="H34" s="2">
        <v>1543</v>
      </c>
      <c r="I34" s="2">
        <v>1524</v>
      </c>
      <c r="J34" s="2">
        <v>1550</v>
      </c>
      <c r="K34" s="2">
        <v>1569</v>
      </c>
      <c r="L34" s="2">
        <v>1555</v>
      </c>
      <c r="M34" s="2">
        <v>1586</v>
      </c>
      <c r="N34" s="2">
        <v>1611</v>
      </c>
      <c r="O34" s="2">
        <v>1611</v>
      </c>
      <c r="P34" s="2">
        <v>1611</v>
      </c>
      <c r="Q34" s="2">
        <v>1611</v>
      </c>
      <c r="R34" s="2">
        <v>1611</v>
      </c>
      <c r="S34" s="2">
        <v>1611</v>
      </c>
      <c r="T34" s="2">
        <v>1611</v>
      </c>
    </row>
    <row r="35" spans="1:20" x14ac:dyDescent="0.35">
      <c r="A35" s="2" t="s">
        <v>646</v>
      </c>
      <c r="B35" s="2">
        <v>1577</v>
      </c>
      <c r="C35" s="2">
        <v>1562</v>
      </c>
      <c r="D35" s="2">
        <v>1542</v>
      </c>
      <c r="E35" s="2">
        <v>1518</v>
      </c>
      <c r="F35" s="2">
        <v>1560</v>
      </c>
      <c r="G35" s="2">
        <v>1589</v>
      </c>
      <c r="H35" s="2">
        <v>1567</v>
      </c>
      <c r="I35" s="2">
        <v>1549</v>
      </c>
      <c r="J35" s="2">
        <v>1530</v>
      </c>
      <c r="K35" s="2">
        <v>1545</v>
      </c>
      <c r="L35" s="2">
        <v>1580</v>
      </c>
      <c r="M35" s="2">
        <v>1595</v>
      </c>
      <c r="N35" s="2">
        <v>1610</v>
      </c>
      <c r="O35" s="2">
        <v>1610</v>
      </c>
      <c r="P35" s="2">
        <v>1610</v>
      </c>
      <c r="Q35" s="2">
        <v>1610</v>
      </c>
      <c r="R35" s="2">
        <v>1610</v>
      </c>
      <c r="S35" s="2">
        <v>1610</v>
      </c>
      <c r="T35" s="2">
        <v>1610</v>
      </c>
    </row>
    <row r="36" spans="1:20" x14ac:dyDescent="0.35">
      <c r="A36" s="2" t="s">
        <v>753</v>
      </c>
      <c r="B36" s="2">
        <v>1581</v>
      </c>
      <c r="C36" s="2">
        <v>1597</v>
      </c>
      <c r="D36" s="2">
        <v>1621</v>
      </c>
      <c r="E36" s="2">
        <v>1602</v>
      </c>
      <c r="F36" s="2">
        <v>1588</v>
      </c>
      <c r="G36" s="2">
        <v>1608</v>
      </c>
      <c r="H36" s="2">
        <v>1587</v>
      </c>
      <c r="I36" s="2">
        <v>1616</v>
      </c>
      <c r="J36" s="2">
        <v>1603</v>
      </c>
      <c r="K36" s="2">
        <v>1626</v>
      </c>
      <c r="L36" s="2">
        <v>1603</v>
      </c>
      <c r="M36" s="2">
        <v>1594</v>
      </c>
      <c r="N36" s="2">
        <v>1608</v>
      </c>
      <c r="O36" s="2">
        <v>1608</v>
      </c>
      <c r="P36" s="2">
        <v>1608</v>
      </c>
      <c r="Q36" s="2">
        <v>1608</v>
      </c>
      <c r="R36" s="2">
        <v>1608</v>
      </c>
      <c r="S36" s="2">
        <v>1608</v>
      </c>
      <c r="T36" s="2">
        <v>1608</v>
      </c>
    </row>
    <row r="37" spans="1:20" x14ac:dyDescent="0.35">
      <c r="A37" s="2" t="s">
        <v>650</v>
      </c>
      <c r="B37" s="2">
        <v>1614</v>
      </c>
      <c r="C37" s="2">
        <v>1628</v>
      </c>
      <c r="D37" s="2">
        <v>1647</v>
      </c>
      <c r="E37" s="2">
        <v>1663</v>
      </c>
      <c r="F37" s="2">
        <v>1681</v>
      </c>
      <c r="G37" s="2">
        <v>1698</v>
      </c>
      <c r="H37" s="2">
        <v>1682</v>
      </c>
      <c r="I37" s="2">
        <v>1661</v>
      </c>
      <c r="J37" s="2">
        <v>1637</v>
      </c>
      <c r="K37" s="2">
        <v>1613</v>
      </c>
      <c r="L37" s="2">
        <v>1641</v>
      </c>
      <c r="M37" s="2">
        <v>1620</v>
      </c>
      <c r="N37" s="2">
        <v>1607</v>
      </c>
      <c r="O37" s="2">
        <v>1607</v>
      </c>
      <c r="P37" s="2">
        <v>1607</v>
      </c>
      <c r="Q37" s="2">
        <v>1607</v>
      </c>
      <c r="R37" s="2">
        <v>1607</v>
      </c>
      <c r="S37" s="2">
        <v>1607</v>
      </c>
      <c r="T37" s="2">
        <v>1607</v>
      </c>
    </row>
    <row r="38" spans="1:20" x14ac:dyDescent="0.35">
      <c r="A38" s="2" t="s">
        <v>706</v>
      </c>
      <c r="B38" s="2">
        <v>1587</v>
      </c>
      <c r="C38" s="2">
        <v>1605</v>
      </c>
      <c r="D38" s="2">
        <v>1579</v>
      </c>
      <c r="E38" s="2">
        <v>1592</v>
      </c>
      <c r="F38" s="2">
        <v>1570</v>
      </c>
      <c r="G38" s="2">
        <v>1596</v>
      </c>
      <c r="H38" s="2">
        <v>1568</v>
      </c>
      <c r="I38" s="2">
        <v>1586</v>
      </c>
      <c r="J38" s="2">
        <v>1604</v>
      </c>
      <c r="K38" s="2">
        <v>1590</v>
      </c>
      <c r="L38" s="2">
        <v>1605</v>
      </c>
      <c r="M38" s="2">
        <v>1620</v>
      </c>
      <c r="N38" s="2">
        <v>1607</v>
      </c>
      <c r="O38" s="2">
        <v>1607</v>
      </c>
      <c r="P38" s="2">
        <v>1607</v>
      </c>
      <c r="Q38" s="2">
        <v>1607</v>
      </c>
      <c r="R38" s="2">
        <v>1607</v>
      </c>
      <c r="S38" s="2">
        <v>1607</v>
      </c>
      <c r="T38" s="2">
        <v>1607</v>
      </c>
    </row>
    <row r="39" spans="1:20" x14ac:dyDescent="0.35">
      <c r="A39" s="2" t="s">
        <v>747</v>
      </c>
      <c r="B39" s="2">
        <v>1586</v>
      </c>
      <c r="C39" s="2">
        <v>1568</v>
      </c>
      <c r="D39" s="2">
        <v>1554</v>
      </c>
      <c r="E39" s="2">
        <v>1532</v>
      </c>
      <c r="F39" s="2">
        <v>1549</v>
      </c>
      <c r="G39" s="2">
        <v>1530</v>
      </c>
      <c r="H39" s="2">
        <v>1552</v>
      </c>
      <c r="I39" s="2">
        <v>1579</v>
      </c>
      <c r="J39" s="2">
        <v>1594</v>
      </c>
      <c r="K39" s="2">
        <v>1581</v>
      </c>
      <c r="L39" s="2">
        <v>1596</v>
      </c>
      <c r="M39" s="2">
        <v>1578</v>
      </c>
      <c r="N39" s="2">
        <v>1599</v>
      </c>
      <c r="O39" s="2">
        <v>1599</v>
      </c>
      <c r="P39" s="2">
        <v>1599</v>
      </c>
      <c r="Q39" s="2">
        <v>1599</v>
      </c>
      <c r="R39" s="2">
        <v>1599</v>
      </c>
      <c r="S39" s="2">
        <v>1599</v>
      </c>
      <c r="T39" s="2">
        <v>1599</v>
      </c>
    </row>
    <row r="40" spans="1:20" x14ac:dyDescent="0.35">
      <c r="A40" s="2" t="s">
        <v>722</v>
      </c>
      <c r="B40" s="2">
        <v>1613</v>
      </c>
      <c r="C40" s="2">
        <v>1583</v>
      </c>
      <c r="D40" s="2">
        <v>1602</v>
      </c>
      <c r="E40" s="2">
        <v>1584</v>
      </c>
      <c r="F40" s="2">
        <v>1552</v>
      </c>
      <c r="G40" s="2">
        <v>1586</v>
      </c>
      <c r="H40" s="2">
        <v>1567</v>
      </c>
      <c r="I40" s="2">
        <v>1546</v>
      </c>
      <c r="J40" s="2">
        <v>1532</v>
      </c>
      <c r="K40" s="2">
        <v>1549</v>
      </c>
      <c r="L40" s="2">
        <v>1563</v>
      </c>
      <c r="M40" s="2">
        <v>1578</v>
      </c>
      <c r="N40" s="2">
        <v>1598</v>
      </c>
      <c r="O40" s="2">
        <v>1598</v>
      </c>
      <c r="P40" s="2">
        <v>1598</v>
      </c>
      <c r="Q40" s="2">
        <v>1598</v>
      </c>
      <c r="R40" s="2">
        <v>1598</v>
      </c>
      <c r="S40" s="2">
        <v>1598</v>
      </c>
      <c r="T40" s="2">
        <v>1598</v>
      </c>
    </row>
    <row r="41" spans="1:20" x14ac:dyDescent="0.35">
      <c r="A41" s="2" t="s">
        <v>734</v>
      </c>
      <c r="B41" s="2">
        <v>1623</v>
      </c>
      <c r="C41" s="2">
        <v>1604</v>
      </c>
      <c r="D41" s="2">
        <v>1576</v>
      </c>
      <c r="E41" s="2">
        <v>1598</v>
      </c>
      <c r="F41" s="2">
        <v>1630</v>
      </c>
      <c r="G41" s="2">
        <v>1649</v>
      </c>
      <c r="H41" s="2">
        <v>1628</v>
      </c>
      <c r="I41" s="2">
        <v>1641</v>
      </c>
      <c r="J41" s="2">
        <v>1621</v>
      </c>
      <c r="K41" s="2">
        <v>1644</v>
      </c>
      <c r="L41" s="2">
        <v>1628</v>
      </c>
      <c r="M41" s="2">
        <v>1601</v>
      </c>
      <c r="N41" s="2">
        <v>1593</v>
      </c>
      <c r="O41" s="2">
        <v>1593</v>
      </c>
      <c r="P41" s="2">
        <v>1593</v>
      </c>
      <c r="Q41" s="2">
        <v>1593</v>
      </c>
      <c r="R41" s="2">
        <v>1593</v>
      </c>
      <c r="S41" s="2">
        <v>1593</v>
      </c>
      <c r="T41" s="2">
        <v>1593</v>
      </c>
    </row>
    <row r="42" spans="1:20" x14ac:dyDescent="0.35">
      <c r="A42" s="2" t="s">
        <v>777</v>
      </c>
      <c r="B42" s="2">
        <v>1585</v>
      </c>
      <c r="C42" s="2">
        <v>1568</v>
      </c>
      <c r="D42" s="2">
        <v>1591</v>
      </c>
      <c r="E42" s="2">
        <v>1569</v>
      </c>
      <c r="F42" s="2">
        <v>1545</v>
      </c>
      <c r="G42" s="2">
        <v>1558</v>
      </c>
      <c r="H42" s="2">
        <v>1578</v>
      </c>
      <c r="I42" s="2">
        <v>1593</v>
      </c>
      <c r="J42" s="2">
        <v>1614</v>
      </c>
      <c r="K42" s="2">
        <v>1604</v>
      </c>
      <c r="L42" s="2">
        <v>1621</v>
      </c>
      <c r="M42" s="2">
        <v>1602</v>
      </c>
      <c r="N42" s="2">
        <v>1590</v>
      </c>
      <c r="O42" s="2">
        <v>1590</v>
      </c>
      <c r="P42" s="2">
        <v>1590</v>
      </c>
      <c r="Q42" s="2">
        <v>1590</v>
      </c>
      <c r="R42" s="2">
        <v>1590</v>
      </c>
      <c r="S42" s="2">
        <v>1590</v>
      </c>
      <c r="T42" s="2">
        <v>1590</v>
      </c>
    </row>
    <row r="43" spans="1:20" x14ac:dyDescent="0.35">
      <c r="A43" s="2" t="s">
        <v>713</v>
      </c>
      <c r="B43" s="2">
        <v>1586</v>
      </c>
      <c r="C43" s="2">
        <v>1566</v>
      </c>
      <c r="D43" s="2">
        <v>1545</v>
      </c>
      <c r="E43" s="2">
        <v>1566</v>
      </c>
      <c r="F43" s="2">
        <v>1594</v>
      </c>
      <c r="G43" s="2">
        <v>1565</v>
      </c>
      <c r="H43" s="2">
        <v>1596</v>
      </c>
      <c r="I43" s="2">
        <v>1566</v>
      </c>
      <c r="J43" s="2">
        <v>1581</v>
      </c>
      <c r="K43" s="2">
        <v>1595</v>
      </c>
      <c r="L43" s="2">
        <v>1580</v>
      </c>
      <c r="M43" s="2">
        <v>1594</v>
      </c>
      <c r="N43" s="2">
        <v>1616</v>
      </c>
      <c r="O43" s="2">
        <v>1590</v>
      </c>
      <c r="P43" s="2">
        <v>1590</v>
      </c>
      <c r="Q43" s="2">
        <v>1590</v>
      </c>
      <c r="R43" s="2">
        <v>1590</v>
      </c>
      <c r="S43" s="2">
        <v>1590</v>
      </c>
      <c r="T43" s="2">
        <v>1590</v>
      </c>
    </row>
    <row r="44" spans="1:20" x14ac:dyDescent="0.35">
      <c r="A44" s="2" t="s">
        <v>716</v>
      </c>
      <c r="B44" s="2">
        <v>1613</v>
      </c>
      <c r="C44" s="2">
        <v>1597</v>
      </c>
      <c r="D44" s="2">
        <v>1573</v>
      </c>
      <c r="E44" s="2">
        <v>1556</v>
      </c>
      <c r="F44" s="2">
        <v>1578</v>
      </c>
      <c r="G44" s="2">
        <v>1557</v>
      </c>
      <c r="H44" s="2">
        <v>1578</v>
      </c>
      <c r="I44" s="2">
        <v>1560</v>
      </c>
      <c r="J44" s="2">
        <v>1574</v>
      </c>
      <c r="K44" s="2">
        <v>1560</v>
      </c>
      <c r="L44" s="2">
        <v>1549</v>
      </c>
      <c r="M44" s="2">
        <v>1567</v>
      </c>
      <c r="N44" s="2">
        <v>1588</v>
      </c>
      <c r="O44" s="2">
        <v>1588</v>
      </c>
      <c r="P44" s="2">
        <v>1588</v>
      </c>
      <c r="Q44" s="2">
        <v>1588</v>
      </c>
      <c r="R44" s="2">
        <v>1588</v>
      </c>
      <c r="S44" s="2">
        <v>1588</v>
      </c>
      <c r="T44" s="2">
        <v>1588</v>
      </c>
    </row>
    <row r="45" spans="1:20" x14ac:dyDescent="0.35">
      <c r="A45" s="2" t="s">
        <v>647</v>
      </c>
      <c r="B45" s="2">
        <v>1578</v>
      </c>
      <c r="C45" s="2">
        <v>1561</v>
      </c>
      <c r="D45" s="2">
        <v>1582</v>
      </c>
      <c r="E45" s="2">
        <v>1598</v>
      </c>
      <c r="F45" s="2">
        <v>1576</v>
      </c>
      <c r="G45" s="2">
        <v>1559</v>
      </c>
      <c r="H45" s="2">
        <v>1544</v>
      </c>
      <c r="I45" s="2">
        <v>1574</v>
      </c>
      <c r="J45" s="2">
        <v>1594</v>
      </c>
      <c r="K45" s="2">
        <v>1607</v>
      </c>
      <c r="L45" s="2">
        <v>1620</v>
      </c>
      <c r="M45" s="2">
        <v>1602</v>
      </c>
      <c r="N45" s="2">
        <v>1586</v>
      </c>
      <c r="O45" s="2">
        <v>1586</v>
      </c>
      <c r="P45" s="2">
        <v>1586</v>
      </c>
      <c r="Q45" s="2">
        <v>1586</v>
      </c>
      <c r="R45" s="2">
        <v>1586</v>
      </c>
      <c r="S45" s="2">
        <v>1586</v>
      </c>
      <c r="T45" s="2">
        <v>1586</v>
      </c>
    </row>
    <row r="46" spans="1:20" x14ac:dyDescent="0.35">
      <c r="A46" s="2" t="s">
        <v>783</v>
      </c>
      <c r="B46" s="2">
        <v>1583</v>
      </c>
      <c r="C46" s="2">
        <v>1607</v>
      </c>
      <c r="D46" s="2">
        <v>1622</v>
      </c>
      <c r="E46" s="2">
        <v>1597</v>
      </c>
      <c r="F46" s="2">
        <v>1613</v>
      </c>
      <c r="G46" s="2">
        <v>1632</v>
      </c>
      <c r="H46" s="2">
        <v>1607</v>
      </c>
      <c r="I46" s="2">
        <v>1577</v>
      </c>
      <c r="J46" s="2">
        <v>1602</v>
      </c>
      <c r="K46" s="2">
        <v>1623</v>
      </c>
      <c r="L46" s="2">
        <v>1588</v>
      </c>
      <c r="M46" s="2">
        <v>1603</v>
      </c>
      <c r="N46" s="2">
        <v>1582</v>
      </c>
      <c r="O46" s="2">
        <v>1582</v>
      </c>
      <c r="P46" s="2">
        <v>1582</v>
      </c>
      <c r="Q46" s="2">
        <v>1582</v>
      </c>
      <c r="R46" s="2">
        <v>1582</v>
      </c>
      <c r="S46" s="2">
        <v>1582</v>
      </c>
      <c r="T46" s="2">
        <v>1582</v>
      </c>
    </row>
    <row r="47" spans="1:20" x14ac:dyDescent="0.35">
      <c r="A47" s="2" t="s">
        <v>767</v>
      </c>
      <c r="B47" s="2">
        <v>1613</v>
      </c>
      <c r="C47" s="2">
        <v>1600</v>
      </c>
      <c r="D47" s="2">
        <v>1624</v>
      </c>
      <c r="E47" s="2">
        <v>1610</v>
      </c>
      <c r="F47" s="2">
        <v>1594</v>
      </c>
      <c r="G47" s="2">
        <v>1572</v>
      </c>
      <c r="H47" s="2">
        <v>1587</v>
      </c>
      <c r="I47" s="2">
        <v>1565</v>
      </c>
      <c r="J47" s="2">
        <v>1587</v>
      </c>
      <c r="K47" s="2">
        <v>1608</v>
      </c>
      <c r="L47" s="2">
        <v>1593</v>
      </c>
      <c r="M47" s="2">
        <v>1604</v>
      </c>
      <c r="N47" s="2">
        <v>1578</v>
      </c>
      <c r="O47" s="2">
        <v>1578</v>
      </c>
      <c r="P47" s="2">
        <v>1578</v>
      </c>
      <c r="Q47" s="2">
        <v>1578</v>
      </c>
      <c r="R47" s="2">
        <v>1578</v>
      </c>
      <c r="S47" s="2">
        <v>1578</v>
      </c>
      <c r="T47" s="2">
        <v>1578</v>
      </c>
    </row>
    <row r="48" spans="1:20" x14ac:dyDescent="0.35">
      <c r="A48" s="2" t="s">
        <v>738</v>
      </c>
      <c r="B48" s="2">
        <v>1576</v>
      </c>
      <c r="C48" s="2">
        <v>1602</v>
      </c>
      <c r="D48" s="2">
        <v>1578</v>
      </c>
      <c r="E48" s="2">
        <v>1602</v>
      </c>
      <c r="F48" s="2">
        <v>1619</v>
      </c>
      <c r="G48" s="2">
        <v>1603</v>
      </c>
      <c r="H48" s="2">
        <v>1591</v>
      </c>
      <c r="I48" s="2">
        <v>1615</v>
      </c>
      <c r="J48" s="2">
        <v>1632</v>
      </c>
      <c r="K48" s="2">
        <v>1647</v>
      </c>
      <c r="L48" s="2">
        <v>1619</v>
      </c>
      <c r="M48" s="2">
        <v>1599</v>
      </c>
      <c r="N48" s="2">
        <v>1577</v>
      </c>
      <c r="O48" s="2">
        <v>1577</v>
      </c>
      <c r="P48" s="2">
        <v>1577</v>
      </c>
      <c r="Q48" s="2">
        <v>1577</v>
      </c>
      <c r="R48" s="2">
        <v>1577</v>
      </c>
      <c r="S48" s="2">
        <v>1577</v>
      </c>
      <c r="T48" s="2">
        <v>1577</v>
      </c>
    </row>
    <row r="49" spans="1:20" x14ac:dyDescent="0.35">
      <c r="A49" s="2" t="s">
        <v>672</v>
      </c>
      <c r="B49" s="2">
        <v>1613</v>
      </c>
      <c r="C49" s="2">
        <v>1626</v>
      </c>
      <c r="D49" s="2">
        <v>1641</v>
      </c>
      <c r="E49" s="2">
        <v>1658</v>
      </c>
      <c r="F49" s="2">
        <v>1641</v>
      </c>
      <c r="G49" s="2">
        <v>1629</v>
      </c>
      <c r="H49" s="2">
        <v>1600</v>
      </c>
      <c r="I49" s="2">
        <v>1572</v>
      </c>
      <c r="J49" s="2">
        <v>1560</v>
      </c>
      <c r="K49" s="2">
        <v>1543</v>
      </c>
      <c r="L49" s="2">
        <v>1564</v>
      </c>
      <c r="M49" s="2">
        <v>1591</v>
      </c>
      <c r="N49" s="2">
        <v>1577</v>
      </c>
      <c r="O49" s="2">
        <v>1577</v>
      </c>
      <c r="P49" s="2">
        <v>1577</v>
      </c>
      <c r="Q49" s="2">
        <v>1577</v>
      </c>
      <c r="R49" s="2">
        <v>1577</v>
      </c>
      <c r="S49" s="2">
        <v>1577</v>
      </c>
      <c r="T49" s="2">
        <v>1577</v>
      </c>
    </row>
    <row r="50" spans="1:20" x14ac:dyDescent="0.35">
      <c r="A50" s="2" t="s">
        <v>661</v>
      </c>
      <c r="B50" s="2">
        <v>1583</v>
      </c>
      <c r="C50" s="2">
        <v>1550</v>
      </c>
      <c r="D50" s="2">
        <v>1566</v>
      </c>
      <c r="E50" s="2">
        <v>1550</v>
      </c>
      <c r="F50" s="2">
        <v>1567</v>
      </c>
      <c r="G50" s="2">
        <v>1593</v>
      </c>
      <c r="H50" s="2">
        <v>1609</v>
      </c>
      <c r="I50" s="2">
        <v>1631</v>
      </c>
      <c r="J50" s="2">
        <v>1616</v>
      </c>
      <c r="K50" s="2">
        <v>1593</v>
      </c>
      <c r="L50" s="2">
        <v>1570</v>
      </c>
      <c r="M50" s="2">
        <v>1555</v>
      </c>
      <c r="N50" s="2">
        <v>1574</v>
      </c>
      <c r="O50" s="2">
        <v>1574</v>
      </c>
      <c r="P50" s="2">
        <v>1574</v>
      </c>
      <c r="Q50" s="2">
        <v>1574</v>
      </c>
      <c r="R50" s="2">
        <v>1574</v>
      </c>
      <c r="S50" s="2">
        <v>1574</v>
      </c>
      <c r="T50" s="2">
        <v>1574</v>
      </c>
    </row>
    <row r="51" spans="1:20" x14ac:dyDescent="0.35">
      <c r="A51" s="2" t="s">
        <v>701</v>
      </c>
      <c r="B51" s="2">
        <v>1586</v>
      </c>
      <c r="C51" s="2">
        <v>1608</v>
      </c>
      <c r="D51" s="2">
        <v>1623</v>
      </c>
      <c r="E51" s="2">
        <v>1591</v>
      </c>
      <c r="F51" s="2">
        <v>1576</v>
      </c>
      <c r="G51" s="2">
        <v>1550</v>
      </c>
      <c r="H51" s="2">
        <v>1561</v>
      </c>
      <c r="I51" s="2">
        <v>1591</v>
      </c>
      <c r="J51" s="2">
        <v>1574</v>
      </c>
      <c r="K51" s="2">
        <v>1559</v>
      </c>
      <c r="L51" s="2">
        <v>1581</v>
      </c>
      <c r="M51" s="2">
        <v>1599</v>
      </c>
      <c r="N51" s="2">
        <v>1572</v>
      </c>
      <c r="O51" s="2">
        <v>1572</v>
      </c>
      <c r="P51" s="2">
        <v>1572</v>
      </c>
      <c r="Q51" s="2">
        <v>1572</v>
      </c>
      <c r="R51" s="2">
        <v>1572</v>
      </c>
      <c r="S51" s="2">
        <v>1572</v>
      </c>
      <c r="T51" s="2">
        <v>1572</v>
      </c>
    </row>
    <row r="52" spans="1:20" x14ac:dyDescent="0.35">
      <c r="A52" s="2" t="s">
        <v>771</v>
      </c>
      <c r="B52" s="2">
        <v>1618</v>
      </c>
      <c r="C52" s="2">
        <v>1594</v>
      </c>
      <c r="D52" s="2">
        <v>1575</v>
      </c>
      <c r="E52" s="2">
        <v>1557</v>
      </c>
      <c r="F52" s="2">
        <v>1591</v>
      </c>
      <c r="G52" s="2">
        <v>1579</v>
      </c>
      <c r="H52" s="2">
        <v>1564</v>
      </c>
      <c r="I52" s="2">
        <v>1545</v>
      </c>
      <c r="J52" s="2">
        <v>1530</v>
      </c>
      <c r="K52" s="2">
        <v>1512</v>
      </c>
      <c r="L52" s="2">
        <v>1529</v>
      </c>
      <c r="M52" s="2">
        <v>1554</v>
      </c>
      <c r="N52" s="2">
        <v>1572</v>
      </c>
      <c r="O52" s="2">
        <v>1572</v>
      </c>
      <c r="P52" s="2">
        <v>1572</v>
      </c>
      <c r="Q52" s="2">
        <v>1572</v>
      </c>
      <c r="R52" s="2">
        <v>1572</v>
      </c>
      <c r="S52" s="2">
        <v>1572</v>
      </c>
      <c r="T52" s="2">
        <v>1572</v>
      </c>
    </row>
    <row r="53" spans="1:20" x14ac:dyDescent="0.35">
      <c r="A53" s="2" t="s">
        <v>692</v>
      </c>
      <c r="B53" s="2">
        <v>1619</v>
      </c>
      <c r="C53" s="2">
        <v>1602</v>
      </c>
      <c r="D53" s="2">
        <v>1629</v>
      </c>
      <c r="E53" s="2">
        <v>1642</v>
      </c>
      <c r="F53" s="2">
        <v>1657</v>
      </c>
      <c r="G53" s="2">
        <v>1636</v>
      </c>
      <c r="H53" s="2">
        <v>1618</v>
      </c>
      <c r="I53" s="2">
        <v>1589</v>
      </c>
      <c r="J53" s="2">
        <v>1575</v>
      </c>
      <c r="K53" s="2">
        <v>1554</v>
      </c>
      <c r="L53" s="2">
        <v>1571</v>
      </c>
      <c r="M53" s="2">
        <v>1584</v>
      </c>
      <c r="N53" s="2">
        <v>1569</v>
      </c>
      <c r="O53" s="2">
        <v>1569</v>
      </c>
      <c r="P53" s="2">
        <v>1569</v>
      </c>
      <c r="Q53" s="2">
        <v>1569</v>
      </c>
      <c r="R53" s="2">
        <v>1569</v>
      </c>
      <c r="S53" s="2">
        <v>1569</v>
      </c>
      <c r="T53" s="2">
        <v>1569</v>
      </c>
    </row>
    <row r="54" spans="1:20" x14ac:dyDescent="0.35">
      <c r="A54" s="2" t="s">
        <v>729</v>
      </c>
      <c r="B54" s="2">
        <v>1620</v>
      </c>
      <c r="C54" s="2">
        <v>1594</v>
      </c>
      <c r="D54" s="2">
        <v>1575</v>
      </c>
      <c r="E54" s="2">
        <v>1600</v>
      </c>
      <c r="F54" s="2">
        <v>1621</v>
      </c>
      <c r="G54" s="2">
        <v>1602</v>
      </c>
      <c r="H54" s="2">
        <v>1621</v>
      </c>
      <c r="I54" s="2">
        <v>1599</v>
      </c>
      <c r="J54" s="2">
        <v>1620</v>
      </c>
      <c r="K54" s="2">
        <v>1586</v>
      </c>
      <c r="L54" s="2">
        <v>1564</v>
      </c>
      <c r="M54" s="2">
        <v>1554</v>
      </c>
      <c r="N54" s="2">
        <v>1568</v>
      </c>
      <c r="O54" s="2">
        <v>1568</v>
      </c>
      <c r="P54" s="2">
        <v>1568</v>
      </c>
      <c r="Q54" s="2">
        <v>1568</v>
      </c>
      <c r="R54" s="2">
        <v>1568</v>
      </c>
      <c r="S54" s="2">
        <v>1568</v>
      </c>
      <c r="T54" s="2">
        <v>1568</v>
      </c>
    </row>
    <row r="55" spans="1:20" x14ac:dyDescent="0.35">
      <c r="A55" s="2" t="s">
        <v>756</v>
      </c>
      <c r="B55" s="2">
        <v>1583</v>
      </c>
      <c r="C55" s="2">
        <v>1616</v>
      </c>
      <c r="D55" s="2">
        <v>1591</v>
      </c>
      <c r="E55" s="2">
        <v>1566</v>
      </c>
      <c r="F55" s="2">
        <v>1545</v>
      </c>
      <c r="G55" s="2">
        <v>1572</v>
      </c>
      <c r="H55" s="2">
        <v>1589</v>
      </c>
      <c r="I55" s="2">
        <v>1564</v>
      </c>
      <c r="J55" s="2">
        <v>1555</v>
      </c>
      <c r="K55" s="2">
        <v>1570</v>
      </c>
      <c r="L55" s="2">
        <v>1554</v>
      </c>
      <c r="M55" s="2">
        <v>1540</v>
      </c>
      <c r="N55" s="2">
        <v>1568</v>
      </c>
      <c r="O55" s="2">
        <v>1568</v>
      </c>
      <c r="P55" s="2">
        <v>1568</v>
      </c>
      <c r="Q55" s="2">
        <v>1568</v>
      </c>
      <c r="R55" s="2">
        <v>1568</v>
      </c>
      <c r="S55" s="2">
        <v>1568</v>
      </c>
      <c r="T55" s="2">
        <v>1568</v>
      </c>
    </row>
    <row r="56" spans="1:20" x14ac:dyDescent="0.35">
      <c r="A56" s="2" t="s">
        <v>737</v>
      </c>
      <c r="B56" s="2">
        <v>1624</v>
      </c>
      <c r="C56" s="2">
        <v>1609</v>
      </c>
      <c r="D56" s="2">
        <v>1623</v>
      </c>
      <c r="E56" s="2">
        <v>1641</v>
      </c>
      <c r="F56" s="2">
        <v>1618</v>
      </c>
      <c r="G56" s="2">
        <v>1639</v>
      </c>
      <c r="H56" s="2">
        <v>1614</v>
      </c>
      <c r="I56" s="2">
        <v>1629</v>
      </c>
      <c r="J56" s="2">
        <v>1603</v>
      </c>
      <c r="K56" s="2">
        <v>1580</v>
      </c>
      <c r="L56" s="2">
        <v>1563</v>
      </c>
      <c r="M56" s="2">
        <v>1553</v>
      </c>
      <c r="N56" s="2">
        <v>1565</v>
      </c>
      <c r="O56" s="2">
        <v>1565</v>
      </c>
      <c r="P56" s="2">
        <v>1565</v>
      </c>
      <c r="Q56" s="2">
        <v>1565</v>
      </c>
      <c r="R56" s="2">
        <v>1565</v>
      </c>
      <c r="S56" s="2">
        <v>1565</v>
      </c>
      <c r="T56" s="2">
        <v>1565</v>
      </c>
    </row>
    <row r="57" spans="1:20" x14ac:dyDescent="0.35">
      <c r="A57" s="2" t="s">
        <v>665</v>
      </c>
      <c r="B57" s="2">
        <v>1581</v>
      </c>
      <c r="C57" s="2">
        <v>1601</v>
      </c>
      <c r="D57" s="2">
        <v>1578</v>
      </c>
      <c r="E57" s="2">
        <v>1562</v>
      </c>
      <c r="F57" s="2">
        <v>1583</v>
      </c>
      <c r="G57" s="2">
        <v>1556</v>
      </c>
      <c r="H57" s="2">
        <v>1577</v>
      </c>
      <c r="I57" s="2">
        <v>1551</v>
      </c>
      <c r="J57" s="2">
        <v>1566</v>
      </c>
      <c r="K57" s="2">
        <v>1537</v>
      </c>
      <c r="L57" s="2">
        <v>1557</v>
      </c>
      <c r="M57" s="2">
        <v>1539</v>
      </c>
      <c r="N57" s="2">
        <v>1562</v>
      </c>
      <c r="O57" s="2">
        <v>1562</v>
      </c>
      <c r="P57" s="2">
        <v>1562</v>
      </c>
      <c r="Q57" s="2">
        <v>1562</v>
      </c>
      <c r="R57" s="2">
        <v>1562</v>
      </c>
      <c r="S57" s="2">
        <v>1562</v>
      </c>
      <c r="T57" s="2">
        <v>1562</v>
      </c>
    </row>
    <row r="58" spans="1:20" x14ac:dyDescent="0.35">
      <c r="A58" s="2" t="s">
        <v>774</v>
      </c>
      <c r="B58" s="2">
        <v>1624</v>
      </c>
      <c r="C58" s="2">
        <v>1610</v>
      </c>
      <c r="D58" s="2">
        <v>1591</v>
      </c>
      <c r="E58" s="2">
        <v>1606</v>
      </c>
      <c r="F58" s="2">
        <v>1577</v>
      </c>
      <c r="G58" s="2">
        <v>1564</v>
      </c>
      <c r="H58" s="2">
        <v>1577</v>
      </c>
      <c r="I58" s="2">
        <v>1560</v>
      </c>
      <c r="J58" s="2">
        <v>1545</v>
      </c>
      <c r="K58" s="2">
        <v>1569</v>
      </c>
      <c r="L58" s="2">
        <v>1588</v>
      </c>
      <c r="M58" s="2">
        <v>1576</v>
      </c>
      <c r="N58" s="2">
        <v>1558</v>
      </c>
      <c r="O58" s="2">
        <v>1558</v>
      </c>
      <c r="P58" s="2">
        <v>1558</v>
      </c>
      <c r="Q58" s="2">
        <v>1558</v>
      </c>
      <c r="R58" s="2">
        <v>1558</v>
      </c>
      <c r="S58" s="2">
        <v>1558</v>
      </c>
      <c r="T58" s="2">
        <v>1558</v>
      </c>
    </row>
    <row r="59" spans="1:20" x14ac:dyDescent="0.35">
      <c r="A59" s="2" t="s">
        <v>732</v>
      </c>
      <c r="B59" s="2">
        <v>1577</v>
      </c>
      <c r="C59" s="2">
        <v>1560</v>
      </c>
      <c r="D59" s="2">
        <v>1578</v>
      </c>
      <c r="E59" s="2">
        <v>1549</v>
      </c>
      <c r="F59" s="2">
        <v>1573</v>
      </c>
      <c r="G59" s="2">
        <v>1598</v>
      </c>
      <c r="H59" s="2">
        <v>1581</v>
      </c>
      <c r="I59" s="2">
        <v>1559</v>
      </c>
      <c r="J59" s="2">
        <v>1573</v>
      </c>
      <c r="K59" s="2">
        <v>1557</v>
      </c>
      <c r="L59" s="2">
        <v>1535</v>
      </c>
      <c r="M59" s="2">
        <v>1524</v>
      </c>
      <c r="N59" s="2">
        <v>1553</v>
      </c>
      <c r="O59" s="2">
        <v>1553</v>
      </c>
      <c r="P59" s="2">
        <v>1553</v>
      </c>
      <c r="Q59" s="2">
        <v>1553</v>
      </c>
      <c r="R59" s="2">
        <v>1553</v>
      </c>
      <c r="S59" s="2">
        <v>1553</v>
      </c>
      <c r="T59" s="2">
        <v>1553</v>
      </c>
    </row>
    <row r="60" spans="1:20" x14ac:dyDescent="0.35">
      <c r="A60" s="2" t="s">
        <v>758</v>
      </c>
      <c r="B60" s="2">
        <v>1576</v>
      </c>
      <c r="C60" s="2">
        <v>1561</v>
      </c>
      <c r="D60" s="2">
        <v>1577</v>
      </c>
      <c r="E60" s="2">
        <v>1609</v>
      </c>
      <c r="F60" s="2">
        <v>1592</v>
      </c>
      <c r="G60" s="2">
        <v>1605</v>
      </c>
      <c r="H60" s="2">
        <v>1586</v>
      </c>
      <c r="I60" s="2">
        <v>1554</v>
      </c>
      <c r="J60" s="2">
        <v>1573</v>
      </c>
      <c r="K60" s="2">
        <v>1558</v>
      </c>
      <c r="L60" s="2">
        <v>1547</v>
      </c>
      <c r="M60" s="2">
        <v>1526</v>
      </c>
      <c r="N60" s="2">
        <v>1552</v>
      </c>
      <c r="O60" s="2">
        <v>1552</v>
      </c>
      <c r="P60" s="2">
        <v>1552</v>
      </c>
      <c r="Q60" s="2">
        <v>1552</v>
      </c>
      <c r="R60" s="2">
        <v>1552</v>
      </c>
      <c r="S60" s="2">
        <v>1552</v>
      </c>
      <c r="T60" s="2">
        <v>1552</v>
      </c>
    </row>
    <row r="61" spans="1:20" x14ac:dyDescent="0.35">
      <c r="A61" s="2" t="s">
        <v>768</v>
      </c>
      <c r="B61" s="2">
        <v>1587</v>
      </c>
      <c r="C61" s="2">
        <v>1615</v>
      </c>
      <c r="D61" s="2">
        <v>1591</v>
      </c>
      <c r="E61" s="2">
        <v>1581</v>
      </c>
      <c r="F61" s="2">
        <v>1563</v>
      </c>
      <c r="G61" s="2">
        <v>1552</v>
      </c>
      <c r="H61" s="2">
        <v>1569</v>
      </c>
      <c r="I61" s="2">
        <v>1556</v>
      </c>
      <c r="J61" s="2">
        <v>1570</v>
      </c>
      <c r="K61" s="2">
        <v>1557</v>
      </c>
      <c r="L61" s="2">
        <v>1540</v>
      </c>
      <c r="M61" s="2">
        <v>1530</v>
      </c>
      <c r="N61" s="2">
        <v>1552</v>
      </c>
      <c r="O61" s="2">
        <v>1552</v>
      </c>
      <c r="P61" s="2">
        <v>1552</v>
      </c>
      <c r="Q61" s="2">
        <v>1552</v>
      </c>
      <c r="R61" s="2">
        <v>1552</v>
      </c>
      <c r="S61" s="2">
        <v>1552</v>
      </c>
      <c r="T61" s="2">
        <v>1552</v>
      </c>
    </row>
    <row r="62" spans="1:20" x14ac:dyDescent="0.35">
      <c r="A62" s="2" t="s">
        <v>785</v>
      </c>
      <c r="B62" s="2">
        <v>1582</v>
      </c>
      <c r="C62" s="2">
        <v>1568</v>
      </c>
      <c r="D62" s="2">
        <v>1557</v>
      </c>
      <c r="E62" s="2">
        <v>1541</v>
      </c>
      <c r="F62" s="2">
        <v>1519</v>
      </c>
      <c r="G62" s="2">
        <v>1537</v>
      </c>
      <c r="H62" s="2">
        <v>1524</v>
      </c>
      <c r="I62" s="2">
        <v>1561</v>
      </c>
      <c r="J62" s="2">
        <v>1547</v>
      </c>
      <c r="K62" s="2">
        <v>1538</v>
      </c>
      <c r="L62" s="2">
        <v>1521</v>
      </c>
      <c r="M62" s="2">
        <v>1512</v>
      </c>
      <c r="N62" s="2">
        <v>1551</v>
      </c>
      <c r="O62" s="2">
        <v>1551</v>
      </c>
      <c r="P62" s="2">
        <v>1551</v>
      </c>
      <c r="Q62" s="2">
        <v>1551</v>
      </c>
      <c r="R62" s="2">
        <v>1551</v>
      </c>
      <c r="S62" s="2">
        <v>1551</v>
      </c>
      <c r="T62" s="2">
        <v>1551</v>
      </c>
    </row>
    <row r="63" spans="1:20" x14ac:dyDescent="0.35">
      <c r="A63" s="2" t="s">
        <v>242</v>
      </c>
      <c r="B63" s="2">
        <v>1577</v>
      </c>
      <c r="C63" s="2">
        <v>1550</v>
      </c>
      <c r="D63" s="2">
        <v>1577</v>
      </c>
      <c r="E63" s="2">
        <v>1556</v>
      </c>
      <c r="F63" s="2">
        <v>1572</v>
      </c>
      <c r="G63" s="2">
        <v>1588</v>
      </c>
      <c r="H63" s="2">
        <v>1571</v>
      </c>
      <c r="I63" s="2">
        <v>1603</v>
      </c>
      <c r="J63" s="2">
        <v>1585</v>
      </c>
      <c r="K63" s="2">
        <v>1600</v>
      </c>
      <c r="L63" s="2">
        <v>1579</v>
      </c>
      <c r="M63" s="2">
        <v>1565</v>
      </c>
      <c r="N63" s="2">
        <v>1548</v>
      </c>
      <c r="O63" s="2">
        <v>1548</v>
      </c>
      <c r="P63" s="2">
        <v>1548</v>
      </c>
      <c r="Q63" s="2">
        <v>1548</v>
      </c>
      <c r="R63" s="2">
        <v>1548</v>
      </c>
      <c r="S63" s="2">
        <v>1548</v>
      </c>
      <c r="T63" s="2">
        <v>1548</v>
      </c>
    </row>
    <row r="64" spans="1:20" x14ac:dyDescent="0.35">
      <c r="A64" s="2" t="s">
        <v>677</v>
      </c>
      <c r="B64" s="2">
        <v>1613</v>
      </c>
      <c r="C64" s="2">
        <v>1598</v>
      </c>
      <c r="D64" s="2">
        <v>1583</v>
      </c>
      <c r="E64" s="2">
        <v>1600</v>
      </c>
      <c r="F64" s="2">
        <v>1573</v>
      </c>
      <c r="G64" s="2">
        <v>1547</v>
      </c>
      <c r="H64" s="2">
        <v>1564</v>
      </c>
      <c r="I64" s="2">
        <v>1551</v>
      </c>
      <c r="J64" s="2">
        <v>1526</v>
      </c>
      <c r="K64" s="2">
        <v>1560</v>
      </c>
      <c r="L64" s="2">
        <v>1580</v>
      </c>
      <c r="M64" s="2">
        <v>1565</v>
      </c>
      <c r="N64" s="2">
        <v>1545</v>
      </c>
      <c r="O64" s="2">
        <v>1545</v>
      </c>
      <c r="P64" s="2">
        <v>1545</v>
      </c>
      <c r="Q64" s="2">
        <v>1545</v>
      </c>
      <c r="R64" s="2">
        <v>1545</v>
      </c>
      <c r="S64" s="2">
        <v>1545</v>
      </c>
      <c r="T64" s="2">
        <v>1545</v>
      </c>
    </row>
    <row r="65" spans="1:20" x14ac:dyDescent="0.35">
      <c r="A65" s="2" t="s">
        <v>700</v>
      </c>
      <c r="B65" s="2">
        <v>1614</v>
      </c>
      <c r="C65" s="2">
        <v>1587</v>
      </c>
      <c r="D65" s="2">
        <v>1611</v>
      </c>
      <c r="E65" s="2">
        <v>1594</v>
      </c>
      <c r="F65" s="2">
        <v>1620</v>
      </c>
      <c r="G65" s="2">
        <v>1637</v>
      </c>
      <c r="H65" s="2">
        <v>1665</v>
      </c>
      <c r="I65" s="2">
        <v>1638</v>
      </c>
      <c r="J65" s="2">
        <v>1617</v>
      </c>
      <c r="K65" s="2">
        <v>1596</v>
      </c>
      <c r="L65" s="2">
        <v>1576</v>
      </c>
      <c r="M65" s="2">
        <v>1560</v>
      </c>
      <c r="N65" s="2">
        <v>1539</v>
      </c>
      <c r="O65" s="2">
        <v>1539</v>
      </c>
      <c r="P65" s="2">
        <v>1539</v>
      </c>
      <c r="Q65" s="2">
        <v>1539</v>
      </c>
      <c r="R65" s="2">
        <v>1539</v>
      </c>
      <c r="S65" s="2">
        <v>1539</v>
      </c>
      <c r="T65" s="2">
        <v>1539</v>
      </c>
    </row>
    <row r="66" spans="1:20" x14ac:dyDescent="0.35">
      <c r="A66" s="2" t="s">
        <v>643</v>
      </c>
      <c r="B66" s="2">
        <v>1585</v>
      </c>
      <c r="C66" s="2">
        <v>1608</v>
      </c>
      <c r="D66" s="2">
        <v>1591</v>
      </c>
      <c r="E66" s="2">
        <v>1574</v>
      </c>
      <c r="F66" s="2">
        <v>1560</v>
      </c>
      <c r="G66" s="2">
        <v>1549</v>
      </c>
      <c r="H66" s="2">
        <v>1574</v>
      </c>
      <c r="I66" s="2">
        <v>1590</v>
      </c>
      <c r="J66" s="2">
        <v>1570</v>
      </c>
      <c r="K66" s="2">
        <v>1586</v>
      </c>
      <c r="L66" s="2">
        <v>1566</v>
      </c>
      <c r="M66" s="2">
        <v>1557</v>
      </c>
      <c r="N66" s="2">
        <v>1535</v>
      </c>
      <c r="O66" s="2">
        <v>1535</v>
      </c>
      <c r="P66" s="2">
        <v>1535</v>
      </c>
      <c r="Q66" s="2">
        <v>1535</v>
      </c>
      <c r="R66" s="2">
        <v>1535</v>
      </c>
      <c r="S66" s="2">
        <v>1535</v>
      </c>
      <c r="T66" s="2">
        <v>1535</v>
      </c>
    </row>
    <row r="67" spans="1:20" x14ac:dyDescent="0.35">
      <c r="A67" s="2" t="s">
        <v>466</v>
      </c>
      <c r="B67" s="2">
        <v>1583</v>
      </c>
      <c r="C67" s="2">
        <v>1555</v>
      </c>
      <c r="D67" s="2">
        <v>1537</v>
      </c>
      <c r="E67" s="2">
        <v>1521</v>
      </c>
      <c r="F67" s="2">
        <v>1537</v>
      </c>
      <c r="G67" s="2">
        <v>1524</v>
      </c>
      <c r="H67" s="2">
        <v>1551</v>
      </c>
      <c r="I67" s="2">
        <v>1533</v>
      </c>
      <c r="J67" s="2">
        <v>1524</v>
      </c>
      <c r="K67" s="2">
        <v>1538</v>
      </c>
      <c r="L67" s="2">
        <v>1526</v>
      </c>
      <c r="M67" s="2">
        <v>1516</v>
      </c>
      <c r="N67" s="2">
        <v>1535</v>
      </c>
      <c r="O67" s="2">
        <v>1535</v>
      </c>
      <c r="P67" s="2">
        <v>1535</v>
      </c>
      <c r="Q67" s="2">
        <v>1535</v>
      </c>
      <c r="R67" s="2">
        <v>1535</v>
      </c>
      <c r="S67" s="2">
        <v>1535</v>
      </c>
      <c r="T67" s="2">
        <v>1535</v>
      </c>
    </row>
    <row r="68" spans="1:20" x14ac:dyDescent="0.35">
      <c r="A68" s="2" t="s">
        <v>640</v>
      </c>
      <c r="B68" s="2">
        <v>1587</v>
      </c>
      <c r="C68" s="2">
        <v>1604</v>
      </c>
      <c r="D68" s="2">
        <v>1589</v>
      </c>
      <c r="E68" s="2">
        <v>1565</v>
      </c>
      <c r="F68" s="2">
        <v>1587</v>
      </c>
      <c r="G68" s="2">
        <v>1607</v>
      </c>
      <c r="H68" s="2">
        <v>1589</v>
      </c>
      <c r="I68" s="2">
        <v>1613</v>
      </c>
      <c r="J68" s="2">
        <v>1591</v>
      </c>
      <c r="K68" s="2">
        <v>1577</v>
      </c>
      <c r="L68" s="2">
        <v>1563</v>
      </c>
      <c r="M68" s="2">
        <v>1549</v>
      </c>
      <c r="N68" s="2">
        <v>1534</v>
      </c>
      <c r="O68" s="2">
        <v>1534</v>
      </c>
      <c r="P68" s="2">
        <v>1534</v>
      </c>
      <c r="Q68" s="2">
        <v>1534</v>
      </c>
      <c r="R68" s="2">
        <v>1534</v>
      </c>
      <c r="S68" s="2">
        <v>1534</v>
      </c>
      <c r="T68" s="2">
        <v>1534</v>
      </c>
    </row>
    <row r="69" spans="1:20" x14ac:dyDescent="0.35">
      <c r="A69" s="2" t="s">
        <v>693</v>
      </c>
      <c r="B69" s="2">
        <v>1622</v>
      </c>
      <c r="C69" s="2">
        <v>1643</v>
      </c>
      <c r="D69" s="2">
        <v>1621</v>
      </c>
      <c r="E69" s="2">
        <v>1596</v>
      </c>
      <c r="F69" s="2">
        <v>1614</v>
      </c>
      <c r="G69" s="2">
        <v>1601</v>
      </c>
      <c r="H69" s="2">
        <v>1581</v>
      </c>
      <c r="I69" s="2">
        <v>1565</v>
      </c>
      <c r="J69" s="2">
        <v>1581</v>
      </c>
      <c r="K69" s="2">
        <v>1569</v>
      </c>
      <c r="L69" s="2">
        <v>1556</v>
      </c>
      <c r="M69" s="2">
        <v>1542</v>
      </c>
      <c r="N69" s="2">
        <v>1533</v>
      </c>
      <c r="O69" s="2">
        <v>1533</v>
      </c>
      <c r="P69" s="2">
        <v>1533</v>
      </c>
      <c r="Q69" s="2">
        <v>1533</v>
      </c>
      <c r="R69" s="2">
        <v>1533</v>
      </c>
      <c r="S69" s="2">
        <v>1533</v>
      </c>
      <c r="T69" s="2">
        <v>1533</v>
      </c>
    </row>
    <row r="70" spans="1:20" x14ac:dyDescent="0.35">
      <c r="A70" s="2" t="s">
        <v>680</v>
      </c>
      <c r="B70" s="2">
        <v>1587</v>
      </c>
      <c r="C70" s="2">
        <v>1574</v>
      </c>
      <c r="D70" s="2">
        <v>1558</v>
      </c>
      <c r="E70" s="2">
        <v>1543</v>
      </c>
      <c r="F70" s="2">
        <v>1515</v>
      </c>
      <c r="G70" s="2">
        <v>1493</v>
      </c>
      <c r="H70" s="2">
        <v>1482</v>
      </c>
      <c r="I70" s="2">
        <v>1507</v>
      </c>
      <c r="J70" s="2">
        <v>1531</v>
      </c>
      <c r="K70" s="2">
        <v>1560</v>
      </c>
      <c r="L70" s="2">
        <v>1573</v>
      </c>
      <c r="M70" s="2">
        <v>1545</v>
      </c>
      <c r="N70" s="2">
        <v>1527</v>
      </c>
      <c r="O70" s="2">
        <v>1527</v>
      </c>
      <c r="P70" s="2">
        <v>1527</v>
      </c>
      <c r="Q70" s="2">
        <v>1527</v>
      </c>
      <c r="R70" s="2">
        <v>1527</v>
      </c>
      <c r="S70" s="2">
        <v>1527</v>
      </c>
      <c r="T70" s="2">
        <v>1527</v>
      </c>
    </row>
    <row r="71" spans="1:20" x14ac:dyDescent="0.35">
      <c r="A71" s="2" t="s">
        <v>726</v>
      </c>
      <c r="B71" s="2">
        <v>1587</v>
      </c>
      <c r="C71" s="2">
        <v>1564</v>
      </c>
      <c r="D71" s="2">
        <v>1581</v>
      </c>
      <c r="E71" s="2">
        <v>1548</v>
      </c>
      <c r="F71" s="2">
        <v>1576</v>
      </c>
      <c r="G71" s="2">
        <v>1551</v>
      </c>
      <c r="H71" s="2">
        <v>1580</v>
      </c>
      <c r="I71" s="2">
        <v>1560</v>
      </c>
      <c r="J71" s="2">
        <v>1547</v>
      </c>
      <c r="K71" s="2">
        <v>1514</v>
      </c>
      <c r="L71" s="2">
        <v>1537</v>
      </c>
      <c r="M71" s="2">
        <v>1555</v>
      </c>
      <c r="N71" s="2">
        <v>1527</v>
      </c>
      <c r="O71" s="2">
        <v>1527</v>
      </c>
      <c r="P71" s="2">
        <v>1527</v>
      </c>
      <c r="Q71" s="2">
        <v>1527</v>
      </c>
      <c r="R71" s="2">
        <v>1527</v>
      </c>
      <c r="S71" s="2">
        <v>1527</v>
      </c>
      <c r="T71" s="2">
        <v>1527</v>
      </c>
    </row>
    <row r="72" spans="1:20" x14ac:dyDescent="0.35">
      <c r="A72" s="2" t="s">
        <v>792</v>
      </c>
      <c r="B72" s="2">
        <v>1622</v>
      </c>
      <c r="C72" s="2">
        <v>1646</v>
      </c>
      <c r="D72" s="2">
        <v>1622</v>
      </c>
      <c r="E72" s="2">
        <v>1610</v>
      </c>
      <c r="F72" s="2">
        <v>1625</v>
      </c>
      <c r="G72" s="2">
        <v>1608</v>
      </c>
      <c r="H72" s="2">
        <v>1626</v>
      </c>
      <c r="I72" s="2">
        <v>1589</v>
      </c>
      <c r="J72" s="2">
        <v>1579</v>
      </c>
      <c r="K72" s="2">
        <v>1555</v>
      </c>
      <c r="L72" s="2">
        <v>1538</v>
      </c>
      <c r="M72" s="2">
        <v>1522</v>
      </c>
      <c r="N72" s="2">
        <v>1509</v>
      </c>
      <c r="O72" s="2">
        <v>1509</v>
      </c>
      <c r="P72" s="2">
        <v>1509</v>
      </c>
      <c r="Q72" s="2">
        <v>1509</v>
      </c>
      <c r="R72" s="2">
        <v>1509</v>
      </c>
      <c r="S72" s="2">
        <v>1509</v>
      </c>
      <c r="T72" s="2">
        <v>1509</v>
      </c>
    </row>
    <row r="73" spans="1:20" x14ac:dyDescent="0.35">
      <c r="A73" s="2" t="s">
        <v>679</v>
      </c>
      <c r="B73" s="2">
        <v>1576</v>
      </c>
      <c r="C73" s="2">
        <v>1558</v>
      </c>
      <c r="D73" s="2">
        <v>1546</v>
      </c>
      <c r="E73" s="2">
        <v>1533</v>
      </c>
      <c r="F73" s="2">
        <v>1518</v>
      </c>
      <c r="G73" s="2">
        <v>1509</v>
      </c>
      <c r="H73" s="2">
        <v>1529</v>
      </c>
      <c r="I73" s="2">
        <v>1513</v>
      </c>
      <c r="J73" s="2">
        <v>1533</v>
      </c>
      <c r="K73" s="2">
        <v>1555</v>
      </c>
      <c r="L73" s="2">
        <v>1537</v>
      </c>
      <c r="M73" s="2">
        <v>1547</v>
      </c>
      <c r="N73" s="2">
        <v>1508</v>
      </c>
      <c r="O73" s="2">
        <v>1508</v>
      </c>
      <c r="P73" s="2">
        <v>1508</v>
      </c>
      <c r="Q73" s="2">
        <v>1508</v>
      </c>
      <c r="R73" s="2">
        <v>1508</v>
      </c>
      <c r="S73" s="2">
        <v>1508</v>
      </c>
      <c r="T73" s="2">
        <v>1508</v>
      </c>
    </row>
    <row r="74" spans="1:20" x14ac:dyDescent="0.35">
      <c r="A74" s="2" t="s">
        <v>678</v>
      </c>
      <c r="B74" s="2">
        <v>1578</v>
      </c>
      <c r="C74" s="2">
        <v>1558</v>
      </c>
      <c r="D74" s="2">
        <v>1534</v>
      </c>
      <c r="E74" s="2">
        <v>1556</v>
      </c>
      <c r="F74" s="2">
        <v>1538</v>
      </c>
      <c r="G74" s="2">
        <v>1524</v>
      </c>
      <c r="H74" s="2">
        <v>1540</v>
      </c>
      <c r="I74" s="2">
        <v>1529</v>
      </c>
      <c r="J74" s="2">
        <v>1519</v>
      </c>
      <c r="K74" s="2">
        <v>1502</v>
      </c>
      <c r="L74" s="2">
        <v>1520</v>
      </c>
      <c r="M74" s="2">
        <v>1507</v>
      </c>
      <c r="N74" s="2">
        <v>1495</v>
      </c>
      <c r="O74" s="2">
        <v>1495</v>
      </c>
      <c r="P74" s="2">
        <v>1495</v>
      </c>
      <c r="Q74" s="2">
        <v>1495</v>
      </c>
      <c r="R74" s="2">
        <v>1495</v>
      </c>
      <c r="S74" s="2">
        <v>1495</v>
      </c>
      <c r="T74" s="2">
        <v>1495</v>
      </c>
    </row>
    <row r="75" spans="1:20" x14ac:dyDescent="0.35">
      <c r="A75" s="2" t="s">
        <v>670</v>
      </c>
      <c r="B75" s="2">
        <v>1586</v>
      </c>
      <c r="C75" s="2">
        <v>1568</v>
      </c>
      <c r="D75" s="2">
        <v>1547</v>
      </c>
      <c r="E75" s="2">
        <v>1534</v>
      </c>
      <c r="F75" s="2">
        <v>1523</v>
      </c>
      <c r="G75" s="2">
        <v>1500</v>
      </c>
      <c r="H75" s="2">
        <v>1489</v>
      </c>
      <c r="I75" s="2">
        <v>1508</v>
      </c>
      <c r="J75" s="2">
        <v>1489</v>
      </c>
      <c r="K75" s="2">
        <v>1505</v>
      </c>
      <c r="L75" s="2">
        <v>1490</v>
      </c>
      <c r="M75" s="2">
        <v>1509</v>
      </c>
      <c r="N75" s="2">
        <v>1490</v>
      </c>
      <c r="O75" s="2">
        <v>1490</v>
      </c>
      <c r="P75" s="2">
        <v>1490</v>
      </c>
      <c r="Q75" s="2">
        <v>1490</v>
      </c>
      <c r="R75" s="2">
        <v>1490</v>
      </c>
      <c r="S75" s="2">
        <v>1490</v>
      </c>
      <c r="T75" s="2">
        <v>1490</v>
      </c>
    </row>
    <row r="76" spans="1:20" x14ac:dyDescent="0.35">
      <c r="A76" s="2" t="s">
        <v>671</v>
      </c>
      <c r="B76" s="2">
        <v>1587</v>
      </c>
      <c r="C76" s="2">
        <v>1563</v>
      </c>
      <c r="D76" s="2">
        <v>1589</v>
      </c>
      <c r="E76" s="2">
        <v>1603</v>
      </c>
      <c r="F76" s="2">
        <v>1618</v>
      </c>
      <c r="G76" s="2">
        <v>1598</v>
      </c>
      <c r="H76" s="2">
        <v>1581</v>
      </c>
      <c r="I76" s="2">
        <v>1563</v>
      </c>
      <c r="J76" s="2">
        <v>1534</v>
      </c>
      <c r="K76" s="2">
        <v>1510</v>
      </c>
      <c r="L76" s="2">
        <v>1526</v>
      </c>
      <c r="M76" s="2">
        <v>1511</v>
      </c>
      <c r="N76" s="2">
        <v>1489</v>
      </c>
      <c r="O76" s="2">
        <v>1489</v>
      </c>
      <c r="P76" s="2">
        <v>1489</v>
      </c>
      <c r="Q76" s="2">
        <v>1489</v>
      </c>
      <c r="R76" s="2">
        <v>1489</v>
      </c>
      <c r="S76" s="2">
        <v>1489</v>
      </c>
      <c r="T76" s="2">
        <v>1489</v>
      </c>
    </row>
    <row r="77" spans="1:20" x14ac:dyDescent="0.35">
      <c r="A77" s="2" t="s">
        <v>709</v>
      </c>
      <c r="B77" s="2">
        <v>1613</v>
      </c>
      <c r="C77" s="2">
        <v>1592</v>
      </c>
      <c r="D77" s="2">
        <v>1613</v>
      </c>
      <c r="E77" s="2">
        <v>1600</v>
      </c>
      <c r="F77" s="2">
        <v>1575</v>
      </c>
      <c r="G77" s="2">
        <v>1552</v>
      </c>
      <c r="H77" s="2">
        <v>1541</v>
      </c>
      <c r="I77" s="2">
        <v>1526</v>
      </c>
      <c r="J77" s="2">
        <v>1517</v>
      </c>
      <c r="K77" s="2">
        <v>1503</v>
      </c>
      <c r="L77" s="2">
        <v>1535</v>
      </c>
      <c r="M77" s="2">
        <v>1504</v>
      </c>
      <c r="N77" s="2">
        <v>1475</v>
      </c>
      <c r="O77" s="2">
        <v>1475</v>
      </c>
      <c r="P77" s="2">
        <v>1475</v>
      </c>
      <c r="Q77" s="2">
        <v>1475</v>
      </c>
      <c r="R77" s="2">
        <v>1475</v>
      </c>
      <c r="S77" s="2">
        <v>1475</v>
      </c>
      <c r="T77" s="2">
        <v>1475</v>
      </c>
    </row>
    <row r="78" spans="1:20" x14ac:dyDescent="0.35">
      <c r="A78" s="2" t="s">
        <v>465</v>
      </c>
      <c r="B78" s="2">
        <v>1613</v>
      </c>
      <c r="C78" s="2">
        <v>1629</v>
      </c>
      <c r="D78" s="2">
        <v>1608</v>
      </c>
      <c r="E78" s="2">
        <v>1595</v>
      </c>
      <c r="F78" s="2">
        <v>1569</v>
      </c>
      <c r="G78" s="2">
        <v>1590</v>
      </c>
      <c r="H78" s="2">
        <v>1559</v>
      </c>
      <c r="I78" s="2">
        <v>1546</v>
      </c>
      <c r="J78" s="2">
        <v>1535</v>
      </c>
      <c r="K78" s="2">
        <v>1523</v>
      </c>
      <c r="L78" s="2">
        <v>1507</v>
      </c>
      <c r="M78" s="2">
        <v>1492</v>
      </c>
      <c r="N78" s="2">
        <v>1471</v>
      </c>
      <c r="O78" s="2">
        <v>1471</v>
      </c>
      <c r="P78" s="2">
        <v>1471</v>
      </c>
      <c r="Q78" s="2">
        <v>1471</v>
      </c>
      <c r="R78" s="2">
        <v>1471</v>
      </c>
      <c r="S78" s="2">
        <v>1471</v>
      </c>
      <c r="T78" s="2">
        <v>1471</v>
      </c>
    </row>
    <row r="79" spans="1:20" x14ac:dyDescent="0.35">
      <c r="A79" s="2" t="s">
        <v>772</v>
      </c>
      <c r="B79" s="2">
        <v>1582</v>
      </c>
      <c r="C79" s="2">
        <v>1562</v>
      </c>
      <c r="D79" s="2">
        <v>1533</v>
      </c>
      <c r="E79" s="2">
        <v>1521</v>
      </c>
      <c r="F79" s="2">
        <v>1513</v>
      </c>
      <c r="G79" s="2">
        <v>1495</v>
      </c>
      <c r="H79" s="2">
        <v>1475</v>
      </c>
      <c r="I79" s="2">
        <v>1461</v>
      </c>
      <c r="J79" s="2">
        <v>1451</v>
      </c>
      <c r="K79" s="2">
        <v>1475</v>
      </c>
      <c r="L79" s="2">
        <v>1455</v>
      </c>
      <c r="M79" s="2">
        <v>1445</v>
      </c>
      <c r="N79" s="2">
        <v>1466</v>
      </c>
      <c r="O79" s="2">
        <v>1466</v>
      </c>
      <c r="P79" s="2">
        <v>1466</v>
      </c>
      <c r="Q79" s="2">
        <v>1466</v>
      </c>
      <c r="R79" s="2">
        <v>1466</v>
      </c>
      <c r="S79" s="2">
        <v>1466</v>
      </c>
      <c r="T79" s="2">
        <v>1466</v>
      </c>
    </row>
    <row r="80" spans="1:20" x14ac:dyDescent="0.35">
      <c r="A80" s="2" t="s">
        <v>755</v>
      </c>
      <c r="B80" s="2">
        <v>1578</v>
      </c>
      <c r="C80" s="2">
        <v>1593</v>
      </c>
      <c r="D80" s="2">
        <v>1579</v>
      </c>
      <c r="E80" s="2">
        <v>1566</v>
      </c>
      <c r="F80" s="2">
        <v>1551</v>
      </c>
      <c r="G80" s="2">
        <v>1542</v>
      </c>
      <c r="H80" s="2">
        <v>1521</v>
      </c>
      <c r="I80" s="2">
        <v>1507</v>
      </c>
      <c r="J80" s="2">
        <v>1486</v>
      </c>
      <c r="K80" s="2">
        <v>1503</v>
      </c>
      <c r="L80" s="2">
        <v>1490</v>
      </c>
      <c r="M80" s="2">
        <v>1479</v>
      </c>
      <c r="N80" s="2">
        <v>1465</v>
      </c>
      <c r="O80" s="2">
        <v>1465</v>
      </c>
      <c r="P80" s="2">
        <v>1465</v>
      </c>
      <c r="Q80" s="2">
        <v>1465</v>
      </c>
      <c r="R80" s="2">
        <v>1465</v>
      </c>
      <c r="S80" s="2">
        <v>1465</v>
      </c>
      <c r="T80" s="2">
        <v>1465</v>
      </c>
    </row>
    <row r="81" spans="1:20" x14ac:dyDescent="0.35">
      <c r="A81" s="2" t="s">
        <v>723</v>
      </c>
      <c r="B81" s="2">
        <v>1587</v>
      </c>
      <c r="C81" s="2">
        <v>1601</v>
      </c>
      <c r="D81" s="2">
        <v>1586</v>
      </c>
      <c r="E81" s="2">
        <v>1573</v>
      </c>
      <c r="F81" s="2">
        <v>1558</v>
      </c>
      <c r="G81" s="2">
        <v>1545</v>
      </c>
      <c r="H81" s="2">
        <v>1534</v>
      </c>
      <c r="I81" s="2">
        <v>1510</v>
      </c>
      <c r="J81" s="2">
        <v>1495</v>
      </c>
      <c r="K81" s="2">
        <v>1480</v>
      </c>
      <c r="L81" s="2">
        <v>1462</v>
      </c>
      <c r="M81" s="2">
        <v>1451</v>
      </c>
      <c r="N81" s="2">
        <v>1435</v>
      </c>
      <c r="O81" s="2">
        <v>1435</v>
      </c>
      <c r="P81" s="2">
        <v>1435</v>
      </c>
      <c r="Q81" s="2">
        <v>1435</v>
      </c>
      <c r="R81" s="2">
        <v>1435</v>
      </c>
      <c r="S81" s="2">
        <v>1435</v>
      </c>
      <c r="T81" s="2">
        <v>1435</v>
      </c>
    </row>
  </sheetData>
  <sortState xmlns:xlrd2="http://schemas.microsoft.com/office/spreadsheetml/2017/richdata2" ref="A2:V81">
    <sortCondition descending="1" ref="S2:S8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Y97"/>
  <sheetViews>
    <sheetView workbookViewId="0">
      <selection activeCell="J13" sqref="J13"/>
    </sheetView>
  </sheetViews>
  <sheetFormatPr defaultRowHeight="14.5" x14ac:dyDescent="0.35"/>
  <cols>
    <col min="1" max="2" width="2.6328125" customWidth="1"/>
    <col min="3" max="3" width="18.08984375" customWidth="1"/>
  </cols>
  <sheetData>
    <row r="1" spans="2:25" x14ac:dyDescent="0.35">
      <c r="C1" t="s">
        <v>1326</v>
      </c>
      <c r="D1" t="s">
        <v>1325</v>
      </c>
      <c r="E1" t="s">
        <v>1098</v>
      </c>
      <c r="F1" t="s">
        <v>1099</v>
      </c>
      <c r="G1" t="s">
        <v>1100</v>
      </c>
      <c r="H1" t="s">
        <v>1101</v>
      </c>
      <c r="I1" t="s">
        <v>1102</v>
      </c>
      <c r="J1" t="s">
        <v>1103</v>
      </c>
      <c r="K1" t="s">
        <v>1104</v>
      </c>
      <c r="L1" t="s">
        <v>1105</v>
      </c>
      <c r="M1" t="s">
        <v>1106</v>
      </c>
      <c r="N1" t="s">
        <v>1107</v>
      </c>
      <c r="O1" t="s">
        <v>1108</v>
      </c>
      <c r="P1" t="s">
        <v>1109</v>
      </c>
      <c r="Q1" t="s">
        <v>1110</v>
      </c>
      <c r="R1" t="s">
        <v>1111</v>
      </c>
      <c r="S1" t="s">
        <v>1112</v>
      </c>
      <c r="T1" t="s">
        <v>1113</v>
      </c>
      <c r="U1" t="s">
        <v>1114</v>
      </c>
      <c r="V1" t="s">
        <v>1115</v>
      </c>
      <c r="W1" t="s">
        <v>1135</v>
      </c>
      <c r="X1" t="s">
        <v>1323</v>
      </c>
      <c r="Y1" t="s">
        <v>1324</v>
      </c>
    </row>
    <row r="2" spans="2:25" s="1" customFormat="1" x14ac:dyDescent="0.35">
      <c r="C2" s="1" t="s">
        <v>663</v>
      </c>
      <c r="D2" s="1">
        <v>1655</v>
      </c>
      <c r="E2" s="1">
        <v>1671</v>
      </c>
      <c r="F2" s="1">
        <v>1678</v>
      </c>
      <c r="G2" s="1">
        <v>1703</v>
      </c>
      <c r="H2" s="1">
        <v>1711</v>
      </c>
      <c r="I2" s="1">
        <v>1720</v>
      </c>
      <c r="J2" s="1">
        <v>1744</v>
      </c>
      <c r="K2" s="1">
        <v>1720</v>
      </c>
      <c r="L2" s="1">
        <v>1738</v>
      </c>
      <c r="M2" s="1">
        <v>1757</v>
      </c>
      <c r="N2" s="1">
        <v>1770</v>
      </c>
      <c r="O2" s="1">
        <v>1784</v>
      </c>
      <c r="P2" s="1">
        <v>1794</v>
      </c>
      <c r="Q2" s="1">
        <v>1818</v>
      </c>
      <c r="R2" s="1">
        <v>1818</v>
      </c>
      <c r="S2" s="1">
        <v>1818</v>
      </c>
      <c r="T2" s="1">
        <v>1788</v>
      </c>
      <c r="U2" s="1">
        <v>1815</v>
      </c>
      <c r="V2" s="1">
        <v>1871</v>
      </c>
      <c r="W2" s="1">
        <v>1899</v>
      </c>
      <c r="X2" s="1">
        <v>1920</v>
      </c>
      <c r="Y2" s="1">
        <v>1950</v>
      </c>
    </row>
    <row r="3" spans="2:25" s="2" customFormat="1" x14ac:dyDescent="0.35">
      <c r="C3" s="2" t="s">
        <v>644</v>
      </c>
      <c r="D3" s="2">
        <v>1772</v>
      </c>
      <c r="E3" s="2">
        <v>1781</v>
      </c>
      <c r="F3" s="2">
        <v>1793</v>
      </c>
      <c r="G3" s="2">
        <v>1809</v>
      </c>
      <c r="H3" s="2">
        <v>1818</v>
      </c>
      <c r="I3" s="2">
        <v>1794</v>
      </c>
      <c r="J3" s="2">
        <v>1760</v>
      </c>
      <c r="K3" s="2">
        <v>1769</v>
      </c>
      <c r="L3" s="2">
        <v>1777</v>
      </c>
      <c r="M3" s="2">
        <v>1788</v>
      </c>
      <c r="N3" s="2">
        <v>1798</v>
      </c>
      <c r="O3" s="2">
        <v>1809</v>
      </c>
      <c r="P3" s="2">
        <v>1823</v>
      </c>
      <c r="Q3" s="2">
        <v>1823</v>
      </c>
      <c r="R3" s="2">
        <v>1823</v>
      </c>
      <c r="S3" s="2">
        <v>1823</v>
      </c>
      <c r="T3" s="2">
        <v>1823</v>
      </c>
      <c r="U3" s="2">
        <v>1823</v>
      </c>
      <c r="V3" s="2">
        <v>1823</v>
      </c>
      <c r="W3" s="2">
        <v>1823</v>
      </c>
      <c r="X3" s="2">
        <v>1823</v>
      </c>
      <c r="Y3" s="2">
        <v>1823</v>
      </c>
    </row>
    <row r="4" spans="2:25" s="1" customFormat="1" x14ac:dyDescent="0.35">
      <c r="C4" s="1" t="s">
        <v>670</v>
      </c>
      <c r="D4" s="1">
        <v>1490</v>
      </c>
      <c r="E4" s="1">
        <v>1508</v>
      </c>
      <c r="F4" s="1">
        <v>1524</v>
      </c>
      <c r="G4" s="1">
        <v>1540</v>
      </c>
      <c r="H4" s="1">
        <v>1557</v>
      </c>
      <c r="I4" s="1">
        <v>1596</v>
      </c>
      <c r="J4" s="1">
        <v>1610</v>
      </c>
      <c r="K4" s="1">
        <v>1599</v>
      </c>
      <c r="L4" s="1">
        <v>1580</v>
      </c>
      <c r="M4" s="1">
        <v>1594</v>
      </c>
      <c r="N4" s="1">
        <v>1621</v>
      </c>
      <c r="O4" s="1">
        <v>1639</v>
      </c>
      <c r="P4" s="1">
        <v>1652</v>
      </c>
      <c r="Q4" s="1">
        <v>1693</v>
      </c>
      <c r="R4" s="1">
        <v>1693</v>
      </c>
      <c r="S4" s="1">
        <v>1693</v>
      </c>
      <c r="T4" s="1">
        <v>1731</v>
      </c>
      <c r="U4" s="1">
        <v>1781</v>
      </c>
      <c r="V4" s="1">
        <v>1751</v>
      </c>
      <c r="W4" s="1">
        <v>1784</v>
      </c>
      <c r="X4" s="1">
        <v>1784</v>
      </c>
      <c r="Y4" s="1">
        <v>1784</v>
      </c>
    </row>
    <row r="5" spans="2:25" s="1" customFormat="1" x14ac:dyDescent="0.35">
      <c r="C5" s="1" t="s">
        <v>467</v>
      </c>
      <c r="D5" s="1">
        <v>1664</v>
      </c>
      <c r="E5" s="1">
        <v>1678</v>
      </c>
      <c r="F5" s="1">
        <v>1699</v>
      </c>
      <c r="G5" s="1">
        <v>1719</v>
      </c>
      <c r="H5" s="1">
        <v>1736</v>
      </c>
      <c r="I5" s="1">
        <v>1749</v>
      </c>
      <c r="J5" s="1">
        <v>1760</v>
      </c>
      <c r="K5" s="1">
        <v>1770</v>
      </c>
      <c r="L5" s="1">
        <v>1780</v>
      </c>
      <c r="M5" s="1">
        <v>1793</v>
      </c>
      <c r="N5" s="1">
        <v>1771</v>
      </c>
      <c r="O5" s="1">
        <v>1742</v>
      </c>
      <c r="P5" s="1">
        <v>1760</v>
      </c>
      <c r="Q5" s="1">
        <v>1781</v>
      </c>
      <c r="R5" s="1">
        <v>1781</v>
      </c>
      <c r="S5" s="1">
        <v>1781</v>
      </c>
      <c r="T5" s="1">
        <v>1812</v>
      </c>
      <c r="U5" s="1">
        <v>1833</v>
      </c>
      <c r="V5" s="1">
        <v>1863</v>
      </c>
      <c r="W5" s="1">
        <v>1830</v>
      </c>
      <c r="X5" s="1">
        <v>1809</v>
      </c>
      <c r="Y5" s="1">
        <v>1779</v>
      </c>
    </row>
    <row r="6" spans="2:25" s="1" customFormat="1" x14ac:dyDescent="0.35">
      <c r="C6" s="1" t="s">
        <v>731</v>
      </c>
      <c r="D6" s="1">
        <v>1865</v>
      </c>
      <c r="E6" s="1">
        <v>1873</v>
      </c>
      <c r="F6" s="1">
        <v>1879</v>
      </c>
      <c r="G6" s="1">
        <v>1886</v>
      </c>
      <c r="H6" s="1">
        <v>1894</v>
      </c>
      <c r="I6" s="1">
        <v>1906</v>
      </c>
      <c r="J6" s="1">
        <v>1912</v>
      </c>
      <c r="K6" s="1">
        <v>1918</v>
      </c>
      <c r="L6" s="1">
        <v>1923</v>
      </c>
      <c r="M6" s="1">
        <v>1931</v>
      </c>
      <c r="N6" s="1">
        <v>1908</v>
      </c>
      <c r="O6" s="1">
        <v>1874</v>
      </c>
      <c r="P6" s="1">
        <v>1848</v>
      </c>
      <c r="Q6" s="1">
        <v>1865</v>
      </c>
      <c r="R6" s="1">
        <v>1865</v>
      </c>
      <c r="S6" s="1">
        <v>1865</v>
      </c>
      <c r="T6" s="1">
        <v>1828</v>
      </c>
      <c r="U6" s="1">
        <v>1853</v>
      </c>
      <c r="V6" s="1">
        <v>1797</v>
      </c>
      <c r="W6" s="1">
        <v>1769</v>
      </c>
      <c r="X6" s="1">
        <v>1769</v>
      </c>
      <c r="Y6" s="1">
        <v>1769</v>
      </c>
    </row>
    <row r="7" spans="2:25" s="1" customFormat="1" x14ac:dyDescent="0.35">
      <c r="C7" s="1" t="s">
        <v>746</v>
      </c>
      <c r="D7" s="1">
        <v>1636</v>
      </c>
      <c r="E7" s="1">
        <v>1662</v>
      </c>
      <c r="F7" s="1">
        <v>1678</v>
      </c>
      <c r="G7" s="1">
        <v>1708</v>
      </c>
      <c r="H7" s="1">
        <v>1723</v>
      </c>
      <c r="I7" s="1">
        <v>1734</v>
      </c>
      <c r="J7" s="1">
        <v>1719</v>
      </c>
      <c r="K7" s="1">
        <v>1728</v>
      </c>
      <c r="L7" s="1">
        <v>1746</v>
      </c>
      <c r="M7" s="1">
        <v>1755</v>
      </c>
      <c r="N7" s="1">
        <v>1769</v>
      </c>
      <c r="O7" s="1">
        <v>1780</v>
      </c>
      <c r="P7" s="1">
        <v>1789</v>
      </c>
      <c r="Q7" s="1">
        <v>1748</v>
      </c>
      <c r="R7" s="1">
        <v>1748</v>
      </c>
      <c r="S7" s="1">
        <v>1748</v>
      </c>
      <c r="T7" s="1">
        <v>1785</v>
      </c>
      <c r="U7" s="1">
        <v>1760</v>
      </c>
      <c r="V7" s="1">
        <v>1760</v>
      </c>
      <c r="W7" s="1">
        <v>1760</v>
      </c>
      <c r="X7" s="1">
        <v>1760</v>
      </c>
      <c r="Y7" s="1">
        <v>1760</v>
      </c>
    </row>
    <row r="8" spans="2:25" s="2" customFormat="1" x14ac:dyDescent="0.35">
      <c r="B8" s="1"/>
      <c r="C8" s="1" t="s">
        <v>767</v>
      </c>
      <c r="D8" s="1">
        <v>1578</v>
      </c>
      <c r="E8" s="1">
        <v>1564</v>
      </c>
      <c r="F8" s="1">
        <v>1544</v>
      </c>
      <c r="G8" s="1">
        <v>1561</v>
      </c>
      <c r="H8" s="1">
        <v>1541</v>
      </c>
      <c r="I8" s="1">
        <v>1524</v>
      </c>
      <c r="J8" s="1">
        <v>1543</v>
      </c>
      <c r="K8" s="1">
        <v>1555</v>
      </c>
      <c r="L8" s="1">
        <v>1574</v>
      </c>
      <c r="M8" s="1">
        <v>1594</v>
      </c>
      <c r="N8" s="1">
        <v>1610</v>
      </c>
      <c r="O8" s="1">
        <v>1625</v>
      </c>
      <c r="P8" s="1">
        <v>1643</v>
      </c>
      <c r="Q8" s="1">
        <v>1663</v>
      </c>
      <c r="R8" s="1">
        <v>1712</v>
      </c>
      <c r="S8" s="1">
        <v>1748</v>
      </c>
      <c r="T8" s="1">
        <v>1778</v>
      </c>
      <c r="U8" s="1">
        <v>1751</v>
      </c>
      <c r="V8" s="1">
        <v>1751</v>
      </c>
      <c r="W8" s="1">
        <v>1751</v>
      </c>
      <c r="X8" s="1">
        <v>1751</v>
      </c>
      <c r="Y8" s="1">
        <v>1751</v>
      </c>
    </row>
    <row r="9" spans="2:25" s="2" customFormat="1" x14ac:dyDescent="0.35">
      <c r="C9" s="2" t="s">
        <v>718</v>
      </c>
      <c r="D9" s="2">
        <v>1718</v>
      </c>
      <c r="E9" s="2">
        <v>1698</v>
      </c>
      <c r="F9" s="2">
        <v>1709</v>
      </c>
      <c r="G9" s="2">
        <v>1720</v>
      </c>
      <c r="H9" s="2">
        <v>1695</v>
      </c>
      <c r="I9" s="2">
        <v>1677</v>
      </c>
      <c r="J9" s="2">
        <v>1691</v>
      </c>
      <c r="K9" s="2">
        <v>1704</v>
      </c>
      <c r="L9" s="2">
        <v>1711</v>
      </c>
      <c r="M9" s="2">
        <v>1734</v>
      </c>
      <c r="N9" s="2">
        <v>1745</v>
      </c>
      <c r="O9" s="2">
        <v>1763</v>
      </c>
      <c r="P9" s="2">
        <v>1745</v>
      </c>
      <c r="Q9" s="2">
        <v>1745</v>
      </c>
      <c r="R9" s="2">
        <v>1745</v>
      </c>
      <c r="S9" s="2">
        <v>1745</v>
      </c>
      <c r="T9" s="2">
        <v>1745</v>
      </c>
      <c r="U9" s="2">
        <v>1745</v>
      </c>
      <c r="V9" s="2">
        <v>1745</v>
      </c>
      <c r="W9" s="2">
        <v>1745</v>
      </c>
      <c r="X9" s="2">
        <v>1745</v>
      </c>
      <c r="Y9" s="2">
        <v>1745</v>
      </c>
    </row>
    <row r="10" spans="2:25" s="2" customFormat="1" x14ac:dyDescent="0.35">
      <c r="B10"/>
      <c r="C10" t="s">
        <v>242</v>
      </c>
      <c r="D10">
        <v>1548</v>
      </c>
      <c r="E10" s="2">
        <v>1584</v>
      </c>
      <c r="F10" s="2">
        <v>1611</v>
      </c>
      <c r="G10" s="2">
        <v>1622</v>
      </c>
      <c r="H10" s="2">
        <v>1607</v>
      </c>
      <c r="I10" s="2">
        <v>1642</v>
      </c>
      <c r="J10" s="2">
        <v>1650</v>
      </c>
      <c r="K10" s="2">
        <v>1676</v>
      </c>
      <c r="L10" s="2">
        <v>1657</v>
      </c>
      <c r="M10" s="2">
        <v>1667</v>
      </c>
      <c r="N10" s="2">
        <v>1685</v>
      </c>
      <c r="O10" s="2">
        <v>1710</v>
      </c>
      <c r="P10" s="2">
        <v>1731</v>
      </c>
      <c r="Q10" s="2">
        <v>1731</v>
      </c>
      <c r="R10" s="2">
        <v>1731</v>
      </c>
      <c r="S10" s="2">
        <v>1731</v>
      </c>
      <c r="T10" s="2">
        <v>1731</v>
      </c>
      <c r="U10" s="2">
        <v>1731</v>
      </c>
      <c r="V10" s="2">
        <v>1731</v>
      </c>
      <c r="W10" s="2">
        <v>1731</v>
      </c>
      <c r="X10" s="2">
        <v>1731</v>
      </c>
      <c r="Y10" s="2">
        <v>1731</v>
      </c>
    </row>
    <row r="11" spans="2:25" s="2" customFormat="1" x14ac:dyDescent="0.35">
      <c r="B11" s="1"/>
      <c r="C11" s="1" t="s">
        <v>245</v>
      </c>
      <c r="D11" s="1">
        <v>1614</v>
      </c>
      <c r="E11" s="1">
        <v>1646</v>
      </c>
      <c r="F11" s="1">
        <v>1672</v>
      </c>
      <c r="G11" s="1">
        <v>1691</v>
      </c>
      <c r="H11" s="1">
        <v>1659</v>
      </c>
      <c r="I11" s="1">
        <v>1676</v>
      </c>
      <c r="J11" s="1">
        <v>1689</v>
      </c>
      <c r="K11" s="1">
        <v>1713</v>
      </c>
      <c r="L11" s="1">
        <v>1695</v>
      </c>
      <c r="M11" s="1">
        <v>1714</v>
      </c>
      <c r="N11" s="1">
        <v>1729</v>
      </c>
      <c r="O11" s="1">
        <v>1750</v>
      </c>
      <c r="P11" s="1">
        <v>1762</v>
      </c>
      <c r="Q11" s="1">
        <v>1762</v>
      </c>
      <c r="R11" s="1">
        <v>1693</v>
      </c>
      <c r="S11" s="1">
        <v>1729</v>
      </c>
      <c r="T11" s="1">
        <v>1729</v>
      </c>
      <c r="U11" s="1">
        <v>1729</v>
      </c>
      <c r="V11" s="1">
        <v>1729</v>
      </c>
      <c r="W11" s="1">
        <v>1729</v>
      </c>
      <c r="X11" s="1">
        <v>1729</v>
      </c>
      <c r="Y11" s="1">
        <v>1729</v>
      </c>
    </row>
    <row r="12" spans="2:25" s="2" customFormat="1" x14ac:dyDescent="0.35">
      <c r="C12" s="2" t="s">
        <v>761</v>
      </c>
      <c r="D12" s="2">
        <v>1811</v>
      </c>
      <c r="E12" s="2">
        <v>1788</v>
      </c>
      <c r="F12" s="2">
        <v>1795</v>
      </c>
      <c r="G12" s="2">
        <v>1801</v>
      </c>
      <c r="H12" s="2">
        <v>1816</v>
      </c>
      <c r="I12" s="2">
        <v>1776</v>
      </c>
      <c r="J12" s="2">
        <v>1782</v>
      </c>
      <c r="K12" s="2">
        <v>1792</v>
      </c>
      <c r="L12" s="2">
        <v>1799</v>
      </c>
      <c r="M12" s="2">
        <v>1779</v>
      </c>
      <c r="N12" s="2">
        <v>1788</v>
      </c>
      <c r="O12" s="2">
        <v>1749</v>
      </c>
      <c r="P12" s="2">
        <v>1720</v>
      </c>
      <c r="Q12" s="2">
        <v>1720</v>
      </c>
      <c r="R12" s="2">
        <v>1720</v>
      </c>
      <c r="S12" s="2">
        <v>1720</v>
      </c>
      <c r="T12" s="2">
        <v>1720</v>
      </c>
      <c r="U12" s="2">
        <v>1720</v>
      </c>
      <c r="V12" s="2">
        <v>1720</v>
      </c>
      <c r="W12" s="2">
        <v>1720</v>
      </c>
      <c r="X12" s="2">
        <v>1720</v>
      </c>
      <c r="Y12" s="2">
        <v>1720</v>
      </c>
    </row>
    <row r="13" spans="2:25" s="2" customFormat="1" x14ac:dyDescent="0.35">
      <c r="C13" s="2" t="s">
        <v>750</v>
      </c>
      <c r="D13" s="2">
        <v>1705</v>
      </c>
      <c r="E13" s="2">
        <v>1712</v>
      </c>
      <c r="F13" s="2">
        <v>1724</v>
      </c>
      <c r="G13" s="2">
        <v>1740</v>
      </c>
      <c r="H13" s="2">
        <v>1754</v>
      </c>
      <c r="I13" s="2">
        <v>1726</v>
      </c>
      <c r="J13" s="2">
        <v>1741</v>
      </c>
      <c r="K13" s="2">
        <v>1720</v>
      </c>
      <c r="L13" s="2">
        <v>1728</v>
      </c>
      <c r="M13" s="2">
        <v>1742</v>
      </c>
      <c r="N13" s="2">
        <v>1765</v>
      </c>
      <c r="O13" s="2">
        <v>1747</v>
      </c>
      <c r="P13" s="2">
        <v>1719</v>
      </c>
      <c r="Q13" s="2">
        <v>1719</v>
      </c>
      <c r="R13" s="2">
        <v>1719</v>
      </c>
      <c r="S13" s="2">
        <v>1719</v>
      </c>
      <c r="T13" s="2">
        <v>1719</v>
      </c>
      <c r="U13" s="2">
        <v>1719</v>
      </c>
      <c r="V13" s="2">
        <v>1719</v>
      </c>
      <c r="W13" s="2">
        <v>1719</v>
      </c>
      <c r="X13" s="2">
        <v>1719</v>
      </c>
      <c r="Y13" s="2">
        <v>1719</v>
      </c>
    </row>
    <row r="14" spans="2:25" s="2" customFormat="1" x14ac:dyDescent="0.35">
      <c r="B14"/>
      <c r="C14" t="s">
        <v>1157</v>
      </c>
      <c r="D14">
        <v>1600</v>
      </c>
      <c r="E14" s="2">
        <v>1618</v>
      </c>
      <c r="F14" s="2">
        <v>1638</v>
      </c>
      <c r="G14" s="2">
        <v>1624</v>
      </c>
      <c r="H14" s="2">
        <v>1644</v>
      </c>
      <c r="I14" s="2">
        <v>1663</v>
      </c>
      <c r="J14" s="2">
        <v>1675</v>
      </c>
      <c r="K14" s="2">
        <v>1691</v>
      </c>
      <c r="L14" s="2">
        <v>1712</v>
      </c>
      <c r="M14" s="2">
        <v>1727</v>
      </c>
      <c r="N14" s="2">
        <v>1744</v>
      </c>
      <c r="O14" s="2">
        <v>1720</v>
      </c>
      <c r="P14" s="2">
        <v>1730</v>
      </c>
      <c r="Q14" s="2">
        <v>1697</v>
      </c>
      <c r="R14" s="2">
        <v>1697</v>
      </c>
      <c r="S14" s="2">
        <v>1697</v>
      </c>
      <c r="T14" s="2">
        <v>1697</v>
      </c>
      <c r="U14" s="2">
        <v>1697</v>
      </c>
      <c r="V14" s="2">
        <v>1697</v>
      </c>
      <c r="W14" s="2">
        <v>1697</v>
      </c>
      <c r="X14" s="2">
        <v>1697</v>
      </c>
      <c r="Y14" s="2">
        <v>1697</v>
      </c>
    </row>
    <row r="15" spans="2:25" s="2" customFormat="1" x14ac:dyDescent="0.35">
      <c r="C15" s="2" t="s">
        <v>648</v>
      </c>
      <c r="D15" s="2">
        <v>1696</v>
      </c>
      <c r="E15" s="2">
        <v>1709</v>
      </c>
      <c r="F15" s="2">
        <v>1717</v>
      </c>
      <c r="G15" s="2">
        <v>1687</v>
      </c>
      <c r="H15" s="2">
        <v>1668</v>
      </c>
      <c r="I15" s="2">
        <v>1677</v>
      </c>
      <c r="J15" s="2">
        <v>1692</v>
      </c>
      <c r="K15" s="2">
        <v>1704</v>
      </c>
      <c r="L15" s="2">
        <v>1723</v>
      </c>
      <c r="M15" s="2">
        <v>1737</v>
      </c>
      <c r="N15" s="2">
        <v>1746</v>
      </c>
      <c r="O15" s="2">
        <v>1724</v>
      </c>
      <c r="P15" s="2">
        <v>1687</v>
      </c>
      <c r="Q15" s="2">
        <v>1687</v>
      </c>
      <c r="R15" s="2">
        <v>1687</v>
      </c>
      <c r="S15" s="2">
        <v>1687</v>
      </c>
      <c r="T15" s="2">
        <v>1687</v>
      </c>
      <c r="U15" s="2">
        <v>1687</v>
      </c>
      <c r="V15" s="2">
        <v>1687</v>
      </c>
      <c r="W15" s="2">
        <v>1687</v>
      </c>
      <c r="X15" s="2">
        <v>1687</v>
      </c>
      <c r="Y15" s="2">
        <v>1687</v>
      </c>
    </row>
    <row r="16" spans="2:25" s="1" customFormat="1" x14ac:dyDescent="0.35">
      <c r="B16"/>
      <c r="C16" t="s">
        <v>785</v>
      </c>
      <c r="D16">
        <v>1551</v>
      </c>
      <c r="E16" s="2">
        <v>1595</v>
      </c>
      <c r="F16" s="2">
        <v>1618</v>
      </c>
      <c r="G16" s="2">
        <v>1643</v>
      </c>
      <c r="H16" s="2">
        <v>1668</v>
      </c>
      <c r="I16" s="2">
        <v>1655</v>
      </c>
      <c r="J16" s="2">
        <v>1666</v>
      </c>
      <c r="K16" s="2">
        <v>1682</v>
      </c>
      <c r="L16" s="2">
        <v>1703</v>
      </c>
      <c r="M16" s="2">
        <v>1711</v>
      </c>
      <c r="N16" s="2">
        <v>1729</v>
      </c>
      <c r="O16" s="2">
        <v>1711</v>
      </c>
      <c r="P16" s="2">
        <v>1681</v>
      </c>
      <c r="Q16" s="2">
        <v>1681</v>
      </c>
      <c r="R16" s="2">
        <v>1681</v>
      </c>
      <c r="S16" s="2">
        <v>1681</v>
      </c>
      <c r="T16" s="2">
        <v>1681</v>
      </c>
      <c r="U16" s="2">
        <v>1681</v>
      </c>
      <c r="V16" s="2">
        <v>1681</v>
      </c>
      <c r="W16" s="2">
        <v>1681</v>
      </c>
      <c r="X16" s="2">
        <v>1681</v>
      </c>
      <c r="Y16" s="2">
        <v>1681</v>
      </c>
    </row>
    <row r="17" spans="2:25" s="2" customFormat="1" x14ac:dyDescent="0.35">
      <c r="B17"/>
      <c r="C17" t="s">
        <v>734</v>
      </c>
      <c r="D17">
        <v>1593</v>
      </c>
      <c r="E17" s="2">
        <v>1612</v>
      </c>
      <c r="F17" s="2">
        <v>1587</v>
      </c>
      <c r="G17" s="2">
        <v>1615</v>
      </c>
      <c r="H17" s="2">
        <v>1634</v>
      </c>
      <c r="I17" s="2">
        <v>1658</v>
      </c>
      <c r="J17" s="2">
        <v>1652</v>
      </c>
      <c r="K17" s="2">
        <v>1679</v>
      </c>
      <c r="L17" s="2">
        <v>1692</v>
      </c>
      <c r="M17" s="2">
        <v>1660</v>
      </c>
      <c r="N17" s="2">
        <v>1633</v>
      </c>
      <c r="O17" s="2">
        <v>1659</v>
      </c>
      <c r="P17" s="2">
        <v>1675</v>
      </c>
      <c r="Q17" s="2">
        <v>1675</v>
      </c>
      <c r="R17" s="2">
        <v>1675</v>
      </c>
      <c r="S17" s="2">
        <v>1675</v>
      </c>
      <c r="T17" s="2">
        <v>1675</v>
      </c>
      <c r="U17" s="2">
        <v>1675</v>
      </c>
      <c r="V17" s="2">
        <v>1675</v>
      </c>
      <c r="W17" s="2">
        <v>1675</v>
      </c>
      <c r="X17" s="2">
        <v>1675</v>
      </c>
      <c r="Y17" s="2">
        <v>1675</v>
      </c>
    </row>
    <row r="18" spans="2:25" s="2" customFormat="1" x14ac:dyDescent="0.35">
      <c r="B18"/>
      <c r="C18" t="s">
        <v>1158</v>
      </c>
      <c r="D18">
        <v>1600</v>
      </c>
      <c r="E18" s="2">
        <v>1582</v>
      </c>
      <c r="F18" s="2">
        <v>1562</v>
      </c>
      <c r="G18" s="2">
        <v>1548</v>
      </c>
      <c r="H18" s="2">
        <v>1565</v>
      </c>
      <c r="I18" s="2">
        <v>1587</v>
      </c>
      <c r="J18" s="2">
        <v>1573</v>
      </c>
      <c r="K18" s="2">
        <v>1597</v>
      </c>
      <c r="L18" s="2">
        <v>1611</v>
      </c>
      <c r="M18" s="2">
        <v>1627</v>
      </c>
      <c r="N18" s="2">
        <v>1645</v>
      </c>
      <c r="O18" s="2">
        <v>1659</v>
      </c>
      <c r="P18" s="2">
        <v>1672</v>
      </c>
      <c r="Q18" s="2">
        <v>1672</v>
      </c>
      <c r="R18" s="2">
        <v>1672</v>
      </c>
      <c r="S18" s="2">
        <v>1672</v>
      </c>
      <c r="T18" s="2">
        <v>1672</v>
      </c>
      <c r="U18" s="2">
        <v>1672</v>
      </c>
      <c r="V18" s="2">
        <v>1672</v>
      </c>
      <c r="W18" s="2">
        <v>1672</v>
      </c>
      <c r="X18" s="2">
        <v>1672</v>
      </c>
      <c r="Y18" s="2">
        <v>1672</v>
      </c>
    </row>
    <row r="19" spans="2:25" s="2" customFormat="1" x14ac:dyDescent="0.35">
      <c r="B19"/>
      <c r="C19" t="s">
        <v>1165</v>
      </c>
      <c r="D19">
        <v>1600</v>
      </c>
      <c r="E19" s="2">
        <v>1582</v>
      </c>
      <c r="F19" s="2">
        <v>1569</v>
      </c>
      <c r="G19" s="2">
        <v>1583</v>
      </c>
      <c r="H19" s="2">
        <v>1601</v>
      </c>
      <c r="I19" s="2">
        <v>1610</v>
      </c>
      <c r="J19" s="2">
        <v>1624</v>
      </c>
      <c r="K19" s="2">
        <v>1633</v>
      </c>
      <c r="L19" s="2">
        <v>1649</v>
      </c>
      <c r="M19" s="2">
        <v>1664</v>
      </c>
      <c r="N19" s="2">
        <v>1675</v>
      </c>
      <c r="O19" s="2">
        <v>1660</v>
      </c>
      <c r="P19" s="2">
        <v>1671</v>
      </c>
      <c r="Q19" s="2">
        <v>1671</v>
      </c>
      <c r="R19" s="2">
        <v>1671</v>
      </c>
      <c r="S19" s="2">
        <v>1671</v>
      </c>
      <c r="T19" s="2">
        <v>1671</v>
      </c>
      <c r="U19" s="2">
        <v>1671</v>
      </c>
      <c r="V19" s="2">
        <v>1671</v>
      </c>
      <c r="W19" s="2">
        <v>1671</v>
      </c>
      <c r="X19" s="2">
        <v>1671</v>
      </c>
      <c r="Y19" s="2">
        <v>1671</v>
      </c>
    </row>
    <row r="20" spans="2:25" x14ac:dyDescent="0.35">
      <c r="C20" t="s">
        <v>1164</v>
      </c>
      <c r="D20">
        <v>1600</v>
      </c>
      <c r="E20" s="2">
        <v>1619</v>
      </c>
      <c r="F20" s="2">
        <v>1638</v>
      </c>
      <c r="G20" s="2">
        <v>1651</v>
      </c>
      <c r="H20" s="2">
        <v>1622</v>
      </c>
      <c r="I20" s="2">
        <v>1644</v>
      </c>
      <c r="J20" s="2">
        <v>1656</v>
      </c>
      <c r="K20" s="2">
        <v>1643</v>
      </c>
      <c r="L20" s="2">
        <v>1627</v>
      </c>
      <c r="M20" s="2">
        <v>1638</v>
      </c>
      <c r="N20" s="2">
        <v>1658</v>
      </c>
      <c r="O20" s="2">
        <v>1687</v>
      </c>
      <c r="P20" s="2">
        <v>1665</v>
      </c>
      <c r="Q20" s="2">
        <v>1665</v>
      </c>
      <c r="R20" s="2">
        <v>1665</v>
      </c>
      <c r="S20" s="2">
        <v>1665</v>
      </c>
      <c r="T20" s="2">
        <v>1665</v>
      </c>
      <c r="U20" s="2">
        <v>1665</v>
      </c>
      <c r="V20" s="2">
        <v>1665</v>
      </c>
      <c r="W20" s="2">
        <v>1665</v>
      </c>
      <c r="X20" s="2">
        <v>1665</v>
      </c>
      <c r="Y20" s="2">
        <v>1665</v>
      </c>
    </row>
    <row r="21" spans="2:25" s="1" customFormat="1" x14ac:dyDescent="0.35">
      <c r="C21" s="1" t="s">
        <v>720</v>
      </c>
      <c r="D21" s="1">
        <v>1660</v>
      </c>
      <c r="E21" s="1">
        <v>1680</v>
      </c>
      <c r="F21" s="1">
        <v>1690</v>
      </c>
      <c r="G21" s="1">
        <v>1703</v>
      </c>
      <c r="H21" s="1">
        <v>1717</v>
      </c>
      <c r="I21" s="1">
        <v>1733</v>
      </c>
      <c r="J21" s="1">
        <v>1767</v>
      </c>
      <c r="K21" s="1">
        <v>1778</v>
      </c>
      <c r="L21" s="1">
        <v>1790</v>
      </c>
      <c r="M21" s="1">
        <v>1802</v>
      </c>
      <c r="N21" s="1">
        <v>1785</v>
      </c>
      <c r="O21" s="1">
        <v>1760</v>
      </c>
      <c r="P21" s="1">
        <v>1772</v>
      </c>
      <c r="Q21" s="1">
        <v>1748</v>
      </c>
      <c r="R21" s="1">
        <v>1748</v>
      </c>
      <c r="S21" s="1">
        <v>1748</v>
      </c>
      <c r="T21" s="1">
        <v>1710</v>
      </c>
      <c r="U21" s="1">
        <v>1660</v>
      </c>
      <c r="V21" s="1">
        <v>1660</v>
      </c>
      <c r="W21" s="1">
        <v>1660</v>
      </c>
      <c r="X21" s="1">
        <v>1660</v>
      </c>
      <c r="Y21" s="1">
        <v>1660</v>
      </c>
    </row>
    <row r="22" spans="2:25" s="1" customFormat="1" x14ac:dyDescent="0.35">
      <c r="B22"/>
      <c r="C22" t="s">
        <v>747</v>
      </c>
      <c r="D22">
        <v>1599</v>
      </c>
      <c r="E22" s="2">
        <v>1576</v>
      </c>
      <c r="F22" s="2">
        <v>1590</v>
      </c>
      <c r="G22" s="2">
        <v>1623</v>
      </c>
      <c r="H22" s="2">
        <v>1641</v>
      </c>
      <c r="I22" s="2">
        <v>1652</v>
      </c>
      <c r="J22" s="2">
        <v>1674</v>
      </c>
      <c r="K22" s="2">
        <v>1684</v>
      </c>
      <c r="L22" s="2">
        <v>1665</v>
      </c>
      <c r="M22" s="2">
        <v>1642</v>
      </c>
      <c r="N22" s="2">
        <v>1665</v>
      </c>
      <c r="O22" s="2">
        <v>1647</v>
      </c>
      <c r="P22" s="2">
        <v>1659</v>
      </c>
      <c r="Q22" s="2">
        <v>1659</v>
      </c>
      <c r="R22" s="2">
        <v>1659</v>
      </c>
      <c r="S22" s="2">
        <v>1659</v>
      </c>
      <c r="T22" s="2">
        <v>1659</v>
      </c>
      <c r="U22" s="2">
        <v>1659</v>
      </c>
      <c r="V22" s="2">
        <v>1659</v>
      </c>
      <c r="W22" s="2">
        <v>1659</v>
      </c>
      <c r="X22" s="2">
        <v>1659</v>
      </c>
      <c r="Y22" s="2">
        <v>1659</v>
      </c>
    </row>
    <row r="23" spans="2:25" x14ac:dyDescent="0.35">
      <c r="C23" t="s">
        <v>468</v>
      </c>
      <c r="D23">
        <v>1600</v>
      </c>
      <c r="E23" s="2">
        <v>1614</v>
      </c>
      <c r="F23" s="2">
        <v>1627</v>
      </c>
      <c r="G23" s="2">
        <v>1646</v>
      </c>
      <c r="H23" s="2">
        <v>1626</v>
      </c>
      <c r="I23" s="2">
        <v>1639</v>
      </c>
      <c r="J23" s="2">
        <v>1653</v>
      </c>
      <c r="K23" s="2">
        <v>1665</v>
      </c>
      <c r="L23" s="2">
        <v>1682</v>
      </c>
      <c r="M23" s="2">
        <v>1697</v>
      </c>
      <c r="N23" s="2">
        <v>1702</v>
      </c>
      <c r="O23" s="2">
        <v>1673</v>
      </c>
      <c r="P23" s="2">
        <v>1656</v>
      </c>
      <c r="Q23" s="2">
        <v>1656</v>
      </c>
      <c r="R23" s="2">
        <v>1656</v>
      </c>
      <c r="S23" s="2">
        <v>1656</v>
      </c>
      <c r="T23" s="2">
        <v>1656</v>
      </c>
      <c r="U23" s="2">
        <v>1656</v>
      </c>
      <c r="V23" s="2">
        <v>1656</v>
      </c>
      <c r="W23" s="2">
        <v>1656</v>
      </c>
      <c r="X23" s="2">
        <v>1656</v>
      </c>
      <c r="Y23" s="2">
        <v>1656</v>
      </c>
    </row>
    <row r="24" spans="2:25" s="1" customFormat="1" x14ac:dyDescent="0.35">
      <c r="B24" s="2"/>
      <c r="C24" s="2" t="s">
        <v>649</v>
      </c>
      <c r="D24" s="2">
        <v>1657</v>
      </c>
      <c r="E24" s="2">
        <v>1670</v>
      </c>
      <c r="F24" s="2">
        <v>1664</v>
      </c>
      <c r="G24" s="2">
        <v>1676</v>
      </c>
      <c r="H24" s="2">
        <v>1698</v>
      </c>
      <c r="I24" s="2">
        <v>1680</v>
      </c>
      <c r="J24" s="2">
        <v>1661</v>
      </c>
      <c r="K24" s="2">
        <v>1673</v>
      </c>
      <c r="L24" s="2">
        <v>1685</v>
      </c>
      <c r="M24" s="2">
        <v>1667</v>
      </c>
      <c r="N24" s="2">
        <v>1658</v>
      </c>
      <c r="O24" s="2">
        <v>1642</v>
      </c>
      <c r="P24" s="2">
        <v>1652</v>
      </c>
      <c r="Q24" s="2">
        <v>1652</v>
      </c>
      <c r="R24" s="2">
        <v>1652</v>
      </c>
      <c r="S24" s="2">
        <v>1652</v>
      </c>
      <c r="T24" s="2">
        <v>1652</v>
      </c>
      <c r="U24" s="2">
        <v>1652</v>
      </c>
      <c r="V24" s="2">
        <v>1652</v>
      </c>
      <c r="W24" s="2">
        <v>1652</v>
      </c>
      <c r="X24" s="2">
        <v>1652</v>
      </c>
      <c r="Y24" s="2">
        <v>1652</v>
      </c>
    </row>
    <row r="25" spans="2:25" x14ac:dyDescent="0.35">
      <c r="B25" s="2"/>
      <c r="C25" s="2" t="s">
        <v>757</v>
      </c>
      <c r="D25" s="2">
        <v>1656</v>
      </c>
      <c r="E25" s="2">
        <v>1643</v>
      </c>
      <c r="F25" s="2">
        <v>1663</v>
      </c>
      <c r="G25" s="2">
        <v>1652</v>
      </c>
      <c r="H25" s="2">
        <v>1670</v>
      </c>
      <c r="I25" s="2">
        <v>1651</v>
      </c>
      <c r="J25" s="2">
        <v>1672</v>
      </c>
      <c r="K25" s="2">
        <v>1684</v>
      </c>
      <c r="L25" s="2">
        <v>1650</v>
      </c>
      <c r="M25" s="2">
        <v>1667</v>
      </c>
      <c r="N25" s="2">
        <v>1637</v>
      </c>
      <c r="O25" s="2">
        <v>1617</v>
      </c>
      <c r="P25" s="2">
        <v>1648</v>
      </c>
      <c r="Q25" s="2">
        <v>1648</v>
      </c>
      <c r="R25" s="2">
        <v>1648</v>
      </c>
      <c r="S25" s="2">
        <v>1648</v>
      </c>
      <c r="T25" s="2">
        <v>1648</v>
      </c>
      <c r="U25" s="2">
        <v>1648</v>
      </c>
      <c r="V25" s="2">
        <v>1648</v>
      </c>
      <c r="W25" s="2">
        <v>1648</v>
      </c>
      <c r="X25" s="2">
        <v>1648</v>
      </c>
      <c r="Y25" s="2">
        <v>1648</v>
      </c>
    </row>
    <row r="26" spans="2:25" x14ac:dyDescent="0.35">
      <c r="B26" s="1"/>
      <c r="C26" s="1" t="s">
        <v>681</v>
      </c>
      <c r="D26" s="1">
        <v>1600</v>
      </c>
      <c r="E26" s="1">
        <v>1618</v>
      </c>
      <c r="F26" s="1">
        <v>1641</v>
      </c>
      <c r="G26" s="1">
        <v>1655</v>
      </c>
      <c r="H26" s="1">
        <v>1673</v>
      </c>
      <c r="I26" s="1">
        <v>1661</v>
      </c>
      <c r="J26" s="1">
        <v>1635</v>
      </c>
      <c r="K26" s="1">
        <v>1625</v>
      </c>
      <c r="L26" s="1">
        <v>1637</v>
      </c>
      <c r="M26" s="1">
        <v>1613</v>
      </c>
      <c r="N26" s="1">
        <v>1589</v>
      </c>
      <c r="O26" s="1">
        <v>1606</v>
      </c>
      <c r="P26" s="1">
        <v>1628</v>
      </c>
      <c r="Q26" s="1">
        <v>1661</v>
      </c>
      <c r="R26" s="1">
        <v>1730</v>
      </c>
      <c r="S26" s="1">
        <v>1694</v>
      </c>
      <c r="T26" s="1">
        <v>1663</v>
      </c>
      <c r="U26" s="1">
        <v>1642</v>
      </c>
      <c r="V26" s="1">
        <v>1642</v>
      </c>
      <c r="W26" s="1">
        <v>1642</v>
      </c>
      <c r="X26" s="1">
        <v>1642</v>
      </c>
      <c r="Y26" s="1">
        <v>1642</v>
      </c>
    </row>
    <row r="27" spans="2:25" x14ac:dyDescent="0.35">
      <c r="B27" s="2"/>
      <c r="C27" s="2" t="s">
        <v>780</v>
      </c>
      <c r="D27" s="2">
        <v>1679</v>
      </c>
      <c r="E27" s="2">
        <v>1687</v>
      </c>
      <c r="F27" s="2">
        <v>1661</v>
      </c>
      <c r="G27" s="2">
        <v>1640</v>
      </c>
      <c r="H27" s="2">
        <v>1651</v>
      </c>
      <c r="I27" s="2">
        <v>1665</v>
      </c>
      <c r="J27" s="2">
        <v>1654</v>
      </c>
      <c r="K27" s="2">
        <v>1664</v>
      </c>
      <c r="L27" s="2">
        <v>1643</v>
      </c>
      <c r="M27" s="2">
        <v>1620</v>
      </c>
      <c r="N27" s="2">
        <v>1605</v>
      </c>
      <c r="O27" s="2">
        <v>1621</v>
      </c>
      <c r="P27" s="2">
        <v>1639</v>
      </c>
      <c r="Q27" s="2">
        <v>1639</v>
      </c>
      <c r="R27" s="2">
        <v>1639</v>
      </c>
      <c r="S27" s="2">
        <v>1639</v>
      </c>
      <c r="T27" s="2">
        <v>1639</v>
      </c>
      <c r="U27" s="2">
        <v>1639</v>
      </c>
      <c r="V27" s="2">
        <v>1639</v>
      </c>
      <c r="W27" s="2">
        <v>1639</v>
      </c>
      <c r="X27" s="2">
        <v>1639</v>
      </c>
      <c r="Y27" s="2">
        <v>1639</v>
      </c>
    </row>
    <row r="28" spans="2:25" x14ac:dyDescent="0.35">
      <c r="C28" t="s">
        <v>642</v>
      </c>
      <c r="D28">
        <v>1642</v>
      </c>
      <c r="E28" s="2">
        <v>1624</v>
      </c>
      <c r="F28" s="2">
        <v>1637</v>
      </c>
      <c r="G28" s="2">
        <v>1653</v>
      </c>
      <c r="H28" s="2">
        <v>1668</v>
      </c>
      <c r="I28" s="2">
        <v>1639</v>
      </c>
      <c r="J28" s="2">
        <v>1614</v>
      </c>
      <c r="K28" s="2">
        <v>1630</v>
      </c>
      <c r="L28" s="2">
        <v>1644</v>
      </c>
      <c r="M28" s="2">
        <v>1653</v>
      </c>
      <c r="N28" s="2">
        <v>1622</v>
      </c>
      <c r="O28" s="2">
        <v>1602</v>
      </c>
      <c r="P28" s="2">
        <v>1639</v>
      </c>
      <c r="Q28" s="2">
        <v>1639</v>
      </c>
      <c r="R28" s="2">
        <v>1639</v>
      </c>
      <c r="S28" s="2">
        <v>1639</v>
      </c>
      <c r="T28" s="2">
        <v>1639</v>
      </c>
      <c r="U28" s="2">
        <v>1639</v>
      </c>
      <c r="V28" s="2">
        <v>1639</v>
      </c>
      <c r="W28" s="2">
        <v>1639</v>
      </c>
      <c r="X28" s="2">
        <v>1639</v>
      </c>
      <c r="Y28" s="2">
        <v>1639</v>
      </c>
    </row>
    <row r="29" spans="2:25" x14ac:dyDescent="0.35">
      <c r="C29" t="s">
        <v>676</v>
      </c>
      <c r="D29">
        <v>1642</v>
      </c>
      <c r="E29" s="2">
        <v>1650</v>
      </c>
      <c r="F29" s="2">
        <v>1668</v>
      </c>
      <c r="G29" s="2">
        <v>1678</v>
      </c>
      <c r="H29" s="2">
        <v>1696</v>
      </c>
      <c r="I29" s="2">
        <v>1708</v>
      </c>
      <c r="J29" s="2">
        <v>1684</v>
      </c>
      <c r="K29" s="2">
        <v>1698</v>
      </c>
      <c r="L29" s="2">
        <v>1680</v>
      </c>
      <c r="M29" s="2">
        <v>1660</v>
      </c>
      <c r="N29" s="2">
        <v>1642</v>
      </c>
      <c r="O29" s="2">
        <v>1657</v>
      </c>
      <c r="P29" s="2">
        <v>1638</v>
      </c>
      <c r="Q29" s="2">
        <v>1638</v>
      </c>
      <c r="R29" s="2">
        <v>1638</v>
      </c>
      <c r="S29" s="2">
        <v>1638</v>
      </c>
      <c r="T29" s="2">
        <v>1638</v>
      </c>
      <c r="U29" s="2">
        <v>1638</v>
      </c>
      <c r="V29" s="2">
        <v>1638</v>
      </c>
      <c r="W29" s="2">
        <v>1638</v>
      </c>
      <c r="X29" s="2">
        <v>1638</v>
      </c>
      <c r="Y29" s="2">
        <v>1638</v>
      </c>
    </row>
    <row r="30" spans="2:25" x14ac:dyDescent="0.35">
      <c r="C30" t="s">
        <v>661</v>
      </c>
      <c r="D30">
        <v>1574</v>
      </c>
      <c r="E30" s="2">
        <v>1555</v>
      </c>
      <c r="F30" s="2">
        <v>1573</v>
      </c>
      <c r="G30" s="2">
        <v>1583</v>
      </c>
      <c r="H30" s="2">
        <v>1575</v>
      </c>
      <c r="I30" s="2">
        <v>1590</v>
      </c>
      <c r="J30" s="2">
        <v>1552</v>
      </c>
      <c r="K30" s="2">
        <v>1566</v>
      </c>
      <c r="L30" s="2">
        <v>1589</v>
      </c>
      <c r="M30" s="2">
        <v>1573</v>
      </c>
      <c r="N30" s="2">
        <v>1604</v>
      </c>
      <c r="O30" s="2">
        <v>1622</v>
      </c>
      <c r="P30" s="2">
        <v>1634</v>
      </c>
      <c r="Q30" s="2">
        <v>1634</v>
      </c>
      <c r="R30" s="2">
        <v>1634</v>
      </c>
      <c r="S30" s="2">
        <v>1634</v>
      </c>
      <c r="T30" s="2">
        <v>1634</v>
      </c>
      <c r="U30" s="2">
        <v>1634</v>
      </c>
      <c r="V30" s="2">
        <v>1634</v>
      </c>
      <c r="W30" s="2">
        <v>1634</v>
      </c>
      <c r="X30" s="2">
        <v>1634</v>
      </c>
      <c r="Y30" s="2">
        <v>1634</v>
      </c>
    </row>
    <row r="31" spans="2:25" x14ac:dyDescent="0.35">
      <c r="B31" s="2"/>
      <c r="C31" s="2" t="s">
        <v>778</v>
      </c>
      <c r="D31" s="2">
        <v>1611</v>
      </c>
      <c r="E31" s="2">
        <v>1624</v>
      </c>
      <c r="F31" s="2">
        <v>1637</v>
      </c>
      <c r="G31" s="2">
        <v>1624</v>
      </c>
      <c r="H31" s="2">
        <v>1656</v>
      </c>
      <c r="I31" s="2">
        <v>1628</v>
      </c>
      <c r="J31" s="2">
        <v>1611</v>
      </c>
      <c r="K31" s="2">
        <v>1628</v>
      </c>
      <c r="L31" s="2">
        <v>1598</v>
      </c>
      <c r="M31" s="2">
        <v>1579</v>
      </c>
      <c r="N31" s="2">
        <v>1603</v>
      </c>
      <c r="O31" s="2">
        <v>1613</v>
      </c>
      <c r="P31" s="2">
        <v>1627</v>
      </c>
      <c r="Q31" s="2">
        <v>1627</v>
      </c>
      <c r="R31" s="2">
        <v>1627</v>
      </c>
      <c r="S31" s="2">
        <v>1627</v>
      </c>
      <c r="T31" s="2">
        <v>1627</v>
      </c>
      <c r="U31" s="2">
        <v>1627</v>
      </c>
      <c r="V31" s="2">
        <v>1627</v>
      </c>
      <c r="W31" s="2">
        <v>1627</v>
      </c>
      <c r="X31" s="2">
        <v>1627</v>
      </c>
      <c r="Y31" s="2">
        <v>1627</v>
      </c>
    </row>
    <row r="32" spans="2:25" s="2" customFormat="1" x14ac:dyDescent="0.35">
      <c r="C32" s="2" t="s">
        <v>673</v>
      </c>
      <c r="D32" s="2">
        <v>1735</v>
      </c>
      <c r="E32" s="2">
        <v>1712</v>
      </c>
      <c r="F32" s="2">
        <v>1672</v>
      </c>
      <c r="G32" s="2">
        <v>1693</v>
      </c>
      <c r="H32" s="2">
        <v>1673</v>
      </c>
      <c r="I32" s="2">
        <v>1691</v>
      </c>
      <c r="J32" s="2">
        <v>1669</v>
      </c>
      <c r="K32" s="2">
        <v>1651</v>
      </c>
      <c r="L32" s="2">
        <v>1632</v>
      </c>
      <c r="M32" s="2">
        <v>1615</v>
      </c>
      <c r="N32" s="2">
        <v>1593</v>
      </c>
      <c r="O32" s="2">
        <v>1610</v>
      </c>
      <c r="P32" s="2">
        <v>1627</v>
      </c>
      <c r="Q32" s="2">
        <v>1627</v>
      </c>
      <c r="R32" s="2">
        <v>1627</v>
      </c>
      <c r="S32" s="2">
        <v>1627</v>
      </c>
      <c r="T32" s="2">
        <v>1627</v>
      </c>
      <c r="U32" s="2">
        <v>1627</v>
      </c>
      <c r="V32" s="2">
        <v>1627</v>
      </c>
      <c r="W32" s="2">
        <v>1627</v>
      </c>
      <c r="X32" s="2">
        <v>1627</v>
      </c>
      <c r="Y32" s="2">
        <v>1627</v>
      </c>
    </row>
    <row r="33" spans="2:25" x14ac:dyDescent="0.35">
      <c r="B33" s="2"/>
      <c r="C33" s="2" t="s">
        <v>784</v>
      </c>
      <c r="D33" s="2">
        <v>1668</v>
      </c>
      <c r="E33" s="2">
        <v>1636</v>
      </c>
      <c r="F33" s="2">
        <v>1616</v>
      </c>
      <c r="G33" s="2">
        <v>1600</v>
      </c>
      <c r="H33" s="2">
        <v>1579</v>
      </c>
      <c r="I33" s="2">
        <v>1564</v>
      </c>
      <c r="J33" s="2">
        <v>1581</v>
      </c>
      <c r="K33" s="2">
        <v>1594</v>
      </c>
      <c r="L33" s="2">
        <v>1616</v>
      </c>
      <c r="M33" s="2">
        <v>1637</v>
      </c>
      <c r="N33" s="2">
        <v>1613</v>
      </c>
      <c r="O33" s="2">
        <v>1634</v>
      </c>
      <c r="P33" s="2">
        <v>1624</v>
      </c>
      <c r="Q33" s="2">
        <v>1624</v>
      </c>
      <c r="R33" s="2">
        <v>1624</v>
      </c>
      <c r="S33" s="2">
        <v>1624</v>
      </c>
      <c r="T33" s="2">
        <v>1624</v>
      </c>
      <c r="U33" s="2">
        <v>1624</v>
      </c>
      <c r="V33" s="2">
        <v>1624</v>
      </c>
      <c r="W33" s="2">
        <v>1624</v>
      </c>
      <c r="X33" s="2">
        <v>1624</v>
      </c>
      <c r="Y33" s="2">
        <v>1624</v>
      </c>
    </row>
    <row r="34" spans="2:25" x14ac:dyDescent="0.35">
      <c r="C34" t="s">
        <v>765</v>
      </c>
      <c r="D34">
        <v>1614</v>
      </c>
      <c r="E34" s="2">
        <v>1631</v>
      </c>
      <c r="F34" s="2">
        <v>1641</v>
      </c>
      <c r="G34" s="2">
        <v>1628</v>
      </c>
      <c r="H34" s="2">
        <v>1644</v>
      </c>
      <c r="I34" s="2">
        <v>1656</v>
      </c>
      <c r="J34" s="2">
        <v>1637</v>
      </c>
      <c r="K34" s="2">
        <v>1611</v>
      </c>
      <c r="L34" s="2">
        <v>1618</v>
      </c>
      <c r="M34" s="2">
        <v>1598</v>
      </c>
      <c r="N34" s="2">
        <v>1608</v>
      </c>
      <c r="O34" s="2">
        <v>1592</v>
      </c>
      <c r="P34" s="2">
        <v>1621</v>
      </c>
      <c r="Q34" s="2">
        <v>1621</v>
      </c>
      <c r="R34" s="2">
        <v>1621</v>
      </c>
      <c r="S34" s="2">
        <v>1621</v>
      </c>
      <c r="T34" s="2">
        <v>1621</v>
      </c>
      <c r="U34" s="2">
        <v>1621</v>
      </c>
      <c r="V34" s="2">
        <v>1621</v>
      </c>
      <c r="W34" s="2">
        <v>1621</v>
      </c>
      <c r="X34" s="2">
        <v>1621</v>
      </c>
      <c r="Y34" s="2">
        <v>1621</v>
      </c>
    </row>
    <row r="35" spans="2:25" x14ac:dyDescent="0.35">
      <c r="C35" t="s">
        <v>641</v>
      </c>
      <c r="D35">
        <v>1629</v>
      </c>
      <c r="E35" s="2">
        <v>1647</v>
      </c>
      <c r="F35" s="2">
        <v>1658</v>
      </c>
      <c r="G35" s="2">
        <v>1625</v>
      </c>
      <c r="H35" s="2">
        <v>1609</v>
      </c>
      <c r="I35" s="2">
        <v>1587</v>
      </c>
      <c r="J35" s="2">
        <v>1572</v>
      </c>
      <c r="K35" s="2">
        <v>1558</v>
      </c>
      <c r="L35" s="2">
        <v>1570</v>
      </c>
      <c r="M35" s="2">
        <v>1602</v>
      </c>
      <c r="N35" s="2">
        <v>1582</v>
      </c>
      <c r="O35" s="2">
        <v>1594</v>
      </c>
      <c r="P35" s="2">
        <v>1620</v>
      </c>
      <c r="Q35" s="2">
        <v>1620</v>
      </c>
      <c r="R35" s="2">
        <v>1620</v>
      </c>
      <c r="S35" s="2">
        <v>1620</v>
      </c>
      <c r="T35" s="2">
        <v>1620</v>
      </c>
      <c r="U35" s="2">
        <v>1620</v>
      </c>
      <c r="V35" s="2">
        <v>1620</v>
      </c>
      <c r="W35" s="2">
        <v>1620</v>
      </c>
      <c r="X35" s="2">
        <v>1620</v>
      </c>
      <c r="Y35" s="2">
        <v>1620</v>
      </c>
    </row>
    <row r="36" spans="2:25" x14ac:dyDescent="0.35">
      <c r="C36" t="s">
        <v>692</v>
      </c>
      <c r="D36">
        <v>1569</v>
      </c>
      <c r="E36" s="2">
        <v>1543</v>
      </c>
      <c r="F36" s="2">
        <v>1567</v>
      </c>
      <c r="G36" s="2">
        <v>1550</v>
      </c>
      <c r="H36" s="2">
        <v>1536</v>
      </c>
      <c r="I36" s="2">
        <v>1524</v>
      </c>
      <c r="J36" s="2">
        <v>1502</v>
      </c>
      <c r="K36" s="2">
        <v>1520</v>
      </c>
      <c r="L36" s="2">
        <v>1536</v>
      </c>
      <c r="M36" s="2">
        <v>1558</v>
      </c>
      <c r="N36" s="2">
        <v>1575</v>
      </c>
      <c r="O36" s="2">
        <v>1599</v>
      </c>
      <c r="P36" s="2">
        <v>1615</v>
      </c>
      <c r="Q36" s="2">
        <v>1615</v>
      </c>
      <c r="R36" s="2">
        <v>1615</v>
      </c>
      <c r="S36" s="2">
        <v>1615</v>
      </c>
      <c r="T36" s="2">
        <v>1615</v>
      </c>
      <c r="U36" s="2">
        <v>1615</v>
      </c>
      <c r="V36" s="2">
        <v>1615</v>
      </c>
      <c r="W36" s="2">
        <v>1615</v>
      </c>
      <c r="X36" s="2">
        <v>1615</v>
      </c>
      <c r="Y36" s="2">
        <v>1615</v>
      </c>
    </row>
    <row r="37" spans="2:25" x14ac:dyDescent="0.35">
      <c r="C37" t="s">
        <v>764</v>
      </c>
      <c r="D37">
        <v>1614</v>
      </c>
      <c r="E37" s="2">
        <v>1591</v>
      </c>
      <c r="F37" s="2">
        <v>1603</v>
      </c>
      <c r="G37" s="2">
        <v>1622</v>
      </c>
      <c r="H37" s="2">
        <v>1638</v>
      </c>
      <c r="I37" s="2">
        <v>1656</v>
      </c>
      <c r="J37" s="2">
        <v>1639</v>
      </c>
      <c r="K37" s="2">
        <v>1653</v>
      </c>
      <c r="L37" s="2">
        <v>1637</v>
      </c>
      <c r="M37" s="2">
        <v>1626</v>
      </c>
      <c r="N37" s="2">
        <v>1647</v>
      </c>
      <c r="O37" s="2">
        <v>1626</v>
      </c>
      <c r="P37" s="2">
        <v>1614</v>
      </c>
      <c r="Q37" s="2">
        <v>1614</v>
      </c>
      <c r="R37" s="2">
        <v>1614</v>
      </c>
      <c r="S37" s="2">
        <v>1614</v>
      </c>
      <c r="T37" s="2">
        <v>1614</v>
      </c>
      <c r="U37" s="2">
        <v>1614</v>
      </c>
      <c r="V37" s="2">
        <v>1614</v>
      </c>
      <c r="W37" s="2">
        <v>1614</v>
      </c>
      <c r="X37" s="2">
        <v>1614</v>
      </c>
      <c r="Y37" s="2">
        <v>1614</v>
      </c>
    </row>
    <row r="38" spans="2:25" x14ac:dyDescent="0.35">
      <c r="C38" t="s">
        <v>666</v>
      </c>
      <c r="D38">
        <v>1600</v>
      </c>
      <c r="E38" s="2">
        <v>1618</v>
      </c>
      <c r="F38" s="2">
        <v>1638</v>
      </c>
      <c r="G38" s="2">
        <v>1623</v>
      </c>
      <c r="H38" s="2">
        <v>1611</v>
      </c>
      <c r="I38" s="2">
        <v>1633</v>
      </c>
      <c r="J38" s="2">
        <v>1604</v>
      </c>
      <c r="K38" s="2">
        <v>1622</v>
      </c>
      <c r="L38" s="2">
        <v>1605</v>
      </c>
      <c r="M38" s="2">
        <v>1590</v>
      </c>
      <c r="N38" s="2">
        <v>1617</v>
      </c>
      <c r="O38" s="2">
        <v>1632</v>
      </c>
      <c r="P38" s="2">
        <v>1613</v>
      </c>
      <c r="Q38" s="2">
        <v>1613</v>
      </c>
      <c r="R38" s="2">
        <v>1613</v>
      </c>
      <c r="S38" s="2">
        <v>1613</v>
      </c>
      <c r="T38" s="2">
        <v>1613</v>
      </c>
      <c r="U38" s="2">
        <v>1613</v>
      </c>
      <c r="V38" s="2">
        <v>1613</v>
      </c>
      <c r="W38" s="2">
        <v>1613</v>
      </c>
      <c r="X38" s="2">
        <v>1613</v>
      </c>
      <c r="Y38" s="2">
        <v>1613</v>
      </c>
    </row>
    <row r="39" spans="2:25" x14ac:dyDescent="0.35">
      <c r="C39" t="s">
        <v>679</v>
      </c>
      <c r="D39">
        <v>1508</v>
      </c>
      <c r="E39" s="2">
        <v>1500</v>
      </c>
      <c r="F39" s="2">
        <v>1540</v>
      </c>
      <c r="G39" s="2">
        <v>1565</v>
      </c>
      <c r="H39" s="2">
        <v>1548</v>
      </c>
      <c r="I39" s="2">
        <v>1566</v>
      </c>
      <c r="J39" s="2">
        <v>1549</v>
      </c>
      <c r="K39" s="2">
        <v>1535</v>
      </c>
      <c r="L39" s="2">
        <v>1560</v>
      </c>
      <c r="M39" s="2">
        <v>1543</v>
      </c>
      <c r="N39" s="2">
        <v>1558</v>
      </c>
      <c r="O39" s="2">
        <v>1578</v>
      </c>
      <c r="P39" s="2">
        <v>1608</v>
      </c>
      <c r="Q39" s="2">
        <v>1608</v>
      </c>
      <c r="R39" s="2">
        <v>1608</v>
      </c>
      <c r="S39" s="2">
        <v>1608</v>
      </c>
      <c r="T39" s="2">
        <v>1608</v>
      </c>
      <c r="U39" s="2">
        <v>1608</v>
      </c>
      <c r="V39" s="2">
        <v>1608</v>
      </c>
      <c r="W39" s="2">
        <v>1608</v>
      </c>
      <c r="X39" s="2">
        <v>1608</v>
      </c>
      <c r="Y39" s="2">
        <v>1608</v>
      </c>
    </row>
    <row r="40" spans="2:25" x14ac:dyDescent="0.35">
      <c r="C40" t="s">
        <v>713</v>
      </c>
      <c r="D40">
        <v>1590</v>
      </c>
      <c r="E40" s="2">
        <v>1620</v>
      </c>
      <c r="F40" s="2">
        <v>1632</v>
      </c>
      <c r="G40" s="2">
        <v>1645</v>
      </c>
      <c r="H40" s="2">
        <v>1656</v>
      </c>
      <c r="I40" s="2">
        <v>1632</v>
      </c>
      <c r="J40" s="2">
        <v>1652</v>
      </c>
      <c r="K40" s="2">
        <v>1632</v>
      </c>
      <c r="L40" s="2">
        <v>1616</v>
      </c>
      <c r="M40" s="2">
        <v>1636</v>
      </c>
      <c r="N40" s="2">
        <v>1648</v>
      </c>
      <c r="O40" s="2">
        <v>1623</v>
      </c>
      <c r="P40" s="2">
        <v>1605</v>
      </c>
      <c r="Q40" s="2">
        <v>1605</v>
      </c>
      <c r="R40" s="2">
        <v>1605</v>
      </c>
      <c r="S40" s="2">
        <v>1605</v>
      </c>
      <c r="T40" s="2">
        <v>1605</v>
      </c>
      <c r="U40" s="2">
        <v>1605</v>
      </c>
      <c r="V40" s="2">
        <v>1605</v>
      </c>
      <c r="W40" s="2">
        <v>1605</v>
      </c>
      <c r="X40" s="2">
        <v>1605</v>
      </c>
      <c r="Y40" s="2">
        <v>1605</v>
      </c>
    </row>
    <row r="41" spans="2:25" x14ac:dyDescent="0.35">
      <c r="C41" t="s">
        <v>783</v>
      </c>
      <c r="D41">
        <v>1582</v>
      </c>
      <c r="E41" s="2">
        <v>1603</v>
      </c>
      <c r="F41" s="2">
        <v>1618</v>
      </c>
      <c r="G41" s="2">
        <v>1611</v>
      </c>
      <c r="H41" s="2">
        <v>1621</v>
      </c>
      <c r="I41" s="2">
        <v>1602</v>
      </c>
      <c r="J41" s="2">
        <v>1620</v>
      </c>
      <c r="K41" s="2">
        <v>1634</v>
      </c>
      <c r="L41" s="2">
        <v>1605</v>
      </c>
      <c r="M41" s="2">
        <v>1620</v>
      </c>
      <c r="N41" s="2">
        <v>1600</v>
      </c>
      <c r="O41" s="2">
        <v>1615</v>
      </c>
      <c r="P41" s="2">
        <v>1603</v>
      </c>
      <c r="Q41" s="2">
        <v>1603</v>
      </c>
      <c r="R41" s="2">
        <v>1603</v>
      </c>
      <c r="S41" s="2">
        <v>1603</v>
      </c>
      <c r="T41" s="2">
        <v>1603</v>
      </c>
      <c r="U41" s="2">
        <v>1603</v>
      </c>
      <c r="V41" s="2">
        <v>1603</v>
      </c>
      <c r="W41" s="2">
        <v>1603</v>
      </c>
      <c r="X41" s="2">
        <v>1603</v>
      </c>
      <c r="Y41" s="2">
        <v>1603</v>
      </c>
    </row>
    <row r="42" spans="2:25" x14ac:dyDescent="0.35">
      <c r="C42" t="s">
        <v>650</v>
      </c>
      <c r="D42">
        <v>1607</v>
      </c>
      <c r="E42" s="2">
        <v>1591</v>
      </c>
      <c r="F42" s="2">
        <v>1573</v>
      </c>
      <c r="G42" s="2">
        <v>1535</v>
      </c>
      <c r="H42" s="2">
        <v>1556</v>
      </c>
      <c r="I42" s="2">
        <v>1584</v>
      </c>
      <c r="J42" s="2">
        <v>1606</v>
      </c>
      <c r="K42" s="2">
        <v>1627</v>
      </c>
      <c r="L42" s="2">
        <v>1605</v>
      </c>
      <c r="M42" s="2">
        <v>1573</v>
      </c>
      <c r="N42" s="2">
        <v>1589</v>
      </c>
      <c r="O42" s="2">
        <v>1614</v>
      </c>
      <c r="P42" s="2">
        <v>1602</v>
      </c>
      <c r="Q42" s="2">
        <v>1602</v>
      </c>
      <c r="R42" s="2">
        <v>1602</v>
      </c>
      <c r="S42" s="2">
        <v>1602</v>
      </c>
      <c r="T42" s="2">
        <v>1602</v>
      </c>
      <c r="U42" s="2">
        <v>1602</v>
      </c>
      <c r="V42" s="2">
        <v>1602</v>
      </c>
      <c r="W42" s="2">
        <v>1602</v>
      </c>
      <c r="X42" s="2">
        <v>1602</v>
      </c>
      <c r="Y42" s="2">
        <v>1602</v>
      </c>
    </row>
    <row r="43" spans="2:25" x14ac:dyDescent="0.35">
      <c r="C43" t="s">
        <v>704</v>
      </c>
      <c r="D43">
        <v>1634</v>
      </c>
      <c r="E43" s="2">
        <v>1649</v>
      </c>
      <c r="F43" s="2">
        <v>1623</v>
      </c>
      <c r="G43" s="2">
        <v>1606</v>
      </c>
      <c r="H43" s="2">
        <v>1630</v>
      </c>
      <c r="I43" s="2">
        <v>1603</v>
      </c>
      <c r="J43" s="2">
        <v>1583</v>
      </c>
      <c r="K43" s="2">
        <v>1598</v>
      </c>
      <c r="L43" s="2">
        <v>1569</v>
      </c>
      <c r="M43" s="2">
        <v>1586</v>
      </c>
      <c r="N43" s="2">
        <v>1571</v>
      </c>
      <c r="O43" s="2">
        <v>1582</v>
      </c>
      <c r="P43" s="2">
        <v>1601</v>
      </c>
      <c r="Q43" s="2">
        <v>1601</v>
      </c>
      <c r="R43" s="2">
        <v>1601</v>
      </c>
      <c r="S43" s="2">
        <v>1601</v>
      </c>
      <c r="T43" s="2">
        <v>1601</v>
      </c>
      <c r="U43" s="2">
        <v>1601</v>
      </c>
      <c r="V43" s="2">
        <v>1601</v>
      </c>
      <c r="W43" s="2">
        <v>1601</v>
      </c>
      <c r="X43" s="2">
        <v>1601</v>
      </c>
      <c r="Y43" s="2">
        <v>1601</v>
      </c>
    </row>
    <row r="44" spans="2:25" x14ac:dyDescent="0.35">
      <c r="C44" t="s">
        <v>647</v>
      </c>
      <c r="D44">
        <v>1586</v>
      </c>
      <c r="E44" s="2">
        <v>1609</v>
      </c>
      <c r="F44" s="2">
        <v>1588</v>
      </c>
      <c r="G44" s="2">
        <v>1573</v>
      </c>
      <c r="H44" s="2">
        <v>1595</v>
      </c>
      <c r="I44" s="2">
        <v>1619</v>
      </c>
      <c r="J44" s="2">
        <v>1632</v>
      </c>
      <c r="K44" s="2">
        <v>1650</v>
      </c>
      <c r="L44" s="2">
        <v>1679</v>
      </c>
      <c r="M44" s="2">
        <v>1687</v>
      </c>
      <c r="N44" s="2">
        <v>1664</v>
      </c>
      <c r="O44" s="2">
        <v>1638</v>
      </c>
      <c r="P44" s="2">
        <v>1617</v>
      </c>
      <c r="Q44" s="2">
        <v>1600</v>
      </c>
      <c r="R44" s="2">
        <v>1600</v>
      </c>
      <c r="S44" s="2">
        <v>1600</v>
      </c>
      <c r="T44" s="2">
        <v>1600</v>
      </c>
      <c r="U44" s="2">
        <v>1600</v>
      </c>
      <c r="V44" s="2">
        <v>1600</v>
      </c>
      <c r="W44" s="2">
        <v>1600</v>
      </c>
      <c r="X44" s="2">
        <v>1600</v>
      </c>
      <c r="Y44" s="2">
        <v>1600</v>
      </c>
    </row>
    <row r="45" spans="2:25" x14ac:dyDescent="0.35">
      <c r="C45" t="s">
        <v>755</v>
      </c>
      <c r="D45">
        <v>1465</v>
      </c>
      <c r="E45" s="2">
        <v>1458</v>
      </c>
      <c r="F45" s="2">
        <v>1500</v>
      </c>
      <c r="G45" s="2">
        <v>1540</v>
      </c>
      <c r="H45" s="2">
        <v>1525</v>
      </c>
      <c r="I45" s="2">
        <v>1542</v>
      </c>
      <c r="J45" s="2">
        <v>1564</v>
      </c>
      <c r="K45" s="2">
        <v>1588</v>
      </c>
      <c r="L45" s="2">
        <v>1608</v>
      </c>
      <c r="M45" s="2">
        <v>1626</v>
      </c>
      <c r="N45" s="2">
        <v>1603</v>
      </c>
      <c r="O45" s="2">
        <v>1623</v>
      </c>
      <c r="P45" s="2">
        <v>1600</v>
      </c>
      <c r="Q45" s="2">
        <v>1600</v>
      </c>
      <c r="R45" s="2">
        <v>1600</v>
      </c>
      <c r="S45" s="2">
        <v>1600</v>
      </c>
      <c r="T45" s="2">
        <v>1600</v>
      </c>
      <c r="U45" s="2">
        <v>1600</v>
      </c>
      <c r="V45" s="2">
        <v>1600</v>
      </c>
      <c r="W45" s="2">
        <v>1600</v>
      </c>
      <c r="X45" s="2">
        <v>1600</v>
      </c>
      <c r="Y45" s="2">
        <v>1600</v>
      </c>
    </row>
    <row r="46" spans="2:25" x14ac:dyDescent="0.35">
      <c r="C46" t="s">
        <v>651</v>
      </c>
      <c r="D46">
        <v>1600</v>
      </c>
      <c r="E46" s="2">
        <v>1581</v>
      </c>
      <c r="F46" s="2">
        <v>1599</v>
      </c>
      <c r="G46" s="2">
        <v>1585</v>
      </c>
      <c r="H46" s="2">
        <v>1600</v>
      </c>
      <c r="I46" s="2">
        <v>1580</v>
      </c>
      <c r="J46" s="2">
        <v>1594</v>
      </c>
      <c r="K46" s="2">
        <v>1604</v>
      </c>
      <c r="L46" s="2">
        <v>1592</v>
      </c>
      <c r="M46" s="2">
        <v>1606</v>
      </c>
      <c r="N46" s="2">
        <v>1587</v>
      </c>
      <c r="O46" s="2">
        <v>1611</v>
      </c>
      <c r="P46" s="2">
        <v>1600</v>
      </c>
      <c r="Q46" s="2">
        <v>1600</v>
      </c>
      <c r="R46" s="2">
        <v>1600</v>
      </c>
      <c r="S46" s="2">
        <v>1600</v>
      </c>
      <c r="T46" s="2">
        <v>1600</v>
      </c>
      <c r="U46" s="2">
        <v>1600</v>
      </c>
      <c r="V46" s="2">
        <v>1600</v>
      </c>
      <c r="W46" s="2">
        <v>1600</v>
      </c>
      <c r="X46" s="2">
        <v>1600</v>
      </c>
      <c r="Y46" s="2">
        <v>1600</v>
      </c>
    </row>
    <row r="47" spans="2:25" x14ac:dyDescent="0.35">
      <c r="B47" s="2"/>
      <c r="C47" s="2" t="s">
        <v>743</v>
      </c>
      <c r="D47" s="2">
        <v>1689</v>
      </c>
      <c r="E47" s="2">
        <v>1703</v>
      </c>
      <c r="F47" s="2">
        <v>1679</v>
      </c>
      <c r="G47" s="2">
        <v>1663</v>
      </c>
      <c r="H47" s="2">
        <v>1645</v>
      </c>
      <c r="I47" s="2">
        <v>1610</v>
      </c>
      <c r="J47" s="2">
        <v>1625</v>
      </c>
      <c r="K47" s="2">
        <v>1601</v>
      </c>
      <c r="L47" s="2">
        <v>1581</v>
      </c>
      <c r="M47" s="2">
        <v>1572</v>
      </c>
      <c r="N47" s="2">
        <v>1554</v>
      </c>
      <c r="O47" s="2">
        <v>1572</v>
      </c>
      <c r="P47" s="2">
        <v>1600</v>
      </c>
      <c r="Q47" s="2">
        <v>1600</v>
      </c>
      <c r="R47" s="2">
        <v>1600</v>
      </c>
      <c r="S47" s="2">
        <v>1600</v>
      </c>
      <c r="T47" s="2">
        <v>1600</v>
      </c>
      <c r="U47" s="2">
        <v>1600</v>
      </c>
      <c r="V47" s="2">
        <v>1600</v>
      </c>
      <c r="W47" s="2">
        <v>1600</v>
      </c>
      <c r="X47" s="2">
        <v>1600</v>
      </c>
      <c r="Y47" s="2">
        <v>1600</v>
      </c>
    </row>
    <row r="48" spans="2:25" x14ac:dyDescent="0.35">
      <c r="B48" s="2"/>
      <c r="C48" s="2" t="s">
        <v>776</v>
      </c>
      <c r="D48" s="2">
        <v>1698</v>
      </c>
      <c r="E48" s="2">
        <v>1711</v>
      </c>
      <c r="F48" s="2">
        <v>1728</v>
      </c>
      <c r="G48" s="2">
        <v>1709</v>
      </c>
      <c r="H48" s="2">
        <v>1688</v>
      </c>
      <c r="I48" s="2">
        <v>1671</v>
      </c>
      <c r="J48" s="2">
        <v>1647</v>
      </c>
      <c r="K48" s="2">
        <v>1629</v>
      </c>
      <c r="L48" s="2">
        <v>1644</v>
      </c>
      <c r="M48" s="2">
        <v>1623</v>
      </c>
      <c r="N48" s="2">
        <v>1603</v>
      </c>
      <c r="O48" s="2">
        <v>1613</v>
      </c>
      <c r="P48" s="2">
        <v>1599</v>
      </c>
      <c r="Q48" s="2">
        <v>1599</v>
      </c>
      <c r="R48" s="2">
        <v>1599</v>
      </c>
      <c r="S48" s="2">
        <v>1599</v>
      </c>
      <c r="T48" s="2">
        <v>1599</v>
      </c>
      <c r="U48" s="2">
        <v>1599</v>
      </c>
      <c r="V48" s="2">
        <v>1599</v>
      </c>
      <c r="W48" s="2">
        <v>1599</v>
      </c>
      <c r="X48" s="2">
        <v>1599</v>
      </c>
      <c r="Y48" s="2">
        <v>1599</v>
      </c>
    </row>
    <row r="49" spans="2:25" x14ac:dyDescent="0.35">
      <c r="C49" t="s">
        <v>640</v>
      </c>
      <c r="D49">
        <v>1534</v>
      </c>
      <c r="E49" s="2">
        <v>1519</v>
      </c>
      <c r="F49" s="2">
        <v>1539</v>
      </c>
      <c r="G49" s="2">
        <v>1560</v>
      </c>
      <c r="H49" s="2">
        <v>1549</v>
      </c>
      <c r="I49" s="2">
        <v>1534</v>
      </c>
      <c r="J49" s="2">
        <v>1552</v>
      </c>
      <c r="K49" s="2">
        <v>1534</v>
      </c>
      <c r="L49" s="2">
        <v>1552</v>
      </c>
      <c r="M49" s="2">
        <v>1566</v>
      </c>
      <c r="N49" s="2">
        <v>1581</v>
      </c>
      <c r="O49" s="2">
        <v>1620</v>
      </c>
      <c r="P49" s="2">
        <v>1597</v>
      </c>
      <c r="Q49" s="2">
        <v>1597</v>
      </c>
      <c r="R49" s="2">
        <v>1597</v>
      </c>
      <c r="S49" s="2">
        <v>1597</v>
      </c>
      <c r="T49" s="2">
        <v>1597</v>
      </c>
      <c r="U49" s="2">
        <v>1597</v>
      </c>
      <c r="V49" s="2">
        <v>1597</v>
      </c>
      <c r="W49" s="2">
        <v>1597</v>
      </c>
      <c r="X49" s="2">
        <v>1597</v>
      </c>
      <c r="Y49" s="2">
        <v>1597</v>
      </c>
    </row>
    <row r="50" spans="2:25" x14ac:dyDescent="0.35">
      <c r="C50" t="s">
        <v>671</v>
      </c>
      <c r="D50">
        <v>1489</v>
      </c>
      <c r="E50" s="2">
        <v>1481</v>
      </c>
      <c r="F50" s="2">
        <v>1474</v>
      </c>
      <c r="G50" s="2">
        <v>1463</v>
      </c>
      <c r="H50" s="2">
        <v>1440</v>
      </c>
      <c r="I50" s="2">
        <v>1460</v>
      </c>
      <c r="J50" s="2">
        <v>1483</v>
      </c>
      <c r="K50" s="2">
        <v>1503</v>
      </c>
      <c r="L50" s="2">
        <v>1532</v>
      </c>
      <c r="M50" s="2">
        <v>1555</v>
      </c>
      <c r="N50" s="2">
        <v>1576</v>
      </c>
      <c r="O50" s="2">
        <v>1592</v>
      </c>
      <c r="P50" s="2">
        <v>1615</v>
      </c>
      <c r="Q50" s="2">
        <v>1595</v>
      </c>
      <c r="R50" s="2">
        <v>1595</v>
      </c>
      <c r="S50" s="2">
        <v>1595</v>
      </c>
      <c r="T50" s="2">
        <v>1595</v>
      </c>
      <c r="U50" s="2">
        <v>1595</v>
      </c>
      <c r="V50" s="2">
        <v>1595</v>
      </c>
      <c r="W50" s="2">
        <v>1595</v>
      </c>
      <c r="X50" s="2">
        <v>1595</v>
      </c>
      <c r="Y50" s="2">
        <v>1595</v>
      </c>
    </row>
    <row r="51" spans="2:25" x14ac:dyDescent="0.35">
      <c r="C51" t="s">
        <v>738</v>
      </c>
      <c r="D51">
        <v>1577</v>
      </c>
      <c r="E51" s="2">
        <v>1591</v>
      </c>
      <c r="F51" s="2">
        <v>1579</v>
      </c>
      <c r="G51" s="2">
        <v>1558</v>
      </c>
      <c r="H51" s="2">
        <v>1542</v>
      </c>
      <c r="I51" s="2">
        <v>1570</v>
      </c>
      <c r="J51" s="2">
        <v>1587</v>
      </c>
      <c r="K51" s="2">
        <v>1577</v>
      </c>
      <c r="L51" s="2">
        <v>1597</v>
      </c>
      <c r="M51" s="2">
        <v>1573</v>
      </c>
      <c r="N51" s="2">
        <v>1595</v>
      </c>
      <c r="O51" s="2">
        <v>1616</v>
      </c>
      <c r="P51" s="2">
        <v>1595</v>
      </c>
      <c r="Q51" s="2">
        <v>1595</v>
      </c>
      <c r="R51" s="2">
        <v>1595</v>
      </c>
      <c r="S51" s="2">
        <v>1595</v>
      </c>
      <c r="T51" s="2">
        <v>1595</v>
      </c>
      <c r="U51" s="2">
        <v>1595</v>
      </c>
      <c r="V51" s="2">
        <v>1595</v>
      </c>
      <c r="W51" s="2">
        <v>1595</v>
      </c>
      <c r="X51" s="2">
        <v>1595</v>
      </c>
      <c r="Y51" s="2">
        <v>1595</v>
      </c>
    </row>
    <row r="52" spans="2:25" x14ac:dyDescent="0.35">
      <c r="C52" t="s">
        <v>1161</v>
      </c>
      <c r="D52">
        <v>1600</v>
      </c>
      <c r="E52" s="2">
        <v>1583</v>
      </c>
      <c r="F52" s="2">
        <v>1596</v>
      </c>
      <c r="G52" s="2">
        <v>1611</v>
      </c>
      <c r="H52" s="2">
        <v>1596</v>
      </c>
      <c r="I52" s="2">
        <v>1580</v>
      </c>
      <c r="J52" s="2">
        <v>1568</v>
      </c>
      <c r="K52" s="2">
        <v>1555</v>
      </c>
      <c r="L52" s="2">
        <v>1568</v>
      </c>
      <c r="M52" s="2">
        <v>1592</v>
      </c>
      <c r="N52" s="2">
        <v>1579</v>
      </c>
      <c r="O52" s="2">
        <v>1565</v>
      </c>
      <c r="P52" s="2">
        <v>1594</v>
      </c>
      <c r="Q52" s="2">
        <v>1594</v>
      </c>
      <c r="R52" s="2">
        <v>1594</v>
      </c>
      <c r="S52" s="2">
        <v>1594</v>
      </c>
      <c r="T52" s="2">
        <v>1594</v>
      </c>
      <c r="U52" s="2">
        <v>1594</v>
      </c>
      <c r="V52" s="2">
        <v>1594</v>
      </c>
      <c r="W52" s="2">
        <v>1594</v>
      </c>
      <c r="X52" s="2">
        <v>1594</v>
      </c>
      <c r="Y52" s="2">
        <v>1594</v>
      </c>
    </row>
    <row r="53" spans="2:25" x14ac:dyDescent="0.35">
      <c r="C53" t="s">
        <v>729</v>
      </c>
      <c r="D53">
        <v>1568</v>
      </c>
      <c r="E53" s="2">
        <v>1593</v>
      </c>
      <c r="F53" s="2">
        <v>1633</v>
      </c>
      <c r="G53" s="2">
        <v>1649</v>
      </c>
      <c r="H53" s="2">
        <v>1665</v>
      </c>
      <c r="I53" s="2">
        <v>1648</v>
      </c>
      <c r="J53" s="2">
        <v>1629</v>
      </c>
      <c r="K53" s="2">
        <v>1623</v>
      </c>
      <c r="L53" s="2">
        <v>1610</v>
      </c>
      <c r="M53" s="2">
        <v>1623</v>
      </c>
      <c r="N53" s="2">
        <v>1614</v>
      </c>
      <c r="O53" s="2">
        <v>1599</v>
      </c>
      <c r="P53" s="2">
        <v>1587</v>
      </c>
      <c r="Q53" s="2">
        <v>1587</v>
      </c>
      <c r="R53" s="2">
        <v>1587</v>
      </c>
      <c r="S53" s="2">
        <v>1587</v>
      </c>
      <c r="T53" s="2">
        <v>1587</v>
      </c>
      <c r="U53" s="2">
        <v>1587</v>
      </c>
      <c r="V53" s="2">
        <v>1587</v>
      </c>
      <c r="W53" s="2">
        <v>1587</v>
      </c>
      <c r="X53" s="2">
        <v>1587</v>
      </c>
      <c r="Y53" s="2">
        <v>1587</v>
      </c>
    </row>
    <row r="54" spans="2:25" x14ac:dyDescent="0.35">
      <c r="C54" t="s">
        <v>466</v>
      </c>
      <c r="D54">
        <v>1535</v>
      </c>
      <c r="E54" s="2">
        <v>1555</v>
      </c>
      <c r="F54" s="2">
        <v>1542</v>
      </c>
      <c r="G54" s="2">
        <v>1502</v>
      </c>
      <c r="H54" s="2">
        <v>1521</v>
      </c>
      <c r="I54" s="2">
        <v>1548</v>
      </c>
      <c r="J54" s="2">
        <v>1529</v>
      </c>
      <c r="K54" s="2">
        <v>1518</v>
      </c>
      <c r="L54" s="2">
        <v>1541</v>
      </c>
      <c r="M54" s="2">
        <v>1527</v>
      </c>
      <c r="N54" s="2">
        <v>1547</v>
      </c>
      <c r="O54" s="2">
        <v>1561</v>
      </c>
      <c r="P54" s="2">
        <v>1585</v>
      </c>
      <c r="Q54" s="2">
        <v>1585</v>
      </c>
      <c r="R54" s="2">
        <v>1585</v>
      </c>
      <c r="S54" s="2">
        <v>1585</v>
      </c>
      <c r="T54" s="2">
        <v>1585</v>
      </c>
      <c r="U54" s="2">
        <v>1585</v>
      </c>
      <c r="V54" s="2">
        <v>1585</v>
      </c>
      <c r="W54" s="2">
        <v>1585</v>
      </c>
      <c r="X54" s="2">
        <v>1585</v>
      </c>
      <c r="Y54" s="2">
        <v>1585</v>
      </c>
    </row>
    <row r="55" spans="2:25" x14ac:dyDescent="0.35">
      <c r="C55" t="s">
        <v>1155</v>
      </c>
      <c r="D55">
        <v>1600</v>
      </c>
      <c r="E55" s="2">
        <v>1613</v>
      </c>
      <c r="F55" s="2">
        <v>1627</v>
      </c>
      <c r="G55" s="2">
        <v>1641</v>
      </c>
      <c r="H55" s="2">
        <v>1653</v>
      </c>
      <c r="I55" s="2">
        <v>1629</v>
      </c>
      <c r="J55" s="2">
        <v>1606</v>
      </c>
      <c r="K55" s="2">
        <v>1594</v>
      </c>
      <c r="L55" s="2">
        <v>1573</v>
      </c>
      <c r="M55" s="2">
        <v>1558</v>
      </c>
      <c r="N55" s="2">
        <v>1581</v>
      </c>
      <c r="O55" s="2">
        <v>1595</v>
      </c>
      <c r="P55" s="2">
        <v>1582</v>
      </c>
      <c r="Q55" s="2">
        <v>1582</v>
      </c>
      <c r="R55" s="2">
        <v>1582</v>
      </c>
      <c r="S55" s="2">
        <v>1582</v>
      </c>
      <c r="T55" s="2">
        <v>1582</v>
      </c>
      <c r="U55" s="2">
        <v>1582</v>
      </c>
      <c r="V55" s="2">
        <v>1582</v>
      </c>
      <c r="W55" s="2">
        <v>1582</v>
      </c>
      <c r="X55" s="2">
        <v>1582</v>
      </c>
      <c r="Y55" s="2">
        <v>1582</v>
      </c>
    </row>
    <row r="56" spans="2:25" x14ac:dyDescent="0.35">
      <c r="C56" t="s">
        <v>732</v>
      </c>
      <c r="D56">
        <v>1553</v>
      </c>
      <c r="E56" s="2">
        <v>1583</v>
      </c>
      <c r="F56" s="2">
        <v>1599</v>
      </c>
      <c r="G56" s="2">
        <v>1615</v>
      </c>
      <c r="H56" s="2">
        <v>1598</v>
      </c>
      <c r="I56" s="2">
        <v>1578</v>
      </c>
      <c r="J56" s="2">
        <v>1603</v>
      </c>
      <c r="K56" s="2">
        <v>1618</v>
      </c>
      <c r="L56" s="2">
        <v>1595</v>
      </c>
      <c r="M56" s="2">
        <v>1581</v>
      </c>
      <c r="N56" s="2">
        <v>1593</v>
      </c>
      <c r="O56" s="2">
        <v>1569</v>
      </c>
      <c r="P56" s="2">
        <v>1582</v>
      </c>
      <c r="Q56" s="2">
        <v>1582</v>
      </c>
      <c r="R56" s="2">
        <v>1582</v>
      </c>
      <c r="S56" s="2">
        <v>1582</v>
      </c>
      <c r="T56" s="2">
        <v>1582</v>
      </c>
      <c r="U56" s="2">
        <v>1582</v>
      </c>
      <c r="V56" s="2">
        <v>1582</v>
      </c>
      <c r="W56" s="2">
        <v>1582</v>
      </c>
      <c r="X56" s="2">
        <v>1582</v>
      </c>
      <c r="Y56" s="2">
        <v>1582</v>
      </c>
    </row>
    <row r="57" spans="2:25" x14ac:dyDescent="0.35">
      <c r="C57" t="s">
        <v>768</v>
      </c>
      <c r="D57">
        <v>1552</v>
      </c>
      <c r="E57" s="2">
        <v>1575</v>
      </c>
      <c r="F57" s="2">
        <v>1589</v>
      </c>
      <c r="G57" s="2">
        <v>1564</v>
      </c>
      <c r="H57" s="2">
        <v>1588</v>
      </c>
      <c r="I57" s="2">
        <v>1607</v>
      </c>
      <c r="J57" s="2">
        <v>1622</v>
      </c>
      <c r="K57" s="2">
        <v>1610</v>
      </c>
      <c r="L57" s="2">
        <v>1622</v>
      </c>
      <c r="M57" s="2">
        <v>1640</v>
      </c>
      <c r="N57" s="2">
        <v>1624</v>
      </c>
      <c r="O57" s="2">
        <v>1606</v>
      </c>
      <c r="P57" s="2">
        <v>1580</v>
      </c>
      <c r="Q57" s="2">
        <v>1580</v>
      </c>
      <c r="R57" s="2">
        <v>1580</v>
      </c>
      <c r="S57" s="2">
        <v>1580</v>
      </c>
      <c r="T57" s="2">
        <v>1580</v>
      </c>
      <c r="U57" s="2">
        <v>1580</v>
      </c>
      <c r="V57" s="2">
        <v>1580</v>
      </c>
      <c r="W57" s="2">
        <v>1580</v>
      </c>
      <c r="X57" s="2">
        <v>1580</v>
      </c>
      <c r="Y57" s="2">
        <v>1580</v>
      </c>
    </row>
    <row r="58" spans="2:25" x14ac:dyDescent="0.35">
      <c r="B58" s="2"/>
      <c r="C58" s="2" t="s">
        <v>751</v>
      </c>
      <c r="D58" s="2">
        <v>1693</v>
      </c>
      <c r="E58" s="2">
        <v>1705</v>
      </c>
      <c r="F58" s="2">
        <v>1678</v>
      </c>
      <c r="G58" s="2">
        <v>1653</v>
      </c>
      <c r="H58" s="2">
        <v>1664</v>
      </c>
      <c r="I58" s="2">
        <v>1631</v>
      </c>
      <c r="J58" s="2">
        <v>1648</v>
      </c>
      <c r="K58" s="2">
        <v>1659</v>
      </c>
      <c r="L58" s="2">
        <v>1669</v>
      </c>
      <c r="M58" s="2">
        <v>1657</v>
      </c>
      <c r="N58" s="2">
        <v>1630</v>
      </c>
      <c r="O58" s="2">
        <v>1594</v>
      </c>
      <c r="P58" s="2">
        <v>1580</v>
      </c>
      <c r="Q58" s="2">
        <v>1580</v>
      </c>
      <c r="R58" s="2">
        <v>1580</v>
      </c>
      <c r="S58" s="2">
        <v>1580</v>
      </c>
      <c r="T58" s="2">
        <v>1580</v>
      </c>
      <c r="U58" s="2">
        <v>1580</v>
      </c>
      <c r="V58" s="2">
        <v>1580</v>
      </c>
      <c r="W58" s="2">
        <v>1580</v>
      </c>
      <c r="X58" s="2">
        <v>1580</v>
      </c>
      <c r="Y58" s="2">
        <v>1580</v>
      </c>
    </row>
    <row r="59" spans="2:25" x14ac:dyDescent="0.35">
      <c r="C59" t="s">
        <v>664</v>
      </c>
      <c r="D59">
        <v>1600</v>
      </c>
      <c r="E59" s="2">
        <v>1582</v>
      </c>
      <c r="F59" s="2">
        <v>1562</v>
      </c>
      <c r="G59" s="2">
        <v>1592</v>
      </c>
      <c r="H59" s="2">
        <v>1578</v>
      </c>
      <c r="I59" s="2">
        <v>1563</v>
      </c>
      <c r="J59" s="2">
        <v>1586</v>
      </c>
      <c r="K59" s="2">
        <v>1565</v>
      </c>
      <c r="L59" s="2">
        <v>1577</v>
      </c>
      <c r="M59" s="2">
        <v>1561</v>
      </c>
      <c r="N59" s="2">
        <v>1578</v>
      </c>
      <c r="O59" s="2">
        <v>1561</v>
      </c>
      <c r="P59" s="2">
        <v>1578</v>
      </c>
      <c r="Q59" s="2">
        <v>1578</v>
      </c>
      <c r="R59" s="2">
        <v>1578</v>
      </c>
      <c r="S59" s="2">
        <v>1578</v>
      </c>
      <c r="T59" s="2">
        <v>1578</v>
      </c>
      <c r="U59" s="2">
        <v>1578</v>
      </c>
      <c r="V59" s="2">
        <v>1578</v>
      </c>
      <c r="W59" s="2">
        <v>1578</v>
      </c>
      <c r="X59" s="2">
        <v>1578</v>
      </c>
      <c r="Y59" s="2">
        <v>1578</v>
      </c>
    </row>
    <row r="60" spans="2:25" x14ac:dyDescent="0.35">
      <c r="C60" t="s">
        <v>758</v>
      </c>
      <c r="D60">
        <v>1552</v>
      </c>
      <c r="E60" s="2">
        <v>1535</v>
      </c>
      <c r="F60" s="2">
        <v>1525</v>
      </c>
      <c r="G60" s="2">
        <v>1539</v>
      </c>
      <c r="H60" s="2">
        <v>1559</v>
      </c>
      <c r="I60" s="2">
        <v>1548</v>
      </c>
      <c r="J60" s="2">
        <v>1531</v>
      </c>
      <c r="K60" s="2">
        <v>1562</v>
      </c>
      <c r="L60" s="2">
        <v>1555</v>
      </c>
      <c r="M60" s="2">
        <v>1545</v>
      </c>
      <c r="N60" s="2">
        <v>1578</v>
      </c>
      <c r="O60" s="2">
        <v>1563</v>
      </c>
      <c r="P60" s="2">
        <v>1576</v>
      </c>
      <c r="Q60" s="2">
        <v>1576</v>
      </c>
      <c r="R60" s="2">
        <v>1576</v>
      </c>
      <c r="S60" s="2">
        <v>1576</v>
      </c>
      <c r="T60" s="2">
        <v>1576</v>
      </c>
      <c r="U60" s="2">
        <v>1576</v>
      </c>
      <c r="V60" s="2">
        <v>1576</v>
      </c>
      <c r="W60" s="2">
        <v>1576</v>
      </c>
      <c r="X60" s="2">
        <v>1576</v>
      </c>
      <c r="Y60" s="2">
        <v>1576</v>
      </c>
    </row>
    <row r="61" spans="2:25" x14ac:dyDescent="0.35">
      <c r="B61" s="1"/>
      <c r="C61" s="1" t="s">
        <v>643</v>
      </c>
      <c r="D61" s="1">
        <v>1535</v>
      </c>
      <c r="E61" s="1">
        <v>1560</v>
      </c>
      <c r="F61" s="1">
        <v>1585</v>
      </c>
      <c r="G61" s="1">
        <v>1560</v>
      </c>
      <c r="H61" s="1">
        <v>1542</v>
      </c>
      <c r="I61" s="1">
        <v>1566</v>
      </c>
      <c r="J61" s="1">
        <v>1585</v>
      </c>
      <c r="K61" s="1">
        <v>1606</v>
      </c>
      <c r="L61" s="1">
        <v>1625</v>
      </c>
      <c r="M61" s="1">
        <v>1639</v>
      </c>
      <c r="N61" s="1">
        <v>1622</v>
      </c>
      <c r="O61" s="1">
        <v>1651</v>
      </c>
      <c r="P61" s="1">
        <v>1677</v>
      </c>
      <c r="Q61" s="1">
        <v>1656</v>
      </c>
      <c r="R61" s="1">
        <v>1607</v>
      </c>
      <c r="S61" s="1">
        <v>1571</v>
      </c>
      <c r="T61" s="1">
        <v>1571</v>
      </c>
      <c r="U61" s="1">
        <v>1571</v>
      </c>
      <c r="V61" s="1">
        <v>1571</v>
      </c>
      <c r="W61" s="1">
        <v>1571</v>
      </c>
      <c r="X61" s="1">
        <v>1571</v>
      </c>
      <c r="Y61" s="1">
        <v>1571</v>
      </c>
    </row>
    <row r="62" spans="2:25" x14ac:dyDescent="0.35">
      <c r="C62" t="s">
        <v>779</v>
      </c>
      <c r="D62">
        <v>1611</v>
      </c>
      <c r="E62" s="2">
        <v>1590</v>
      </c>
      <c r="F62" s="2">
        <v>1567</v>
      </c>
      <c r="G62" s="2">
        <v>1539</v>
      </c>
      <c r="H62" s="2">
        <v>1565</v>
      </c>
      <c r="I62" s="2">
        <v>1577</v>
      </c>
      <c r="J62" s="2">
        <v>1559</v>
      </c>
      <c r="K62" s="2">
        <v>1541</v>
      </c>
      <c r="L62" s="2">
        <v>1526</v>
      </c>
      <c r="M62" s="2">
        <v>1549</v>
      </c>
      <c r="N62" s="2">
        <v>1532</v>
      </c>
      <c r="O62" s="2">
        <v>1546</v>
      </c>
      <c r="P62" s="2">
        <v>1562</v>
      </c>
      <c r="Q62" s="2">
        <v>1562</v>
      </c>
      <c r="R62" s="2">
        <v>1562</v>
      </c>
      <c r="S62" s="2">
        <v>1562</v>
      </c>
      <c r="T62" s="2">
        <v>1562</v>
      </c>
      <c r="U62" s="2">
        <v>1562</v>
      </c>
      <c r="V62" s="2">
        <v>1562</v>
      </c>
      <c r="W62" s="2">
        <v>1562</v>
      </c>
      <c r="X62" s="2">
        <v>1562</v>
      </c>
      <c r="Y62" s="2">
        <v>1562</v>
      </c>
    </row>
    <row r="63" spans="2:25" x14ac:dyDescent="0.35">
      <c r="C63" t="s">
        <v>582</v>
      </c>
      <c r="D63">
        <v>1611</v>
      </c>
      <c r="E63" s="2">
        <v>1591</v>
      </c>
      <c r="F63" s="2">
        <v>1575</v>
      </c>
      <c r="G63" s="2">
        <v>1559</v>
      </c>
      <c r="H63" s="2">
        <v>1522</v>
      </c>
      <c r="I63" s="2">
        <v>1537</v>
      </c>
      <c r="J63" s="2">
        <v>1522</v>
      </c>
      <c r="K63" s="2">
        <v>1550</v>
      </c>
      <c r="L63" s="2">
        <v>1532</v>
      </c>
      <c r="M63" s="2">
        <v>1523</v>
      </c>
      <c r="N63" s="2">
        <v>1557</v>
      </c>
      <c r="O63" s="2">
        <v>1571</v>
      </c>
      <c r="P63" s="2">
        <v>1558</v>
      </c>
      <c r="Q63" s="2">
        <v>1558</v>
      </c>
      <c r="R63" s="2">
        <v>1558</v>
      </c>
      <c r="S63" s="2">
        <v>1558</v>
      </c>
      <c r="T63" s="2">
        <v>1558</v>
      </c>
      <c r="U63" s="2">
        <v>1558</v>
      </c>
      <c r="V63" s="2">
        <v>1558</v>
      </c>
      <c r="W63" s="2">
        <v>1558</v>
      </c>
      <c r="X63" s="2">
        <v>1558</v>
      </c>
      <c r="Y63" s="2">
        <v>1558</v>
      </c>
    </row>
    <row r="64" spans="2:25" x14ac:dyDescent="0.35">
      <c r="B64" s="2"/>
      <c r="C64" s="2" t="s">
        <v>763</v>
      </c>
      <c r="D64" s="2">
        <v>1678</v>
      </c>
      <c r="E64" s="2">
        <v>1687</v>
      </c>
      <c r="F64" s="2">
        <v>1706</v>
      </c>
      <c r="G64" s="2">
        <v>1686</v>
      </c>
      <c r="H64" s="2">
        <v>1662</v>
      </c>
      <c r="I64" s="2">
        <v>1638</v>
      </c>
      <c r="J64" s="2">
        <v>1660</v>
      </c>
      <c r="K64" s="2">
        <v>1644</v>
      </c>
      <c r="L64" s="2">
        <v>1632</v>
      </c>
      <c r="M64" s="2">
        <v>1603</v>
      </c>
      <c r="N64" s="2">
        <v>1570</v>
      </c>
      <c r="O64" s="2">
        <v>1588</v>
      </c>
      <c r="P64" s="2">
        <v>1557</v>
      </c>
      <c r="Q64" s="2">
        <v>1557</v>
      </c>
      <c r="R64" s="2">
        <v>1557</v>
      </c>
      <c r="S64" s="2">
        <v>1557</v>
      </c>
      <c r="T64" s="2">
        <v>1557</v>
      </c>
      <c r="U64" s="2">
        <v>1557</v>
      </c>
      <c r="V64" s="2">
        <v>1557</v>
      </c>
      <c r="W64" s="2">
        <v>1557</v>
      </c>
      <c r="X64" s="2">
        <v>1557</v>
      </c>
      <c r="Y64" s="2">
        <v>1557</v>
      </c>
    </row>
    <row r="65" spans="3:25" x14ac:dyDescent="0.35">
      <c r="C65" t="s">
        <v>665</v>
      </c>
      <c r="D65">
        <v>1562</v>
      </c>
      <c r="E65" s="2">
        <v>1542</v>
      </c>
      <c r="F65" s="2">
        <v>1532</v>
      </c>
      <c r="G65" s="2">
        <v>1547</v>
      </c>
      <c r="H65" s="2">
        <v>1538</v>
      </c>
      <c r="I65" s="2">
        <v>1571</v>
      </c>
      <c r="J65" s="2">
        <v>1594</v>
      </c>
      <c r="K65" s="2">
        <v>1578</v>
      </c>
      <c r="L65" s="2">
        <v>1594</v>
      </c>
      <c r="M65" s="2">
        <v>1573</v>
      </c>
      <c r="N65" s="2">
        <v>1555</v>
      </c>
      <c r="O65" s="2">
        <v>1541</v>
      </c>
      <c r="P65" s="2">
        <v>1555</v>
      </c>
      <c r="Q65" s="2">
        <v>1555</v>
      </c>
      <c r="R65" s="2">
        <v>1555</v>
      </c>
      <c r="S65" s="2">
        <v>1555</v>
      </c>
      <c r="T65" s="2">
        <v>1555</v>
      </c>
      <c r="U65" s="2">
        <v>1555</v>
      </c>
      <c r="V65" s="2">
        <v>1555</v>
      </c>
      <c r="W65" s="2">
        <v>1555</v>
      </c>
      <c r="X65" s="2">
        <v>1555</v>
      </c>
      <c r="Y65" s="2">
        <v>1555</v>
      </c>
    </row>
    <row r="66" spans="3:25" x14ac:dyDescent="0.35">
      <c r="C66" t="s">
        <v>646</v>
      </c>
      <c r="D66">
        <v>1610</v>
      </c>
      <c r="E66" s="2">
        <v>1586</v>
      </c>
      <c r="F66" s="2">
        <v>1572</v>
      </c>
      <c r="G66" s="2">
        <v>1566</v>
      </c>
      <c r="H66" s="2">
        <v>1589</v>
      </c>
      <c r="I66" s="2">
        <v>1550</v>
      </c>
      <c r="J66" s="2">
        <v>1574</v>
      </c>
      <c r="K66" s="2">
        <v>1592</v>
      </c>
      <c r="L66" s="2">
        <v>1607</v>
      </c>
      <c r="M66" s="2">
        <v>1590</v>
      </c>
      <c r="N66" s="2">
        <v>1558</v>
      </c>
      <c r="O66" s="2">
        <v>1537</v>
      </c>
      <c r="P66" s="2">
        <v>1555</v>
      </c>
      <c r="Q66" s="2">
        <v>1555</v>
      </c>
      <c r="R66" s="2">
        <v>1555</v>
      </c>
      <c r="S66" s="2">
        <v>1555</v>
      </c>
      <c r="T66" s="2">
        <v>1555</v>
      </c>
      <c r="U66" s="2">
        <v>1555</v>
      </c>
      <c r="V66" s="2">
        <v>1555</v>
      </c>
      <c r="W66" s="2">
        <v>1555</v>
      </c>
      <c r="X66" s="2">
        <v>1555</v>
      </c>
      <c r="Y66" s="2">
        <v>1555</v>
      </c>
    </row>
    <row r="67" spans="3:25" x14ac:dyDescent="0.35">
      <c r="C67" t="s">
        <v>1162</v>
      </c>
      <c r="D67">
        <v>1600</v>
      </c>
      <c r="E67" s="2">
        <v>1617</v>
      </c>
      <c r="F67" s="2">
        <v>1598</v>
      </c>
      <c r="G67" s="2">
        <v>1579</v>
      </c>
      <c r="H67" s="2">
        <v>1561</v>
      </c>
      <c r="I67" s="2">
        <v>1546</v>
      </c>
      <c r="J67" s="2">
        <v>1532</v>
      </c>
      <c r="K67" s="2">
        <v>1546</v>
      </c>
      <c r="L67" s="2">
        <v>1533</v>
      </c>
      <c r="M67" s="2">
        <v>1519</v>
      </c>
      <c r="N67" s="2">
        <v>1504</v>
      </c>
      <c r="O67" s="2">
        <v>1530</v>
      </c>
      <c r="P67" s="2">
        <v>1555</v>
      </c>
      <c r="Q67" s="2">
        <v>1555</v>
      </c>
      <c r="R67" s="2">
        <v>1555</v>
      </c>
      <c r="S67" s="2">
        <v>1555</v>
      </c>
      <c r="T67" s="2">
        <v>1555</v>
      </c>
      <c r="U67" s="2">
        <v>1555</v>
      </c>
      <c r="V67" s="2">
        <v>1555</v>
      </c>
      <c r="W67" s="2">
        <v>1555</v>
      </c>
      <c r="X67" s="2">
        <v>1555</v>
      </c>
      <c r="Y67" s="2">
        <v>1555</v>
      </c>
    </row>
    <row r="68" spans="3:25" x14ac:dyDescent="0.35">
      <c r="C68" t="s">
        <v>774</v>
      </c>
      <c r="D68">
        <v>1558</v>
      </c>
      <c r="E68" s="2">
        <v>1545</v>
      </c>
      <c r="F68" s="2">
        <v>1559</v>
      </c>
      <c r="G68" s="2">
        <v>1540</v>
      </c>
      <c r="H68" s="2">
        <v>1532</v>
      </c>
      <c r="I68" s="2">
        <v>1547</v>
      </c>
      <c r="J68" s="2">
        <v>1525</v>
      </c>
      <c r="K68" s="2">
        <v>1516</v>
      </c>
      <c r="L68" s="2">
        <v>1546</v>
      </c>
      <c r="M68" s="2">
        <v>1527</v>
      </c>
      <c r="N68" s="2">
        <v>1546</v>
      </c>
      <c r="O68" s="2">
        <v>1535</v>
      </c>
      <c r="P68" s="2">
        <v>1552</v>
      </c>
      <c r="Q68" s="2">
        <v>1552</v>
      </c>
      <c r="R68" s="2">
        <v>1552</v>
      </c>
      <c r="S68" s="2">
        <v>1552</v>
      </c>
      <c r="T68" s="2">
        <v>1552</v>
      </c>
      <c r="U68" s="2">
        <v>1552</v>
      </c>
      <c r="V68" s="2">
        <v>1552</v>
      </c>
      <c r="W68" s="2">
        <v>1552</v>
      </c>
      <c r="X68" s="2">
        <v>1552</v>
      </c>
      <c r="Y68" s="2">
        <v>1552</v>
      </c>
    </row>
    <row r="69" spans="3:25" x14ac:dyDescent="0.35">
      <c r="C69" t="s">
        <v>722</v>
      </c>
      <c r="D69">
        <v>1598</v>
      </c>
      <c r="E69" s="2">
        <v>1573</v>
      </c>
      <c r="F69" s="2">
        <v>1559</v>
      </c>
      <c r="G69" s="2">
        <v>1577</v>
      </c>
      <c r="H69" s="2">
        <v>1555</v>
      </c>
      <c r="I69" s="2">
        <v>1571</v>
      </c>
      <c r="J69" s="2">
        <v>1586</v>
      </c>
      <c r="K69" s="2">
        <v>1601</v>
      </c>
      <c r="L69" s="2">
        <v>1578</v>
      </c>
      <c r="M69" s="2">
        <v>1570</v>
      </c>
      <c r="N69" s="2">
        <v>1545</v>
      </c>
      <c r="O69" s="2">
        <v>1556</v>
      </c>
      <c r="P69" s="2">
        <v>1540</v>
      </c>
      <c r="Q69" s="2">
        <v>1540</v>
      </c>
      <c r="R69" s="2">
        <v>1540</v>
      </c>
      <c r="S69" s="2">
        <v>1540</v>
      </c>
      <c r="T69" s="2">
        <v>1540</v>
      </c>
      <c r="U69" s="2">
        <v>1540</v>
      </c>
      <c r="V69" s="2">
        <v>1540</v>
      </c>
      <c r="W69" s="2">
        <v>1540</v>
      </c>
      <c r="X69" s="2">
        <v>1540</v>
      </c>
      <c r="Y69" s="2">
        <v>1540</v>
      </c>
    </row>
    <row r="70" spans="3:25" x14ac:dyDescent="0.35">
      <c r="C70" t="s">
        <v>660</v>
      </c>
      <c r="D70">
        <v>1642</v>
      </c>
      <c r="E70" s="2">
        <v>1606</v>
      </c>
      <c r="F70" s="2">
        <v>1582</v>
      </c>
      <c r="G70" s="2">
        <v>1572</v>
      </c>
      <c r="H70" s="2">
        <v>1581</v>
      </c>
      <c r="I70" s="2">
        <v>1561</v>
      </c>
      <c r="J70" s="2">
        <v>1555</v>
      </c>
      <c r="K70" s="2">
        <v>1524</v>
      </c>
      <c r="L70" s="2">
        <v>1504</v>
      </c>
      <c r="M70" s="2">
        <v>1524</v>
      </c>
      <c r="N70" s="2">
        <v>1541</v>
      </c>
      <c r="O70" s="2">
        <v>1557</v>
      </c>
      <c r="P70" s="2">
        <v>1539</v>
      </c>
      <c r="Q70" s="2">
        <v>1539</v>
      </c>
      <c r="R70" s="2">
        <v>1539</v>
      </c>
      <c r="S70" s="2">
        <v>1539</v>
      </c>
      <c r="T70" s="2">
        <v>1539</v>
      </c>
      <c r="U70" s="2">
        <v>1539</v>
      </c>
      <c r="V70" s="2">
        <v>1539</v>
      </c>
      <c r="W70" s="2">
        <v>1539</v>
      </c>
      <c r="X70" s="2">
        <v>1539</v>
      </c>
      <c r="Y70" s="2">
        <v>1539</v>
      </c>
    </row>
    <row r="71" spans="3:25" x14ac:dyDescent="0.35">
      <c r="C71" t="s">
        <v>1163</v>
      </c>
      <c r="D71">
        <v>1600</v>
      </c>
      <c r="E71" s="2">
        <v>1583</v>
      </c>
      <c r="F71" s="2">
        <v>1565</v>
      </c>
      <c r="G71" s="2">
        <v>1578</v>
      </c>
      <c r="H71" s="2">
        <v>1560</v>
      </c>
      <c r="I71" s="2">
        <v>1536</v>
      </c>
      <c r="J71" s="2">
        <v>1562</v>
      </c>
      <c r="K71" s="2">
        <v>1552</v>
      </c>
      <c r="L71" s="2">
        <v>1567</v>
      </c>
      <c r="M71" s="2">
        <v>1556</v>
      </c>
      <c r="N71" s="2">
        <v>1580</v>
      </c>
      <c r="O71" s="2">
        <v>1566</v>
      </c>
      <c r="P71" s="2">
        <v>1537</v>
      </c>
      <c r="Q71" s="2">
        <v>1537</v>
      </c>
      <c r="R71" s="2">
        <v>1537</v>
      </c>
      <c r="S71" s="2">
        <v>1537</v>
      </c>
      <c r="T71" s="2">
        <v>1537</v>
      </c>
      <c r="U71" s="2">
        <v>1537</v>
      </c>
      <c r="V71" s="2">
        <v>1537</v>
      </c>
      <c r="W71" s="2">
        <v>1537</v>
      </c>
      <c r="X71" s="2">
        <v>1537</v>
      </c>
      <c r="Y71" s="2">
        <v>1537</v>
      </c>
    </row>
    <row r="72" spans="3:25" x14ac:dyDescent="0.35">
      <c r="C72" t="s">
        <v>742</v>
      </c>
      <c r="D72">
        <v>1633</v>
      </c>
      <c r="E72" s="2">
        <v>1653</v>
      </c>
      <c r="F72" s="2">
        <v>1613</v>
      </c>
      <c r="G72" s="2">
        <v>1595</v>
      </c>
      <c r="H72" s="2">
        <v>1573</v>
      </c>
      <c r="I72" s="2">
        <v>1551</v>
      </c>
      <c r="J72" s="2">
        <v>1529</v>
      </c>
      <c r="K72" s="2">
        <v>1543</v>
      </c>
      <c r="L72" s="2">
        <v>1563</v>
      </c>
      <c r="M72" s="2">
        <v>1548</v>
      </c>
      <c r="N72" s="2">
        <v>1531</v>
      </c>
      <c r="O72" s="2">
        <v>1550</v>
      </c>
      <c r="P72" s="2">
        <v>1534</v>
      </c>
      <c r="Q72" s="2">
        <v>1534</v>
      </c>
      <c r="R72" s="2">
        <v>1534</v>
      </c>
      <c r="S72" s="2">
        <v>1534</v>
      </c>
      <c r="T72" s="2">
        <v>1534</v>
      </c>
      <c r="U72" s="2">
        <v>1534</v>
      </c>
      <c r="V72" s="2">
        <v>1534</v>
      </c>
      <c r="W72" s="2">
        <v>1534</v>
      </c>
      <c r="X72" s="2">
        <v>1534</v>
      </c>
      <c r="Y72" s="2">
        <v>1534</v>
      </c>
    </row>
    <row r="73" spans="3:25" x14ac:dyDescent="0.35">
      <c r="C73" t="s">
        <v>1160</v>
      </c>
      <c r="D73">
        <v>1600</v>
      </c>
      <c r="E73" s="2">
        <v>1617</v>
      </c>
      <c r="F73" s="2">
        <v>1594</v>
      </c>
      <c r="G73" s="2">
        <v>1564</v>
      </c>
      <c r="H73" s="2">
        <v>1593</v>
      </c>
      <c r="I73" s="2">
        <v>1610</v>
      </c>
      <c r="J73" s="2">
        <v>1596</v>
      </c>
      <c r="K73" s="2">
        <v>1580</v>
      </c>
      <c r="L73" s="2">
        <v>1565</v>
      </c>
      <c r="M73" s="2">
        <v>1550</v>
      </c>
      <c r="N73" s="2">
        <v>1534</v>
      </c>
      <c r="O73" s="2">
        <v>1558</v>
      </c>
      <c r="P73" s="2">
        <v>1533</v>
      </c>
      <c r="Q73" s="2">
        <v>1533</v>
      </c>
      <c r="R73" s="2">
        <v>1533</v>
      </c>
      <c r="S73" s="2">
        <v>1533</v>
      </c>
      <c r="T73" s="2">
        <v>1533</v>
      </c>
      <c r="U73" s="2">
        <v>1533</v>
      </c>
      <c r="V73" s="2">
        <v>1533</v>
      </c>
      <c r="W73" s="2">
        <v>1533</v>
      </c>
      <c r="X73" s="2">
        <v>1533</v>
      </c>
      <c r="Y73" s="2">
        <v>1533</v>
      </c>
    </row>
    <row r="74" spans="3:25" x14ac:dyDescent="0.35">
      <c r="C74" t="s">
        <v>680</v>
      </c>
      <c r="D74">
        <v>1527</v>
      </c>
      <c r="E74" s="2">
        <v>1515</v>
      </c>
      <c r="F74" s="2">
        <v>1539</v>
      </c>
      <c r="G74" s="2">
        <v>1577</v>
      </c>
      <c r="H74" s="2">
        <v>1561</v>
      </c>
      <c r="I74" s="2">
        <v>1545</v>
      </c>
      <c r="J74" s="2">
        <v>1561</v>
      </c>
      <c r="K74" s="2">
        <v>1533</v>
      </c>
      <c r="L74" s="2">
        <v>1525</v>
      </c>
      <c r="M74" s="2">
        <v>1546</v>
      </c>
      <c r="N74" s="2">
        <v>1529</v>
      </c>
      <c r="O74" s="2">
        <v>1519</v>
      </c>
      <c r="P74" s="2">
        <v>1531</v>
      </c>
      <c r="Q74" s="2">
        <v>1531</v>
      </c>
      <c r="R74" s="2">
        <v>1531</v>
      </c>
      <c r="S74" s="2">
        <v>1531</v>
      </c>
      <c r="T74" s="2">
        <v>1531</v>
      </c>
      <c r="U74" s="2">
        <v>1531</v>
      </c>
      <c r="V74" s="2">
        <v>1531</v>
      </c>
      <c r="W74" s="2">
        <v>1531</v>
      </c>
      <c r="X74" s="2">
        <v>1531</v>
      </c>
      <c r="Y74" s="2">
        <v>1531</v>
      </c>
    </row>
    <row r="75" spans="3:25" x14ac:dyDescent="0.35">
      <c r="C75" t="s">
        <v>737</v>
      </c>
      <c r="D75">
        <v>1565</v>
      </c>
      <c r="E75" s="2">
        <v>1551</v>
      </c>
      <c r="F75" s="2">
        <v>1539</v>
      </c>
      <c r="G75" s="2">
        <v>1523</v>
      </c>
      <c r="H75" s="2">
        <v>1541</v>
      </c>
      <c r="I75" s="2">
        <v>1581</v>
      </c>
      <c r="J75" s="2">
        <v>1596</v>
      </c>
      <c r="K75" s="2">
        <v>1579</v>
      </c>
      <c r="L75" s="2">
        <v>1561</v>
      </c>
      <c r="M75" s="2">
        <v>1543</v>
      </c>
      <c r="N75" s="2">
        <v>1560</v>
      </c>
      <c r="O75" s="2">
        <v>1546</v>
      </c>
      <c r="P75" s="2">
        <v>1530</v>
      </c>
      <c r="Q75" s="2">
        <v>1530</v>
      </c>
      <c r="R75" s="2">
        <v>1530</v>
      </c>
      <c r="S75" s="2">
        <v>1530</v>
      </c>
      <c r="T75" s="2">
        <v>1530</v>
      </c>
      <c r="U75" s="2">
        <v>1530</v>
      </c>
      <c r="V75" s="2">
        <v>1530</v>
      </c>
      <c r="W75" s="2">
        <v>1530</v>
      </c>
      <c r="X75" s="2">
        <v>1530</v>
      </c>
      <c r="Y75" s="2">
        <v>1530</v>
      </c>
    </row>
    <row r="76" spans="3:25" x14ac:dyDescent="0.35">
      <c r="C76" t="s">
        <v>700</v>
      </c>
      <c r="D76">
        <v>1539</v>
      </c>
      <c r="E76" s="2">
        <v>1519</v>
      </c>
      <c r="F76" s="2">
        <v>1545</v>
      </c>
      <c r="G76" s="2">
        <v>1529</v>
      </c>
      <c r="H76" s="2">
        <v>1511</v>
      </c>
      <c r="I76" s="2">
        <v>1526</v>
      </c>
      <c r="J76" s="2">
        <v>1513</v>
      </c>
      <c r="K76" s="2">
        <v>1499</v>
      </c>
      <c r="L76" s="2">
        <v>1514</v>
      </c>
      <c r="M76" s="2">
        <v>1533</v>
      </c>
      <c r="N76" s="2">
        <v>1519</v>
      </c>
      <c r="O76" s="2">
        <v>1553</v>
      </c>
      <c r="P76" s="2">
        <v>1529</v>
      </c>
      <c r="Q76" s="2">
        <v>1529</v>
      </c>
      <c r="R76" s="2">
        <v>1529</v>
      </c>
      <c r="S76" s="2">
        <v>1529</v>
      </c>
      <c r="T76" s="2">
        <v>1529</v>
      </c>
      <c r="U76" s="2">
        <v>1529</v>
      </c>
      <c r="V76" s="2">
        <v>1529</v>
      </c>
      <c r="W76" s="2">
        <v>1529</v>
      </c>
      <c r="X76" s="2">
        <v>1529</v>
      </c>
      <c r="Y76" s="2">
        <v>1529</v>
      </c>
    </row>
    <row r="77" spans="3:25" x14ac:dyDescent="0.35">
      <c r="C77" t="s">
        <v>672</v>
      </c>
      <c r="D77">
        <v>1577</v>
      </c>
      <c r="E77" s="2">
        <v>1559</v>
      </c>
      <c r="F77" s="2">
        <v>1540</v>
      </c>
      <c r="G77" s="2">
        <v>1555</v>
      </c>
      <c r="H77" s="2">
        <v>1577</v>
      </c>
      <c r="I77" s="2">
        <v>1597</v>
      </c>
      <c r="J77" s="2">
        <v>1616</v>
      </c>
      <c r="K77" s="2">
        <v>1589</v>
      </c>
      <c r="L77" s="2">
        <v>1584</v>
      </c>
      <c r="M77" s="2">
        <v>1600</v>
      </c>
      <c r="N77" s="2">
        <v>1566</v>
      </c>
      <c r="O77" s="2">
        <v>1552</v>
      </c>
      <c r="P77" s="2">
        <v>1529</v>
      </c>
      <c r="Q77" s="2">
        <v>1529</v>
      </c>
      <c r="R77" s="2">
        <v>1529</v>
      </c>
      <c r="S77" s="2">
        <v>1529</v>
      </c>
      <c r="T77" s="2">
        <v>1529</v>
      </c>
      <c r="U77" s="2">
        <v>1529</v>
      </c>
      <c r="V77" s="2">
        <v>1529</v>
      </c>
      <c r="W77" s="2">
        <v>1529</v>
      </c>
      <c r="X77" s="2">
        <v>1529</v>
      </c>
      <c r="Y77" s="2">
        <v>1529</v>
      </c>
    </row>
    <row r="78" spans="3:25" x14ac:dyDescent="0.35">
      <c r="C78" t="s">
        <v>756</v>
      </c>
      <c r="D78">
        <v>1568</v>
      </c>
      <c r="E78" s="2">
        <v>1591</v>
      </c>
      <c r="F78" s="2">
        <v>1584</v>
      </c>
      <c r="G78" s="2">
        <v>1603</v>
      </c>
      <c r="H78" s="2">
        <v>1592</v>
      </c>
      <c r="I78" s="2">
        <v>1616</v>
      </c>
      <c r="J78" s="2">
        <v>1600</v>
      </c>
      <c r="K78" s="2">
        <v>1588</v>
      </c>
      <c r="L78" s="2">
        <v>1576</v>
      </c>
      <c r="M78" s="2">
        <v>1586</v>
      </c>
      <c r="N78" s="2">
        <v>1563</v>
      </c>
      <c r="O78" s="2">
        <v>1542</v>
      </c>
      <c r="P78" s="2">
        <v>1528</v>
      </c>
      <c r="Q78" s="2">
        <v>1528</v>
      </c>
      <c r="R78" s="2">
        <v>1528</v>
      </c>
      <c r="S78" s="2">
        <v>1528</v>
      </c>
      <c r="T78" s="2">
        <v>1528</v>
      </c>
      <c r="U78" s="2">
        <v>1528</v>
      </c>
      <c r="V78" s="2">
        <v>1528</v>
      </c>
      <c r="W78" s="2">
        <v>1528</v>
      </c>
      <c r="X78" s="2">
        <v>1528</v>
      </c>
      <c r="Y78" s="2">
        <v>1528</v>
      </c>
    </row>
    <row r="79" spans="3:25" x14ac:dyDescent="0.35">
      <c r="C79" t="s">
        <v>709</v>
      </c>
      <c r="D79">
        <v>1475</v>
      </c>
      <c r="E79" s="2">
        <v>1462</v>
      </c>
      <c r="F79" s="2">
        <v>1446</v>
      </c>
      <c r="G79" s="2">
        <v>1463</v>
      </c>
      <c r="H79" s="2">
        <v>1500</v>
      </c>
      <c r="I79" s="2">
        <v>1524</v>
      </c>
      <c r="J79" s="2">
        <v>1543</v>
      </c>
      <c r="K79" s="2">
        <v>1529</v>
      </c>
      <c r="L79" s="2">
        <v>1515</v>
      </c>
      <c r="M79" s="2">
        <v>1533</v>
      </c>
      <c r="N79" s="2">
        <v>1558</v>
      </c>
      <c r="O79" s="2">
        <v>1540</v>
      </c>
      <c r="P79" s="2">
        <v>1527</v>
      </c>
      <c r="Q79" s="2">
        <v>1527</v>
      </c>
      <c r="R79" s="2">
        <v>1527</v>
      </c>
      <c r="S79" s="2">
        <v>1527</v>
      </c>
      <c r="T79" s="2">
        <v>1527</v>
      </c>
      <c r="U79" s="2">
        <v>1527</v>
      </c>
      <c r="V79" s="2">
        <v>1527</v>
      </c>
      <c r="W79" s="2">
        <v>1527</v>
      </c>
      <c r="X79" s="2">
        <v>1527</v>
      </c>
      <c r="Y79" s="2">
        <v>1527</v>
      </c>
    </row>
    <row r="80" spans="3:25" x14ac:dyDescent="0.35">
      <c r="C80" t="s">
        <v>693</v>
      </c>
      <c r="D80">
        <v>1533</v>
      </c>
      <c r="E80" s="2">
        <v>1524</v>
      </c>
      <c r="F80" s="2">
        <v>1513</v>
      </c>
      <c r="G80" s="2">
        <v>1480</v>
      </c>
      <c r="H80" s="2">
        <v>1500</v>
      </c>
      <c r="I80" s="2">
        <v>1542</v>
      </c>
      <c r="J80" s="2">
        <v>1527</v>
      </c>
      <c r="K80" s="2">
        <v>1503</v>
      </c>
      <c r="L80" s="2">
        <v>1537</v>
      </c>
      <c r="M80" s="2">
        <v>1523</v>
      </c>
      <c r="N80" s="2">
        <v>1513</v>
      </c>
      <c r="O80" s="2">
        <v>1536</v>
      </c>
      <c r="P80" s="2">
        <v>1526</v>
      </c>
      <c r="Q80" s="2">
        <v>1526</v>
      </c>
      <c r="R80" s="2">
        <v>1526</v>
      </c>
      <c r="S80" s="2">
        <v>1526</v>
      </c>
      <c r="T80" s="2">
        <v>1526</v>
      </c>
      <c r="U80" s="2">
        <v>1526</v>
      </c>
      <c r="V80" s="2">
        <v>1526</v>
      </c>
      <c r="W80" s="2">
        <v>1526</v>
      </c>
      <c r="X80" s="2">
        <v>1526</v>
      </c>
      <c r="Y80" s="2">
        <v>1526</v>
      </c>
    </row>
    <row r="81" spans="2:25" x14ac:dyDescent="0.35">
      <c r="C81" t="s">
        <v>771</v>
      </c>
      <c r="D81">
        <v>1572</v>
      </c>
      <c r="E81" s="2">
        <v>1559</v>
      </c>
      <c r="F81" s="2">
        <v>1547</v>
      </c>
      <c r="G81" s="2">
        <v>1532</v>
      </c>
      <c r="H81" s="2">
        <v>1553</v>
      </c>
      <c r="I81" s="2">
        <v>1544</v>
      </c>
      <c r="J81" s="2">
        <v>1531</v>
      </c>
      <c r="K81" s="2">
        <v>1500</v>
      </c>
      <c r="L81" s="2">
        <v>1485</v>
      </c>
      <c r="M81" s="2">
        <v>1517</v>
      </c>
      <c r="N81" s="2">
        <v>1506</v>
      </c>
      <c r="O81" s="2">
        <v>1542</v>
      </c>
      <c r="P81" s="2">
        <v>1525</v>
      </c>
      <c r="Q81" s="2">
        <v>1525</v>
      </c>
      <c r="R81" s="2">
        <v>1525</v>
      </c>
      <c r="S81" s="2">
        <v>1525</v>
      </c>
      <c r="T81" s="2">
        <v>1525</v>
      </c>
      <c r="U81" s="2">
        <v>1525</v>
      </c>
      <c r="V81" s="2">
        <v>1525</v>
      </c>
      <c r="W81" s="2">
        <v>1525</v>
      </c>
      <c r="X81" s="2">
        <v>1525</v>
      </c>
      <c r="Y81" s="2">
        <v>1525</v>
      </c>
    </row>
    <row r="82" spans="2:25" x14ac:dyDescent="0.35">
      <c r="C82" t="s">
        <v>645</v>
      </c>
      <c r="D82">
        <v>1600</v>
      </c>
      <c r="E82" s="2">
        <v>1586</v>
      </c>
      <c r="F82" s="2">
        <v>1572</v>
      </c>
      <c r="G82" s="2">
        <v>1559</v>
      </c>
      <c r="H82" s="2">
        <v>1542</v>
      </c>
      <c r="I82" s="2">
        <v>1530</v>
      </c>
      <c r="J82" s="2">
        <v>1518</v>
      </c>
      <c r="K82" s="2">
        <v>1536</v>
      </c>
      <c r="L82" s="2">
        <v>1524</v>
      </c>
      <c r="M82" s="2">
        <v>1539</v>
      </c>
      <c r="N82" s="2">
        <v>1529</v>
      </c>
      <c r="O82" s="2">
        <v>1505</v>
      </c>
      <c r="P82" s="2">
        <v>1524</v>
      </c>
      <c r="Q82" s="2">
        <v>1524</v>
      </c>
      <c r="R82" s="2">
        <v>1524</v>
      </c>
      <c r="S82" s="2">
        <v>1524</v>
      </c>
      <c r="T82" s="2">
        <v>1524</v>
      </c>
      <c r="U82" s="2">
        <v>1524</v>
      </c>
      <c r="V82" s="2">
        <v>1524</v>
      </c>
      <c r="W82" s="2">
        <v>1524</v>
      </c>
      <c r="X82" s="2">
        <v>1524</v>
      </c>
      <c r="Y82" s="2">
        <v>1524</v>
      </c>
    </row>
    <row r="83" spans="2:25" x14ac:dyDescent="0.35">
      <c r="C83" t="s">
        <v>712</v>
      </c>
      <c r="D83">
        <v>1650</v>
      </c>
      <c r="E83" s="2">
        <v>1606</v>
      </c>
      <c r="F83" s="2">
        <v>1620</v>
      </c>
      <c r="G83" s="2">
        <v>1636</v>
      </c>
      <c r="H83" s="2">
        <v>1612</v>
      </c>
      <c r="I83" s="2">
        <v>1620</v>
      </c>
      <c r="J83" s="2">
        <v>1606</v>
      </c>
      <c r="K83" s="2">
        <v>1619</v>
      </c>
      <c r="L83" s="2">
        <v>1594</v>
      </c>
      <c r="M83" s="2">
        <v>1581</v>
      </c>
      <c r="N83" s="2">
        <v>1560</v>
      </c>
      <c r="O83" s="2">
        <v>1537</v>
      </c>
      <c r="P83" s="2">
        <v>1519</v>
      </c>
      <c r="Q83" s="2">
        <v>1519</v>
      </c>
      <c r="R83" s="2">
        <v>1519</v>
      </c>
      <c r="S83" s="2">
        <v>1519</v>
      </c>
      <c r="T83" s="2">
        <v>1519</v>
      </c>
      <c r="U83" s="2">
        <v>1519</v>
      </c>
      <c r="V83" s="2">
        <v>1519</v>
      </c>
      <c r="W83" s="2">
        <v>1519</v>
      </c>
      <c r="X83" s="2">
        <v>1519</v>
      </c>
      <c r="Y83" s="2">
        <v>1519</v>
      </c>
    </row>
    <row r="84" spans="2:25" x14ac:dyDescent="0.35">
      <c r="C84" t="s">
        <v>701</v>
      </c>
      <c r="D84">
        <v>1572</v>
      </c>
      <c r="E84" s="2">
        <v>1596</v>
      </c>
      <c r="F84" s="2">
        <v>1579</v>
      </c>
      <c r="G84" s="2">
        <v>1587</v>
      </c>
      <c r="H84" s="2">
        <v>1569</v>
      </c>
      <c r="I84" s="2">
        <v>1598</v>
      </c>
      <c r="J84" s="2">
        <v>1575</v>
      </c>
      <c r="K84" s="2">
        <v>1560</v>
      </c>
      <c r="L84" s="2">
        <v>1576</v>
      </c>
      <c r="M84" s="2">
        <v>1562</v>
      </c>
      <c r="N84" s="2">
        <v>1551</v>
      </c>
      <c r="O84" s="2">
        <v>1536</v>
      </c>
      <c r="P84" s="2">
        <v>1514</v>
      </c>
      <c r="Q84" s="2">
        <v>1514</v>
      </c>
      <c r="R84" s="2">
        <v>1514</v>
      </c>
      <c r="S84" s="2">
        <v>1514</v>
      </c>
      <c r="T84" s="2">
        <v>1514</v>
      </c>
      <c r="U84" s="2">
        <v>1514</v>
      </c>
      <c r="V84" s="2">
        <v>1514</v>
      </c>
      <c r="W84" s="2">
        <v>1514</v>
      </c>
      <c r="X84" s="2">
        <v>1514</v>
      </c>
      <c r="Y84" s="2">
        <v>1514</v>
      </c>
    </row>
    <row r="85" spans="2:25" x14ac:dyDescent="0.35">
      <c r="C85" t="s">
        <v>716</v>
      </c>
      <c r="D85">
        <v>1588</v>
      </c>
      <c r="E85" s="2">
        <v>1567</v>
      </c>
      <c r="F85" s="2">
        <v>1556</v>
      </c>
      <c r="G85" s="2">
        <v>1569</v>
      </c>
      <c r="H85" s="2">
        <v>1543</v>
      </c>
      <c r="I85" s="2">
        <v>1521</v>
      </c>
      <c r="J85" s="2">
        <v>1499</v>
      </c>
      <c r="K85" s="2">
        <v>1485</v>
      </c>
      <c r="L85" s="2">
        <v>1504</v>
      </c>
      <c r="M85" s="2">
        <v>1485</v>
      </c>
      <c r="N85" s="2">
        <v>1503</v>
      </c>
      <c r="O85" s="2">
        <v>1492</v>
      </c>
      <c r="P85" s="2">
        <v>1513</v>
      </c>
      <c r="Q85" s="2">
        <v>1513</v>
      </c>
      <c r="R85" s="2">
        <v>1513</v>
      </c>
      <c r="S85" s="2">
        <v>1513</v>
      </c>
      <c r="T85" s="2">
        <v>1513</v>
      </c>
      <c r="U85" s="2">
        <v>1513</v>
      </c>
      <c r="V85" s="2">
        <v>1513</v>
      </c>
      <c r="W85" s="2">
        <v>1513</v>
      </c>
      <c r="X85" s="2">
        <v>1513</v>
      </c>
      <c r="Y85" s="2">
        <v>1513</v>
      </c>
    </row>
    <row r="86" spans="2:25" x14ac:dyDescent="0.35">
      <c r="C86" t="s">
        <v>777</v>
      </c>
      <c r="D86">
        <v>1590</v>
      </c>
      <c r="E86" s="2">
        <v>1560</v>
      </c>
      <c r="F86" s="2">
        <v>1552</v>
      </c>
      <c r="G86" s="2">
        <v>1568</v>
      </c>
      <c r="H86" s="2">
        <v>1553</v>
      </c>
      <c r="I86" s="2">
        <v>1541</v>
      </c>
      <c r="J86" s="2">
        <v>1527</v>
      </c>
      <c r="K86" s="2">
        <v>1518</v>
      </c>
      <c r="L86" s="2">
        <v>1536</v>
      </c>
      <c r="M86" s="2">
        <v>1518</v>
      </c>
      <c r="N86" s="2">
        <v>1541</v>
      </c>
      <c r="O86" s="2">
        <v>1530</v>
      </c>
      <c r="P86" s="2">
        <v>1506</v>
      </c>
      <c r="Q86" s="2">
        <v>1506</v>
      </c>
      <c r="R86" s="2">
        <v>1506</v>
      </c>
      <c r="S86" s="2">
        <v>1506</v>
      </c>
      <c r="T86" s="2">
        <v>1506</v>
      </c>
      <c r="U86" s="2">
        <v>1506</v>
      </c>
      <c r="V86" s="2">
        <v>1506</v>
      </c>
      <c r="W86" s="2">
        <v>1506</v>
      </c>
      <c r="X86" s="2">
        <v>1506</v>
      </c>
      <c r="Y86" s="2">
        <v>1506</v>
      </c>
    </row>
    <row r="87" spans="2:25" x14ac:dyDescent="0.35">
      <c r="C87" t="s">
        <v>753</v>
      </c>
      <c r="D87">
        <v>1608</v>
      </c>
      <c r="E87" s="2">
        <v>1622</v>
      </c>
      <c r="F87" s="2">
        <v>1580</v>
      </c>
      <c r="G87" s="2">
        <v>1564</v>
      </c>
      <c r="H87" s="2">
        <v>1582</v>
      </c>
      <c r="I87" s="2">
        <v>1557</v>
      </c>
      <c r="J87" s="2">
        <v>1542</v>
      </c>
      <c r="K87" s="2">
        <v>1573</v>
      </c>
      <c r="L87" s="2">
        <v>1557</v>
      </c>
      <c r="M87" s="2">
        <v>1543</v>
      </c>
      <c r="N87" s="2">
        <v>1521</v>
      </c>
      <c r="O87" s="2">
        <v>1507</v>
      </c>
      <c r="P87" s="2">
        <v>1498</v>
      </c>
      <c r="Q87" s="2">
        <v>1498</v>
      </c>
      <c r="R87" s="2">
        <v>1498</v>
      </c>
      <c r="S87" s="2">
        <v>1498</v>
      </c>
      <c r="T87" s="2">
        <v>1498</v>
      </c>
      <c r="U87" s="2">
        <v>1498</v>
      </c>
      <c r="V87" s="2">
        <v>1498</v>
      </c>
      <c r="W87" s="2">
        <v>1498</v>
      </c>
      <c r="X87" s="2">
        <v>1498</v>
      </c>
      <c r="Y87" s="2">
        <v>1498</v>
      </c>
    </row>
    <row r="88" spans="2:25" x14ac:dyDescent="0.35">
      <c r="C88" t="s">
        <v>792</v>
      </c>
      <c r="D88">
        <v>1509</v>
      </c>
      <c r="E88" s="2">
        <v>1529</v>
      </c>
      <c r="F88" s="2">
        <v>1514</v>
      </c>
      <c r="G88" s="2">
        <v>1502</v>
      </c>
      <c r="H88" s="2">
        <v>1526</v>
      </c>
      <c r="I88" s="2">
        <v>1512</v>
      </c>
      <c r="J88" s="2">
        <v>1501</v>
      </c>
      <c r="K88" s="2">
        <v>1491</v>
      </c>
      <c r="L88" s="2">
        <v>1481</v>
      </c>
      <c r="M88" s="2">
        <v>1498</v>
      </c>
      <c r="N88" s="2">
        <v>1530</v>
      </c>
      <c r="O88" s="2">
        <v>1513</v>
      </c>
      <c r="P88" s="2">
        <v>1496</v>
      </c>
      <c r="Q88" s="2">
        <v>1496</v>
      </c>
      <c r="R88" s="2">
        <v>1496</v>
      </c>
      <c r="S88" s="2">
        <v>1496</v>
      </c>
      <c r="T88" s="2">
        <v>1496</v>
      </c>
      <c r="U88" s="2">
        <v>1496</v>
      </c>
      <c r="V88" s="2">
        <v>1496</v>
      </c>
      <c r="W88" s="2">
        <v>1496</v>
      </c>
      <c r="X88" s="2">
        <v>1496</v>
      </c>
      <c r="Y88" s="2">
        <v>1496</v>
      </c>
    </row>
    <row r="89" spans="2:25" x14ac:dyDescent="0.35">
      <c r="C89" t="s">
        <v>1156</v>
      </c>
      <c r="D89">
        <v>1600</v>
      </c>
      <c r="E89" s="2">
        <v>1587</v>
      </c>
      <c r="F89" s="2">
        <v>1574</v>
      </c>
      <c r="G89" s="2">
        <v>1561</v>
      </c>
      <c r="H89" s="2">
        <v>1575</v>
      </c>
      <c r="I89" s="2">
        <v>1564</v>
      </c>
      <c r="J89" s="2">
        <v>1593</v>
      </c>
      <c r="K89" s="2">
        <v>1581</v>
      </c>
      <c r="L89" s="2">
        <v>1567</v>
      </c>
      <c r="M89" s="2">
        <v>1552</v>
      </c>
      <c r="N89" s="2">
        <v>1531</v>
      </c>
      <c r="O89" s="2">
        <v>1505</v>
      </c>
      <c r="P89" s="2">
        <v>1495</v>
      </c>
      <c r="Q89" s="2">
        <v>1495</v>
      </c>
      <c r="R89" s="2">
        <v>1495</v>
      </c>
      <c r="S89" s="2">
        <v>1495</v>
      </c>
      <c r="T89" s="2">
        <v>1495</v>
      </c>
      <c r="U89" s="2">
        <v>1495</v>
      </c>
      <c r="V89" s="2">
        <v>1495</v>
      </c>
      <c r="W89" s="2">
        <v>1495</v>
      </c>
      <c r="X89" s="2">
        <v>1495</v>
      </c>
      <c r="Y89" s="2">
        <v>1495</v>
      </c>
    </row>
    <row r="90" spans="2:25" x14ac:dyDescent="0.35">
      <c r="B90" s="2"/>
      <c r="C90" s="2" t="s">
        <v>760</v>
      </c>
      <c r="D90" s="2">
        <v>1686</v>
      </c>
      <c r="E90" s="2">
        <v>1661</v>
      </c>
      <c r="F90" s="2">
        <v>1643</v>
      </c>
      <c r="G90" s="2">
        <v>1627</v>
      </c>
      <c r="H90" s="2">
        <v>1605</v>
      </c>
      <c r="I90" s="2">
        <v>1563</v>
      </c>
      <c r="J90" s="2">
        <v>1542</v>
      </c>
      <c r="K90" s="2">
        <v>1524</v>
      </c>
      <c r="L90" s="2">
        <v>1512</v>
      </c>
      <c r="M90" s="2">
        <v>1541</v>
      </c>
      <c r="N90" s="2">
        <v>1523</v>
      </c>
      <c r="O90" s="2">
        <v>1501</v>
      </c>
      <c r="P90" s="2">
        <v>1484</v>
      </c>
      <c r="Q90" s="2">
        <v>1484</v>
      </c>
      <c r="R90" s="2">
        <v>1484</v>
      </c>
      <c r="S90" s="2">
        <v>1484</v>
      </c>
      <c r="T90" s="2">
        <v>1484</v>
      </c>
      <c r="U90" s="2">
        <v>1484</v>
      </c>
      <c r="V90" s="2">
        <v>1484</v>
      </c>
      <c r="W90" s="2">
        <v>1484</v>
      </c>
      <c r="X90" s="2">
        <v>1484</v>
      </c>
      <c r="Y90" s="2">
        <v>1484</v>
      </c>
    </row>
    <row r="91" spans="2:25" x14ac:dyDescent="0.35">
      <c r="C91" t="s">
        <v>706</v>
      </c>
      <c r="D91">
        <v>1607</v>
      </c>
      <c r="E91" s="2">
        <v>1577</v>
      </c>
      <c r="F91" s="2">
        <v>1564</v>
      </c>
      <c r="G91" s="2">
        <v>1550</v>
      </c>
      <c r="H91" s="2">
        <v>1526</v>
      </c>
      <c r="I91" s="2">
        <v>1517</v>
      </c>
      <c r="J91" s="2">
        <v>1499</v>
      </c>
      <c r="K91" s="2">
        <v>1485</v>
      </c>
      <c r="L91" s="2">
        <v>1470</v>
      </c>
      <c r="M91" s="2">
        <v>1447</v>
      </c>
      <c r="N91" s="2">
        <v>1469</v>
      </c>
      <c r="O91" s="2">
        <v>1453</v>
      </c>
      <c r="P91" s="2">
        <v>1475</v>
      </c>
      <c r="Q91" s="2">
        <v>1475</v>
      </c>
      <c r="R91" s="2">
        <v>1475</v>
      </c>
      <c r="S91" s="2">
        <v>1475</v>
      </c>
      <c r="T91" s="2">
        <v>1475</v>
      </c>
      <c r="U91" s="2">
        <v>1475</v>
      </c>
      <c r="V91" s="2">
        <v>1475</v>
      </c>
      <c r="W91" s="2">
        <v>1475</v>
      </c>
      <c r="X91" s="2">
        <v>1475</v>
      </c>
      <c r="Y91" s="2">
        <v>1475</v>
      </c>
    </row>
    <row r="92" spans="2:25" x14ac:dyDescent="0.35">
      <c r="C92" t="s">
        <v>772</v>
      </c>
      <c r="D92">
        <v>1466</v>
      </c>
      <c r="E92" s="2">
        <v>1452</v>
      </c>
      <c r="F92" s="2">
        <v>1438</v>
      </c>
      <c r="G92" s="2">
        <v>1471</v>
      </c>
      <c r="H92" s="2">
        <v>1460</v>
      </c>
      <c r="I92" s="2">
        <v>1452</v>
      </c>
      <c r="J92" s="2">
        <v>1469</v>
      </c>
      <c r="K92" s="2">
        <v>1460</v>
      </c>
      <c r="L92" s="2">
        <v>1453</v>
      </c>
      <c r="M92" s="2">
        <v>1445</v>
      </c>
      <c r="N92" s="2">
        <v>1433</v>
      </c>
      <c r="O92" s="2">
        <v>1455</v>
      </c>
      <c r="P92" s="2">
        <v>1472</v>
      </c>
      <c r="Q92" s="2">
        <v>1472</v>
      </c>
      <c r="R92" s="2">
        <v>1472</v>
      </c>
      <c r="S92" s="2">
        <v>1472</v>
      </c>
      <c r="T92" s="2">
        <v>1472</v>
      </c>
      <c r="U92" s="2">
        <v>1472</v>
      </c>
      <c r="V92" s="2">
        <v>1472</v>
      </c>
      <c r="W92" s="2">
        <v>1472</v>
      </c>
      <c r="X92" s="2">
        <v>1472</v>
      </c>
      <c r="Y92" s="2">
        <v>1472</v>
      </c>
    </row>
    <row r="93" spans="2:25" x14ac:dyDescent="0.35">
      <c r="C93" t="s">
        <v>677</v>
      </c>
      <c r="D93">
        <v>1545</v>
      </c>
      <c r="E93" s="2">
        <v>1537</v>
      </c>
      <c r="F93" s="2">
        <v>1517</v>
      </c>
      <c r="G93" s="2">
        <v>1504</v>
      </c>
      <c r="H93" s="2">
        <v>1485</v>
      </c>
      <c r="I93" s="2">
        <v>1476</v>
      </c>
      <c r="J93" s="2">
        <v>1514</v>
      </c>
      <c r="K93" s="2">
        <v>1499</v>
      </c>
      <c r="L93" s="2">
        <v>1487</v>
      </c>
      <c r="M93" s="2">
        <v>1474</v>
      </c>
      <c r="N93" s="2">
        <v>1462</v>
      </c>
      <c r="O93" s="2">
        <v>1443</v>
      </c>
      <c r="P93" s="2">
        <v>1466</v>
      </c>
      <c r="Q93" s="2">
        <v>1466</v>
      </c>
      <c r="R93" s="2">
        <v>1466</v>
      </c>
      <c r="S93" s="2">
        <v>1466</v>
      </c>
      <c r="T93" s="2">
        <v>1466</v>
      </c>
      <c r="U93" s="2">
        <v>1466</v>
      </c>
      <c r="V93" s="2">
        <v>1466</v>
      </c>
      <c r="W93" s="2">
        <v>1466</v>
      </c>
      <c r="X93" s="2">
        <v>1466</v>
      </c>
      <c r="Y93" s="2">
        <v>1466</v>
      </c>
    </row>
    <row r="94" spans="2:25" x14ac:dyDescent="0.35">
      <c r="C94" t="s">
        <v>465</v>
      </c>
      <c r="D94">
        <v>1471</v>
      </c>
      <c r="E94" s="2">
        <v>1492</v>
      </c>
      <c r="F94" s="2">
        <v>1478</v>
      </c>
      <c r="G94" s="2">
        <v>1468</v>
      </c>
      <c r="H94" s="2">
        <v>1458</v>
      </c>
      <c r="I94" s="2">
        <v>1445</v>
      </c>
      <c r="J94" s="2">
        <v>1467</v>
      </c>
      <c r="K94" s="2">
        <v>1457</v>
      </c>
      <c r="L94" s="2">
        <v>1437</v>
      </c>
      <c r="M94" s="2">
        <v>1429</v>
      </c>
      <c r="N94" s="2">
        <v>1451</v>
      </c>
      <c r="O94" s="2">
        <v>1439</v>
      </c>
      <c r="P94" s="2">
        <v>1463</v>
      </c>
      <c r="Q94" s="2">
        <v>1463</v>
      </c>
      <c r="R94" s="2">
        <v>1463</v>
      </c>
      <c r="S94" s="2">
        <v>1463</v>
      </c>
      <c r="T94" s="2">
        <v>1463</v>
      </c>
      <c r="U94" s="2">
        <v>1463</v>
      </c>
      <c r="V94" s="2">
        <v>1463</v>
      </c>
      <c r="W94" s="2">
        <v>1463</v>
      </c>
      <c r="X94" s="2">
        <v>1463</v>
      </c>
      <c r="Y94" s="2">
        <v>1463</v>
      </c>
    </row>
    <row r="95" spans="2:25" x14ac:dyDescent="0.35">
      <c r="C95" t="s">
        <v>678</v>
      </c>
      <c r="D95">
        <v>1495</v>
      </c>
      <c r="E95" s="2">
        <v>1481</v>
      </c>
      <c r="F95" s="2">
        <v>1465</v>
      </c>
      <c r="G95" s="2">
        <v>1449</v>
      </c>
      <c r="H95" s="2">
        <v>1431</v>
      </c>
      <c r="I95" s="2">
        <v>1451</v>
      </c>
      <c r="J95" s="2">
        <v>1436</v>
      </c>
      <c r="K95" s="2">
        <v>1423</v>
      </c>
      <c r="L95" s="2">
        <v>1415</v>
      </c>
      <c r="M95" s="2">
        <v>1393</v>
      </c>
      <c r="N95" s="2">
        <v>1413</v>
      </c>
      <c r="O95" s="2">
        <v>1435</v>
      </c>
      <c r="P95" s="2">
        <v>1458</v>
      </c>
      <c r="Q95" s="2">
        <v>1458</v>
      </c>
      <c r="R95" s="2">
        <v>1458</v>
      </c>
      <c r="S95" s="2">
        <v>1458</v>
      </c>
      <c r="T95" s="2">
        <v>1458</v>
      </c>
      <c r="U95" s="2">
        <v>1458</v>
      </c>
      <c r="V95" s="2">
        <v>1458</v>
      </c>
      <c r="W95" s="2">
        <v>1458</v>
      </c>
      <c r="X95" s="2">
        <v>1458</v>
      </c>
      <c r="Y95" s="2">
        <v>1458</v>
      </c>
    </row>
    <row r="96" spans="2:25" x14ac:dyDescent="0.35">
      <c r="C96" t="s">
        <v>723</v>
      </c>
      <c r="D96">
        <v>1435</v>
      </c>
      <c r="E96" s="2">
        <v>1458</v>
      </c>
      <c r="F96" s="2">
        <v>1446</v>
      </c>
      <c r="G96" s="2">
        <v>1438</v>
      </c>
      <c r="H96" s="2">
        <v>1429</v>
      </c>
      <c r="I96" s="2">
        <v>1454</v>
      </c>
      <c r="J96" s="2">
        <v>1446</v>
      </c>
      <c r="K96" s="2">
        <v>1434</v>
      </c>
      <c r="L96" s="2">
        <v>1427</v>
      </c>
      <c r="M96" s="2">
        <v>1451</v>
      </c>
      <c r="N96" s="2">
        <v>1481</v>
      </c>
      <c r="O96" s="2">
        <v>1470</v>
      </c>
      <c r="P96" s="2">
        <v>1457</v>
      </c>
      <c r="Q96" s="2">
        <v>1457</v>
      </c>
      <c r="R96" s="2">
        <v>1457</v>
      </c>
      <c r="S96" s="2">
        <v>1457</v>
      </c>
      <c r="T96" s="2">
        <v>1457</v>
      </c>
      <c r="U96" s="2">
        <v>1457</v>
      </c>
      <c r="V96" s="2">
        <v>1457</v>
      </c>
      <c r="W96" s="2">
        <v>1457</v>
      </c>
      <c r="X96" s="2">
        <v>1457</v>
      </c>
      <c r="Y96" s="2">
        <v>1457</v>
      </c>
    </row>
    <row r="97" spans="3:25" x14ac:dyDescent="0.35">
      <c r="C97" t="s">
        <v>726</v>
      </c>
      <c r="D97">
        <v>1527</v>
      </c>
      <c r="E97" s="2">
        <v>1518</v>
      </c>
      <c r="F97" s="2">
        <v>1538</v>
      </c>
      <c r="G97" s="2">
        <v>1519</v>
      </c>
      <c r="H97" s="2">
        <v>1505</v>
      </c>
      <c r="I97" s="2">
        <v>1487</v>
      </c>
      <c r="J97" s="2">
        <v>1464</v>
      </c>
      <c r="K97" s="2">
        <v>1449</v>
      </c>
      <c r="L97" s="2">
        <v>1439</v>
      </c>
      <c r="M97" s="2">
        <v>1429</v>
      </c>
      <c r="N97" s="2">
        <v>1424</v>
      </c>
      <c r="O97" s="2">
        <v>1414</v>
      </c>
      <c r="P97" s="2">
        <v>1402</v>
      </c>
      <c r="Q97" s="2">
        <v>1402</v>
      </c>
      <c r="R97" s="2">
        <v>1402</v>
      </c>
      <c r="S97" s="2">
        <v>1402</v>
      </c>
      <c r="T97" s="2">
        <v>1402</v>
      </c>
      <c r="U97" s="2">
        <v>1402</v>
      </c>
      <c r="V97" s="2">
        <v>1402</v>
      </c>
      <c r="W97" s="2">
        <v>1402</v>
      </c>
      <c r="X97" s="2">
        <v>1402</v>
      </c>
      <c r="Y97" s="2">
        <v>1402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CJ113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18.08984375" customWidth="1"/>
  </cols>
  <sheetData>
    <row r="1" spans="1:88" x14ac:dyDescent="0.35">
      <c r="A1" t="s">
        <v>3436</v>
      </c>
      <c r="B1" t="s">
        <v>1325</v>
      </c>
      <c r="C1" t="s">
        <v>1098</v>
      </c>
      <c r="D1" t="s">
        <v>1099</v>
      </c>
      <c r="E1" t="s">
        <v>1100</v>
      </c>
      <c r="F1" t="s">
        <v>1101</v>
      </c>
      <c r="G1" t="s">
        <v>1102</v>
      </c>
      <c r="H1" t="s">
        <v>1103</v>
      </c>
      <c r="I1" t="s">
        <v>1104</v>
      </c>
      <c r="J1" t="s">
        <v>1105</v>
      </c>
      <c r="K1" t="s">
        <v>1106</v>
      </c>
      <c r="L1" t="s">
        <v>1107</v>
      </c>
      <c r="M1" t="s">
        <v>1108</v>
      </c>
      <c r="N1" t="s">
        <v>1109</v>
      </c>
      <c r="O1" t="s">
        <v>1110</v>
      </c>
      <c r="P1" t="s">
        <v>1111</v>
      </c>
      <c r="Q1" t="s">
        <v>1112</v>
      </c>
      <c r="R1" t="s">
        <v>1113</v>
      </c>
      <c r="S1" t="s">
        <v>1114</v>
      </c>
      <c r="T1" t="s">
        <v>1115</v>
      </c>
      <c r="U1" t="s">
        <v>1135</v>
      </c>
      <c r="V1" t="s">
        <v>1323</v>
      </c>
      <c r="W1" t="s">
        <v>1324</v>
      </c>
      <c r="X1" t="s">
        <v>1327</v>
      </c>
      <c r="Y1" t="s">
        <v>1328</v>
      </c>
      <c r="Z1" t="s">
        <v>1329</v>
      </c>
      <c r="AA1" t="s">
        <v>1330</v>
      </c>
      <c r="AB1" t="s">
        <v>1331</v>
      </c>
      <c r="AC1" t="s">
        <v>1332</v>
      </c>
      <c r="AD1" t="s">
        <v>1333</v>
      </c>
      <c r="AE1" t="s">
        <v>1334</v>
      </c>
      <c r="AF1" t="s">
        <v>1335</v>
      </c>
      <c r="AG1" t="s">
        <v>1336</v>
      </c>
      <c r="AH1" t="s">
        <v>1337</v>
      </c>
      <c r="AI1" t="s">
        <v>1338</v>
      </c>
      <c r="AJ1" t="s">
        <v>1339</v>
      </c>
      <c r="AK1" t="s">
        <v>1340</v>
      </c>
      <c r="AL1" t="s">
        <v>1341</v>
      </c>
      <c r="AM1" t="s">
        <v>1342</v>
      </c>
      <c r="AN1" t="s">
        <v>1343</v>
      </c>
      <c r="AO1" t="s">
        <v>1344</v>
      </c>
      <c r="AP1" t="s">
        <v>1345</v>
      </c>
      <c r="AQ1" t="s">
        <v>1346</v>
      </c>
      <c r="AR1" t="s">
        <v>1347</v>
      </c>
      <c r="AS1" t="s">
        <v>1348</v>
      </c>
      <c r="AT1" t="s">
        <v>1349</v>
      </c>
      <c r="AU1" t="s">
        <v>1350</v>
      </c>
      <c r="AV1" t="s">
        <v>1351</v>
      </c>
      <c r="AW1" t="s">
        <v>1352</v>
      </c>
      <c r="AX1" t="s">
        <v>1353</v>
      </c>
      <c r="AY1" t="s">
        <v>1354</v>
      </c>
      <c r="AZ1" t="s">
        <v>1355</v>
      </c>
      <c r="BA1" t="s">
        <v>3403</v>
      </c>
      <c r="BB1" t="s">
        <v>3404</v>
      </c>
      <c r="BC1" t="s">
        <v>3405</v>
      </c>
      <c r="BD1" t="s">
        <v>3407</v>
      </c>
      <c r="BE1" t="s">
        <v>3401</v>
      </c>
      <c r="BF1" t="s">
        <v>3408</v>
      </c>
      <c r="BG1" t="s">
        <v>3409</v>
      </c>
      <c r="BH1" t="s">
        <v>3411</v>
      </c>
      <c r="BI1" t="s">
        <v>3412</v>
      </c>
      <c r="BJ1" t="s">
        <v>3413</v>
      </c>
      <c r="BK1" t="s">
        <v>3414</v>
      </c>
      <c r="BL1" t="s">
        <v>3415</v>
      </c>
      <c r="BM1" t="s">
        <v>3416</v>
      </c>
      <c r="BN1" t="s">
        <v>3417</v>
      </c>
      <c r="BO1" t="s">
        <v>3418</v>
      </c>
      <c r="BP1" t="s">
        <v>3400</v>
      </c>
      <c r="BQ1" t="s">
        <v>3419</v>
      </c>
      <c r="BR1" t="s">
        <v>3399</v>
      </c>
      <c r="BS1" t="s">
        <v>3421</v>
      </c>
      <c r="BT1" t="s">
        <v>3422</v>
      </c>
      <c r="BU1" t="s">
        <v>3424</v>
      </c>
      <c r="BV1" t="s">
        <v>3425</v>
      </c>
      <c r="BW1" t="s">
        <v>3426</v>
      </c>
      <c r="BX1" t="s">
        <v>3423</v>
      </c>
      <c r="BY1" t="s">
        <v>3428</v>
      </c>
      <c r="BZ1" t="s">
        <v>3429</v>
      </c>
      <c r="CA1" t="s">
        <v>3402</v>
      </c>
      <c r="CB1" t="s">
        <v>3410</v>
      </c>
      <c r="CC1" t="s">
        <v>3430</v>
      </c>
      <c r="CD1" t="s">
        <v>3431</v>
      </c>
      <c r="CE1" t="s">
        <v>3406</v>
      </c>
      <c r="CF1" t="s">
        <v>3432</v>
      </c>
      <c r="CG1" t="s">
        <v>3433</v>
      </c>
      <c r="CH1" t="s">
        <v>3434</v>
      </c>
      <c r="CI1" t="s">
        <v>3435</v>
      </c>
      <c r="CJ1" t="s">
        <v>3427</v>
      </c>
    </row>
    <row r="2" spans="1:88" s="2" customFormat="1" x14ac:dyDescent="0.35">
      <c r="A2" s="2" t="s">
        <v>663</v>
      </c>
      <c r="B2" s="2">
        <v>1950</v>
      </c>
      <c r="C2" s="2">
        <v>1955</v>
      </c>
      <c r="D2" s="2">
        <v>1958</v>
      </c>
      <c r="E2" s="2">
        <v>1919</v>
      </c>
      <c r="F2" s="2">
        <v>1925</v>
      </c>
      <c r="G2" s="2">
        <v>1925</v>
      </c>
      <c r="H2" s="2">
        <v>1925</v>
      </c>
      <c r="I2" s="2">
        <v>1902</v>
      </c>
      <c r="J2" s="2">
        <v>1902</v>
      </c>
      <c r="K2" s="2">
        <v>1902</v>
      </c>
      <c r="L2" s="2">
        <v>1911</v>
      </c>
      <c r="M2" s="2">
        <v>1911</v>
      </c>
      <c r="N2" s="2">
        <v>1911</v>
      </c>
      <c r="O2" s="2">
        <v>1916</v>
      </c>
      <c r="P2" s="2">
        <v>1921</v>
      </c>
      <c r="Q2" s="2">
        <v>1882</v>
      </c>
    </row>
    <row r="3" spans="1:88" s="2" customFormat="1" x14ac:dyDescent="0.35">
      <c r="A3" s="2" t="s">
        <v>644</v>
      </c>
      <c r="B3" s="2">
        <v>1823</v>
      </c>
      <c r="C3" s="2">
        <v>1839</v>
      </c>
      <c r="D3" s="2">
        <v>1849</v>
      </c>
      <c r="E3" s="2">
        <v>1819</v>
      </c>
      <c r="F3" s="2">
        <v>1829</v>
      </c>
      <c r="G3" s="2">
        <v>1829</v>
      </c>
      <c r="H3" s="2">
        <v>1829</v>
      </c>
      <c r="I3" s="2">
        <v>1852</v>
      </c>
      <c r="J3" s="2">
        <v>1852</v>
      </c>
      <c r="K3" s="2">
        <v>1852</v>
      </c>
      <c r="L3" s="2">
        <v>1824</v>
      </c>
      <c r="M3" s="2">
        <v>1824</v>
      </c>
      <c r="N3" s="2">
        <v>1824</v>
      </c>
      <c r="O3" s="2">
        <v>1833</v>
      </c>
      <c r="P3" s="2">
        <v>1844</v>
      </c>
      <c r="Q3" s="2">
        <v>1851</v>
      </c>
    </row>
    <row r="4" spans="1:88" s="2" customFormat="1" x14ac:dyDescent="0.35">
      <c r="A4" s="2" t="s">
        <v>245</v>
      </c>
      <c r="B4" s="2">
        <v>1729</v>
      </c>
      <c r="C4" s="2">
        <v>1746</v>
      </c>
      <c r="D4" s="2">
        <v>1758</v>
      </c>
      <c r="E4" s="2">
        <v>1778</v>
      </c>
      <c r="F4" s="2">
        <v>1794</v>
      </c>
      <c r="G4" s="2">
        <v>1794</v>
      </c>
      <c r="H4" s="2">
        <v>1794</v>
      </c>
      <c r="I4" s="2">
        <v>1806</v>
      </c>
      <c r="J4" s="2">
        <v>1806</v>
      </c>
      <c r="K4" s="2">
        <v>1806</v>
      </c>
      <c r="L4" s="2">
        <v>1813</v>
      </c>
      <c r="M4" s="2">
        <v>1813</v>
      </c>
      <c r="N4" s="2">
        <v>1813</v>
      </c>
      <c r="O4" s="2">
        <v>1825</v>
      </c>
      <c r="P4" s="2">
        <v>1839</v>
      </c>
      <c r="Q4" s="2">
        <v>1845</v>
      </c>
    </row>
    <row r="5" spans="1:88" s="2" customFormat="1" x14ac:dyDescent="0.35">
      <c r="A5" s="2" t="s">
        <v>242</v>
      </c>
      <c r="B5" s="2">
        <v>1731</v>
      </c>
      <c r="C5" s="2">
        <v>1755</v>
      </c>
      <c r="D5" s="2">
        <v>1777</v>
      </c>
      <c r="E5" s="2">
        <v>1794</v>
      </c>
      <c r="F5" s="2">
        <v>1800</v>
      </c>
      <c r="G5" s="2">
        <v>1800</v>
      </c>
      <c r="H5" s="2">
        <v>1800</v>
      </c>
      <c r="I5" s="2">
        <v>1810</v>
      </c>
      <c r="J5" s="2">
        <v>1810</v>
      </c>
      <c r="K5" s="2">
        <v>1810</v>
      </c>
      <c r="L5" s="2">
        <v>1816</v>
      </c>
      <c r="M5" s="2">
        <v>1816</v>
      </c>
      <c r="N5" s="2">
        <v>1816</v>
      </c>
      <c r="O5" s="2">
        <v>1836</v>
      </c>
      <c r="P5" s="2">
        <v>1856</v>
      </c>
      <c r="Q5" s="2">
        <v>1832</v>
      </c>
    </row>
    <row r="6" spans="1:88" s="2" customFormat="1" x14ac:dyDescent="0.35">
      <c r="A6" s="2" t="s">
        <v>718</v>
      </c>
      <c r="B6" s="2">
        <v>1745</v>
      </c>
      <c r="C6" s="2">
        <v>1718</v>
      </c>
      <c r="D6" s="2">
        <v>1730</v>
      </c>
      <c r="E6" s="2">
        <v>1745</v>
      </c>
      <c r="F6" s="2">
        <v>1760</v>
      </c>
      <c r="G6" s="2">
        <v>1760</v>
      </c>
      <c r="H6" s="2">
        <v>1760</v>
      </c>
      <c r="I6" s="2">
        <v>1770</v>
      </c>
      <c r="J6" s="2">
        <v>1770</v>
      </c>
      <c r="K6" s="2">
        <v>1782</v>
      </c>
      <c r="L6" s="2">
        <v>1790</v>
      </c>
      <c r="M6" s="2">
        <v>1790</v>
      </c>
      <c r="N6" s="2">
        <v>1790</v>
      </c>
      <c r="O6" s="2">
        <v>1805</v>
      </c>
      <c r="P6" s="2">
        <v>1818</v>
      </c>
      <c r="Q6" s="2">
        <v>1825</v>
      </c>
    </row>
    <row r="7" spans="1:88" s="2" customFormat="1" x14ac:dyDescent="0.35">
      <c r="A7" s="2" t="s">
        <v>466</v>
      </c>
      <c r="B7" s="2">
        <v>1585</v>
      </c>
      <c r="C7" s="2">
        <v>1606</v>
      </c>
      <c r="D7" s="2">
        <v>1633</v>
      </c>
      <c r="E7" s="2">
        <v>1665</v>
      </c>
      <c r="F7" s="2">
        <v>1679</v>
      </c>
      <c r="G7" s="2">
        <v>1679</v>
      </c>
      <c r="H7" s="2">
        <v>1679</v>
      </c>
      <c r="I7" s="2">
        <v>1689</v>
      </c>
      <c r="J7" s="2">
        <v>1689</v>
      </c>
      <c r="K7" s="2">
        <v>1711</v>
      </c>
      <c r="L7" s="2">
        <v>1739</v>
      </c>
      <c r="M7" s="2">
        <v>1764</v>
      </c>
      <c r="N7" s="2">
        <v>1778</v>
      </c>
      <c r="O7" s="2">
        <v>1753</v>
      </c>
      <c r="P7" s="2">
        <v>1771</v>
      </c>
      <c r="Q7" s="2">
        <v>1801</v>
      </c>
    </row>
    <row r="8" spans="1:88" s="2" customFormat="1" x14ac:dyDescent="0.35">
      <c r="A8" s="2" t="s">
        <v>467</v>
      </c>
      <c r="B8" s="2">
        <v>1779</v>
      </c>
      <c r="C8" s="2">
        <v>1788</v>
      </c>
      <c r="D8" s="2">
        <v>1794</v>
      </c>
      <c r="E8" s="2">
        <v>1800</v>
      </c>
      <c r="F8" s="2">
        <v>1808</v>
      </c>
      <c r="G8" s="2">
        <v>1808</v>
      </c>
      <c r="H8" s="2">
        <v>1808</v>
      </c>
      <c r="I8" s="2">
        <v>1762</v>
      </c>
      <c r="J8" s="2">
        <v>1762</v>
      </c>
      <c r="K8" s="2">
        <v>1762</v>
      </c>
      <c r="L8" s="2">
        <v>1740</v>
      </c>
      <c r="M8" s="2">
        <v>1740</v>
      </c>
      <c r="N8" s="2">
        <v>1740</v>
      </c>
      <c r="O8" s="2">
        <v>1756</v>
      </c>
      <c r="P8" s="2">
        <v>1768</v>
      </c>
      <c r="Q8" s="2">
        <v>1775</v>
      </c>
    </row>
    <row r="9" spans="1:88" s="2" customFormat="1" x14ac:dyDescent="0.35">
      <c r="A9" s="2" t="s">
        <v>704</v>
      </c>
      <c r="B9" s="2">
        <v>1601</v>
      </c>
      <c r="C9" s="2">
        <v>1619</v>
      </c>
      <c r="D9" s="2">
        <v>1637</v>
      </c>
      <c r="E9" s="2">
        <v>1658</v>
      </c>
      <c r="F9" s="2">
        <v>1638</v>
      </c>
      <c r="G9" s="2">
        <v>1638</v>
      </c>
      <c r="H9" s="2">
        <v>1638</v>
      </c>
      <c r="I9" s="2">
        <v>1655</v>
      </c>
      <c r="J9" s="2">
        <v>1671</v>
      </c>
      <c r="K9" s="2">
        <v>1671</v>
      </c>
      <c r="L9" s="2">
        <v>1681</v>
      </c>
      <c r="M9" s="2">
        <v>1694</v>
      </c>
      <c r="N9" s="2">
        <v>1708</v>
      </c>
      <c r="O9" s="2">
        <v>1752</v>
      </c>
      <c r="P9" s="2">
        <v>1766</v>
      </c>
      <c r="Q9" s="2">
        <v>1773</v>
      </c>
    </row>
    <row r="10" spans="1:88" s="2" customFormat="1" x14ac:dyDescent="0.35">
      <c r="A10" s="2" t="s">
        <v>642</v>
      </c>
      <c r="B10" s="2">
        <v>1639</v>
      </c>
      <c r="C10" s="2">
        <v>1652</v>
      </c>
      <c r="D10" s="2">
        <v>1663</v>
      </c>
      <c r="E10" s="2">
        <v>1641</v>
      </c>
      <c r="F10" s="2">
        <v>1669</v>
      </c>
      <c r="G10" s="2">
        <v>1669</v>
      </c>
      <c r="H10" s="2">
        <v>1669</v>
      </c>
      <c r="I10" s="2">
        <v>1686</v>
      </c>
      <c r="J10" s="2">
        <v>1686</v>
      </c>
      <c r="K10" s="2">
        <v>1708</v>
      </c>
      <c r="L10" s="2">
        <v>1723</v>
      </c>
      <c r="M10" s="2">
        <v>1744</v>
      </c>
      <c r="N10" s="2">
        <v>1757</v>
      </c>
      <c r="O10" s="2">
        <v>1777</v>
      </c>
      <c r="P10" s="2">
        <v>1794</v>
      </c>
      <c r="Q10" s="2">
        <v>1764</v>
      </c>
    </row>
    <row r="11" spans="1:88" s="2" customFormat="1" x14ac:dyDescent="0.35">
      <c r="A11" t="s">
        <v>328</v>
      </c>
      <c r="B11" s="2">
        <v>1600</v>
      </c>
      <c r="C11" s="2">
        <v>1614</v>
      </c>
      <c r="D11" s="2">
        <v>1626</v>
      </c>
      <c r="E11" s="2">
        <v>1660</v>
      </c>
      <c r="F11" s="2">
        <v>1672</v>
      </c>
      <c r="G11" s="2">
        <v>1672</v>
      </c>
      <c r="H11" s="2">
        <v>1672</v>
      </c>
      <c r="I11" s="2">
        <v>1686</v>
      </c>
      <c r="J11" s="2">
        <v>1686</v>
      </c>
      <c r="K11" s="2">
        <v>1686</v>
      </c>
      <c r="L11" s="2">
        <v>1706</v>
      </c>
      <c r="M11" s="2">
        <v>1706</v>
      </c>
      <c r="N11" s="2">
        <v>1706</v>
      </c>
      <c r="O11" s="2">
        <v>1726</v>
      </c>
      <c r="P11" s="2">
        <v>1740</v>
      </c>
      <c r="Q11" s="2">
        <v>1764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s="2" customFormat="1" x14ac:dyDescent="0.35">
      <c r="A12" s="2" t="s">
        <v>468</v>
      </c>
      <c r="B12" s="2">
        <v>1656</v>
      </c>
      <c r="C12" s="2">
        <v>1633</v>
      </c>
      <c r="D12" s="2">
        <v>1665</v>
      </c>
      <c r="E12" s="2">
        <v>1695</v>
      </c>
      <c r="F12" s="2">
        <v>1707</v>
      </c>
      <c r="G12" s="2">
        <v>1707</v>
      </c>
      <c r="H12" s="2">
        <v>1707</v>
      </c>
      <c r="I12" s="2">
        <v>1723</v>
      </c>
      <c r="J12" s="2">
        <v>1723</v>
      </c>
      <c r="K12" s="2">
        <v>1723</v>
      </c>
      <c r="L12" s="2">
        <v>1740</v>
      </c>
      <c r="M12" s="2">
        <v>1740</v>
      </c>
      <c r="N12" s="2">
        <v>1740</v>
      </c>
      <c r="O12" s="2">
        <v>1757</v>
      </c>
      <c r="P12" s="2">
        <v>1714</v>
      </c>
      <c r="Q12" s="2">
        <v>1748</v>
      </c>
    </row>
    <row r="13" spans="1:88" s="2" customFormat="1" x14ac:dyDescent="0.35">
      <c r="A13" s="2" t="s">
        <v>758</v>
      </c>
      <c r="B13" s="2">
        <v>1576</v>
      </c>
      <c r="C13" s="2">
        <v>1606</v>
      </c>
      <c r="D13" s="2">
        <v>1628</v>
      </c>
      <c r="E13" s="2">
        <v>1644</v>
      </c>
      <c r="F13" s="2">
        <v>1624</v>
      </c>
      <c r="G13" s="2">
        <v>1624</v>
      </c>
      <c r="H13" s="2">
        <v>1647</v>
      </c>
      <c r="I13" s="2">
        <v>1622</v>
      </c>
      <c r="J13" s="2">
        <v>1647</v>
      </c>
      <c r="K13" s="2">
        <v>1666</v>
      </c>
      <c r="L13" s="2">
        <v>1682</v>
      </c>
      <c r="M13" s="2">
        <v>1699</v>
      </c>
      <c r="N13" s="2">
        <v>1720</v>
      </c>
      <c r="O13" s="2">
        <v>1720</v>
      </c>
      <c r="P13" s="2">
        <v>1720</v>
      </c>
      <c r="Q13" s="2">
        <v>1737</v>
      </c>
    </row>
    <row r="14" spans="1:88" s="2" customFormat="1" x14ac:dyDescent="0.35">
      <c r="A14" t="s">
        <v>334</v>
      </c>
      <c r="B14" s="2">
        <v>1600</v>
      </c>
      <c r="C14" s="2">
        <v>1623</v>
      </c>
      <c r="D14" s="2">
        <v>1639</v>
      </c>
      <c r="E14" s="2">
        <v>1624</v>
      </c>
      <c r="F14" s="2">
        <v>1652</v>
      </c>
      <c r="G14" s="2">
        <v>1652</v>
      </c>
      <c r="H14" s="2">
        <v>1652</v>
      </c>
      <c r="I14" s="2">
        <v>1670</v>
      </c>
      <c r="J14" s="2">
        <v>1670</v>
      </c>
      <c r="K14" s="2">
        <v>1698</v>
      </c>
      <c r="L14" s="2">
        <v>1714</v>
      </c>
      <c r="M14" s="2">
        <v>1714</v>
      </c>
      <c r="N14" s="2">
        <v>1714</v>
      </c>
      <c r="O14" s="2">
        <v>1734</v>
      </c>
      <c r="P14" s="2">
        <v>1751</v>
      </c>
      <c r="Q14" s="2">
        <v>1734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s="2" customFormat="1" x14ac:dyDescent="0.35">
      <c r="A15" s="2" t="s">
        <v>731</v>
      </c>
      <c r="B15" s="2">
        <v>1769</v>
      </c>
      <c r="C15" s="2">
        <v>1781</v>
      </c>
      <c r="D15" s="2">
        <v>1759</v>
      </c>
      <c r="E15" s="2">
        <v>1733</v>
      </c>
      <c r="F15" s="2">
        <v>1703</v>
      </c>
      <c r="G15" s="2">
        <v>1703</v>
      </c>
      <c r="H15" s="2">
        <v>1703</v>
      </c>
      <c r="I15" s="2">
        <v>1720</v>
      </c>
      <c r="J15" s="2">
        <v>1720</v>
      </c>
      <c r="K15" s="2">
        <v>1720</v>
      </c>
      <c r="L15" s="2">
        <v>1734</v>
      </c>
      <c r="M15" s="2">
        <v>1734</v>
      </c>
      <c r="N15" s="2">
        <v>1734</v>
      </c>
      <c r="O15" s="2">
        <v>1745</v>
      </c>
      <c r="P15" s="2">
        <v>1760</v>
      </c>
      <c r="Q15" s="2">
        <v>1726</v>
      </c>
    </row>
    <row r="16" spans="1:88" s="2" customFormat="1" x14ac:dyDescent="0.35">
      <c r="A16" s="2" t="s">
        <v>649</v>
      </c>
      <c r="B16" s="2">
        <v>1652</v>
      </c>
      <c r="C16" s="2">
        <v>1661</v>
      </c>
      <c r="D16" s="2">
        <v>1676</v>
      </c>
      <c r="E16" s="2">
        <v>1698</v>
      </c>
      <c r="F16" s="2">
        <v>1714</v>
      </c>
      <c r="G16" s="2">
        <v>1714</v>
      </c>
      <c r="H16" s="2">
        <v>1714</v>
      </c>
      <c r="I16" s="2">
        <v>1725</v>
      </c>
      <c r="J16" s="2">
        <v>1725</v>
      </c>
      <c r="K16" s="2">
        <v>1742</v>
      </c>
      <c r="L16" s="2">
        <v>1755</v>
      </c>
      <c r="M16" s="2">
        <v>1728</v>
      </c>
      <c r="N16" s="2">
        <v>1699</v>
      </c>
      <c r="O16" s="2">
        <v>1682</v>
      </c>
      <c r="P16" s="2">
        <v>1717</v>
      </c>
      <c r="Q16" s="2">
        <v>1724</v>
      </c>
    </row>
    <row r="17" spans="1:88" s="2" customFormat="1" x14ac:dyDescent="0.35">
      <c r="A17" t="s">
        <v>352</v>
      </c>
      <c r="B17" s="2">
        <v>1600</v>
      </c>
      <c r="C17" s="2">
        <v>1618</v>
      </c>
      <c r="D17" s="2">
        <v>1641</v>
      </c>
      <c r="E17" s="2">
        <v>1653</v>
      </c>
      <c r="F17" s="2">
        <v>1680</v>
      </c>
      <c r="G17" s="2">
        <v>1680</v>
      </c>
      <c r="H17" s="2">
        <v>1708</v>
      </c>
      <c r="I17" s="2">
        <v>1719</v>
      </c>
      <c r="J17" s="2">
        <v>1733</v>
      </c>
      <c r="K17" s="2">
        <v>1691</v>
      </c>
      <c r="L17" s="2">
        <v>1703</v>
      </c>
      <c r="M17" s="2">
        <v>1718</v>
      </c>
      <c r="N17" s="2">
        <v>1739</v>
      </c>
      <c r="O17" s="2">
        <v>1739</v>
      </c>
      <c r="P17" s="2">
        <v>1739</v>
      </c>
      <c r="Q17" s="2">
        <v>1715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s="2" customFormat="1" x14ac:dyDescent="0.35">
      <c r="A18" s="2" t="s">
        <v>647</v>
      </c>
      <c r="B18" s="2">
        <v>1600</v>
      </c>
      <c r="C18" s="2">
        <v>1614</v>
      </c>
      <c r="D18" s="2">
        <v>1589</v>
      </c>
      <c r="E18" s="2">
        <v>1610</v>
      </c>
      <c r="F18" s="2">
        <v>1627</v>
      </c>
      <c r="G18" s="2">
        <v>1627</v>
      </c>
      <c r="H18" s="2">
        <v>1627</v>
      </c>
      <c r="I18" s="2">
        <v>1655</v>
      </c>
      <c r="J18" s="2">
        <v>1655</v>
      </c>
      <c r="K18" s="2">
        <v>1655</v>
      </c>
      <c r="L18" s="2">
        <v>1681</v>
      </c>
      <c r="M18" s="2">
        <v>1664</v>
      </c>
      <c r="N18" s="2">
        <v>1643</v>
      </c>
      <c r="O18" s="2">
        <v>1667</v>
      </c>
      <c r="P18" s="2">
        <v>1691</v>
      </c>
      <c r="Q18" s="2">
        <v>1708</v>
      </c>
    </row>
    <row r="19" spans="1:88" s="2" customFormat="1" x14ac:dyDescent="0.35">
      <c r="A19" s="2" t="s">
        <v>780</v>
      </c>
      <c r="B19" s="2">
        <v>1639</v>
      </c>
      <c r="C19" s="2">
        <v>1652</v>
      </c>
      <c r="D19" s="2">
        <v>1662</v>
      </c>
      <c r="E19" s="2">
        <v>1701</v>
      </c>
      <c r="F19" s="2">
        <v>1685</v>
      </c>
      <c r="G19" s="2">
        <v>1685</v>
      </c>
      <c r="H19" s="2">
        <v>1685</v>
      </c>
      <c r="I19" s="2">
        <v>1656</v>
      </c>
      <c r="J19" s="2">
        <v>1675</v>
      </c>
      <c r="K19" s="2">
        <v>1706</v>
      </c>
      <c r="L19" s="2">
        <v>1680</v>
      </c>
      <c r="M19" s="2">
        <v>1655</v>
      </c>
      <c r="N19" s="2">
        <v>1641</v>
      </c>
      <c r="O19" s="2">
        <v>1657</v>
      </c>
      <c r="P19" s="2">
        <v>1681</v>
      </c>
      <c r="Q19" s="2">
        <v>1703</v>
      </c>
    </row>
    <row r="20" spans="1:88" s="2" customFormat="1" x14ac:dyDescent="0.35">
      <c r="A20" s="2" t="s">
        <v>747</v>
      </c>
      <c r="B20" s="2">
        <v>1659</v>
      </c>
      <c r="C20" s="2">
        <v>1679</v>
      </c>
      <c r="D20" s="2">
        <v>1705</v>
      </c>
      <c r="E20" s="2">
        <v>1722</v>
      </c>
      <c r="F20" s="2">
        <v>1739</v>
      </c>
      <c r="G20" s="2">
        <v>1739</v>
      </c>
      <c r="H20" s="2">
        <v>1739</v>
      </c>
      <c r="I20" s="2">
        <v>1702</v>
      </c>
      <c r="J20" s="2">
        <v>1702</v>
      </c>
      <c r="K20" s="2">
        <v>1730</v>
      </c>
      <c r="L20" s="2">
        <v>1714</v>
      </c>
      <c r="M20" s="2">
        <v>1714</v>
      </c>
      <c r="N20" s="2">
        <v>1714</v>
      </c>
      <c r="O20" s="2">
        <v>1662</v>
      </c>
      <c r="P20" s="2">
        <v>1684</v>
      </c>
      <c r="Q20" s="2">
        <v>1702</v>
      </c>
    </row>
    <row r="21" spans="1:88" s="2" customFormat="1" x14ac:dyDescent="0.35">
      <c r="A21" s="2" t="s">
        <v>753</v>
      </c>
      <c r="B21" s="2">
        <v>1498</v>
      </c>
      <c r="C21" s="2">
        <v>1486</v>
      </c>
      <c r="D21" s="2">
        <v>1507</v>
      </c>
      <c r="E21" s="2">
        <v>1525</v>
      </c>
      <c r="F21" s="2">
        <v>1562</v>
      </c>
      <c r="G21" s="2">
        <v>1587</v>
      </c>
      <c r="H21" s="2">
        <v>1604</v>
      </c>
      <c r="I21" s="2">
        <v>1594</v>
      </c>
      <c r="J21" s="2">
        <v>1611</v>
      </c>
      <c r="K21" s="2">
        <v>1649</v>
      </c>
      <c r="L21" s="2">
        <v>1640</v>
      </c>
      <c r="M21" s="2">
        <v>1656</v>
      </c>
      <c r="N21" s="2">
        <v>1667</v>
      </c>
      <c r="O21" s="2">
        <v>1667</v>
      </c>
      <c r="P21" s="2">
        <v>1667</v>
      </c>
      <c r="Q21" s="2">
        <v>1699</v>
      </c>
    </row>
    <row r="22" spans="1:88" s="2" customFormat="1" x14ac:dyDescent="0.35">
      <c r="A22" s="2" t="s">
        <v>746</v>
      </c>
      <c r="B22" s="2">
        <v>1760</v>
      </c>
      <c r="C22" s="2">
        <v>1768</v>
      </c>
      <c r="D22" s="2">
        <v>1749</v>
      </c>
      <c r="E22" s="2">
        <v>1764</v>
      </c>
      <c r="F22" s="2">
        <v>1773</v>
      </c>
      <c r="G22" s="2">
        <v>1773</v>
      </c>
      <c r="H22" s="2">
        <v>1773</v>
      </c>
      <c r="I22" s="2">
        <v>1756</v>
      </c>
      <c r="J22" s="2">
        <v>1756</v>
      </c>
      <c r="K22" s="2">
        <v>1756</v>
      </c>
      <c r="L22" s="2">
        <v>1764</v>
      </c>
      <c r="M22" s="2">
        <v>1764</v>
      </c>
      <c r="N22" s="2">
        <v>1764</v>
      </c>
      <c r="O22" s="2">
        <v>1744</v>
      </c>
      <c r="P22" s="2">
        <v>1724</v>
      </c>
      <c r="Q22" s="2">
        <v>1692</v>
      </c>
    </row>
    <row r="23" spans="1:88" s="2" customFormat="1" x14ac:dyDescent="0.35">
      <c r="A23" s="2" t="s">
        <v>648</v>
      </c>
      <c r="B23" s="2">
        <v>1687</v>
      </c>
      <c r="C23" s="2">
        <v>1698</v>
      </c>
      <c r="D23" s="2">
        <v>1678</v>
      </c>
      <c r="E23" s="2">
        <v>1688</v>
      </c>
      <c r="F23" s="2">
        <v>1663</v>
      </c>
      <c r="G23" s="2">
        <v>1663</v>
      </c>
      <c r="H23" s="2">
        <v>1663</v>
      </c>
      <c r="I23" s="2">
        <v>1674</v>
      </c>
      <c r="J23" s="2">
        <v>1674</v>
      </c>
      <c r="K23" s="2">
        <v>1691</v>
      </c>
      <c r="L23" s="2">
        <v>1698</v>
      </c>
      <c r="M23" s="2">
        <v>1698</v>
      </c>
      <c r="N23" s="2">
        <v>1698</v>
      </c>
      <c r="O23" s="2">
        <v>1715</v>
      </c>
      <c r="P23" s="2">
        <v>1680</v>
      </c>
      <c r="Q23" s="2">
        <v>1689</v>
      </c>
    </row>
    <row r="24" spans="1:88" s="2" customFormat="1" x14ac:dyDescent="0.35">
      <c r="A24" s="2" t="s">
        <v>670</v>
      </c>
      <c r="B24" s="2">
        <v>1784</v>
      </c>
      <c r="C24" s="2">
        <v>1795</v>
      </c>
      <c r="D24" s="2">
        <v>1768</v>
      </c>
      <c r="E24" s="2">
        <v>1777</v>
      </c>
      <c r="F24" s="2">
        <v>1740</v>
      </c>
      <c r="G24" s="2">
        <v>1740</v>
      </c>
      <c r="H24" s="2">
        <v>1740</v>
      </c>
      <c r="I24" s="2">
        <v>1750</v>
      </c>
      <c r="J24" s="2">
        <v>1750</v>
      </c>
      <c r="K24" s="2">
        <v>1750</v>
      </c>
      <c r="L24" s="2">
        <v>1731</v>
      </c>
      <c r="M24" s="2">
        <v>1731</v>
      </c>
      <c r="N24" s="2">
        <v>1731</v>
      </c>
      <c r="O24" s="2">
        <v>1687</v>
      </c>
      <c r="P24" s="2">
        <v>1673</v>
      </c>
      <c r="Q24" s="2">
        <v>1689</v>
      </c>
    </row>
    <row r="25" spans="1:88" s="2" customFormat="1" x14ac:dyDescent="0.35">
      <c r="A25" s="2" t="s">
        <v>650</v>
      </c>
      <c r="B25" s="2">
        <v>1602</v>
      </c>
      <c r="C25" s="2">
        <v>1627</v>
      </c>
      <c r="D25" s="2">
        <v>1637</v>
      </c>
      <c r="E25" s="2">
        <v>1622</v>
      </c>
      <c r="F25" s="2">
        <v>1647</v>
      </c>
      <c r="G25" s="2">
        <v>1647</v>
      </c>
      <c r="H25" s="2">
        <v>1647</v>
      </c>
      <c r="I25" s="2">
        <v>1656</v>
      </c>
      <c r="J25" s="2">
        <v>1656</v>
      </c>
      <c r="K25" s="2">
        <v>1671</v>
      </c>
      <c r="L25" s="2">
        <v>1658</v>
      </c>
      <c r="M25" s="2">
        <v>1630</v>
      </c>
      <c r="N25" s="2">
        <v>1659</v>
      </c>
      <c r="O25" s="2">
        <v>1636</v>
      </c>
      <c r="P25" s="2">
        <v>1675</v>
      </c>
      <c r="Q25" s="2">
        <v>1686</v>
      </c>
    </row>
    <row r="26" spans="1:88" s="2" customFormat="1" x14ac:dyDescent="0.35">
      <c r="A26" t="s">
        <v>652</v>
      </c>
      <c r="B26" s="2">
        <v>1600</v>
      </c>
      <c r="C26" s="2">
        <v>1615</v>
      </c>
      <c r="D26" s="2">
        <v>1639</v>
      </c>
      <c r="E26" s="2">
        <v>1611</v>
      </c>
      <c r="F26" s="2">
        <v>1599</v>
      </c>
      <c r="G26" s="2">
        <v>1599</v>
      </c>
      <c r="H26" s="2">
        <v>1644</v>
      </c>
      <c r="I26" s="2">
        <v>1657</v>
      </c>
      <c r="J26" s="2">
        <v>1675</v>
      </c>
      <c r="K26" s="2">
        <v>1695</v>
      </c>
      <c r="L26" s="2">
        <v>1700</v>
      </c>
      <c r="M26" s="2">
        <v>1650</v>
      </c>
      <c r="N26" s="2">
        <v>1680</v>
      </c>
      <c r="O26" s="2">
        <v>1680</v>
      </c>
      <c r="P26" s="2">
        <v>1680</v>
      </c>
      <c r="Q26" s="2">
        <v>1685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s="2" customFormat="1" x14ac:dyDescent="0.35">
      <c r="A27" s="2" t="s">
        <v>640</v>
      </c>
      <c r="B27" s="2">
        <v>1597</v>
      </c>
      <c r="C27" s="2">
        <v>1606</v>
      </c>
      <c r="D27" s="2">
        <v>1620</v>
      </c>
      <c r="E27" s="2">
        <v>1606</v>
      </c>
      <c r="F27" s="2">
        <v>1629</v>
      </c>
      <c r="G27" s="2">
        <v>1629</v>
      </c>
      <c r="H27" s="2">
        <v>1629</v>
      </c>
      <c r="I27" s="2">
        <v>1654</v>
      </c>
      <c r="J27" s="2">
        <v>1654</v>
      </c>
      <c r="K27" s="2">
        <v>1691</v>
      </c>
      <c r="L27" s="2">
        <v>1667</v>
      </c>
      <c r="M27" s="2">
        <v>1624</v>
      </c>
      <c r="N27" s="2">
        <v>1655</v>
      </c>
      <c r="O27" s="2">
        <v>1680</v>
      </c>
      <c r="P27" s="2">
        <v>1662</v>
      </c>
      <c r="Q27" s="2">
        <v>1681</v>
      </c>
    </row>
    <row r="28" spans="1:88" s="2" customFormat="1" x14ac:dyDescent="0.35">
      <c r="A28" s="2" t="s">
        <v>643</v>
      </c>
      <c r="B28" s="2">
        <v>1571</v>
      </c>
      <c r="C28" s="2">
        <v>1595</v>
      </c>
      <c r="D28" s="2">
        <v>1580</v>
      </c>
      <c r="E28" s="2">
        <v>1571</v>
      </c>
      <c r="F28" s="2">
        <v>1593</v>
      </c>
      <c r="G28" s="2">
        <v>1593</v>
      </c>
      <c r="H28" s="2">
        <v>1593</v>
      </c>
      <c r="I28" s="2">
        <v>1622</v>
      </c>
      <c r="J28" s="2">
        <v>1622</v>
      </c>
      <c r="K28" s="2">
        <v>1622</v>
      </c>
      <c r="L28" s="2">
        <v>1632</v>
      </c>
      <c r="M28" s="2">
        <v>1632</v>
      </c>
      <c r="N28" s="2">
        <v>1632</v>
      </c>
      <c r="O28" s="2">
        <v>1684</v>
      </c>
      <c r="P28" s="2">
        <v>1662</v>
      </c>
      <c r="Q28" s="2">
        <v>1681</v>
      </c>
    </row>
    <row r="29" spans="1:88" s="2" customFormat="1" x14ac:dyDescent="0.35">
      <c r="A29" s="2" t="s">
        <v>671</v>
      </c>
      <c r="B29" s="2">
        <v>1595</v>
      </c>
      <c r="C29" s="2">
        <v>1577</v>
      </c>
      <c r="D29" s="2">
        <v>1587</v>
      </c>
      <c r="E29" s="2">
        <v>1611</v>
      </c>
      <c r="F29" s="2">
        <v>1587</v>
      </c>
      <c r="G29" s="2">
        <v>1587</v>
      </c>
      <c r="H29" s="2">
        <v>1587</v>
      </c>
      <c r="I29" s="2">
        <v>1605</v>
      </c>
      <c r="J29" s="2">
        <v>1605</v>
      </c>
      <c r="K29" s="2">
        <v>1605</v>
      </c>
      <c r="L29" s="2">
        <v>1629</v>
      </c>
      <c r="M29" s="2">
        <v>1629</v>
      </c>
      <c r="N29" s="2">
        <v>1629</v>
      </c>
      <c r="O29" s="2">
        <v>1657</v>
      </c>
      <c r="P29" s="2">
        <v>1692</v>
      </c>
      <c r="Q29" s="2">
        <v>1676</v>
      </c>
    </row>
    <row r="30" spans="1:88" s="2" customFormat="1" x14ac:dyDescent="0.35">
      <c r="A30" s="2" t="s">
        <v>641</v>
      </c>
      <c r="B30" s="2">
        <v>1620</v>
      </c>
      <c r="C30" s="2">
        <v>1639</v>
      </c>
      <c r="D30" s="2">
        <v>1613</v>
      </c>
      <c r="E30" s="2">
        <v>1597</v>
      </c>
      <c r="F30" s="2">
        <v>1615</v>
      </c>
      <c r="G30" s="2">
        <v>1615</v>
      </c>
      <c r="H30" s="2">
        <v>1615</v>
      </c>
      <c r="I30" s="2">
        <v>1626</v>
      </c>
      <c r="J30" s="2">
        <v>1626</v>
      </c>
      <c r="K30" s="2">
        <v>1640</v>
      </c>
      <c r="L30" s="2">
        <v>1654</v>
      </c>
      <c r="M30" s="2">
        <v>1670</v>
      </c>
      <c r="N30" s="2">
        <v>1682</v>
      </c>
      <c r="O30" s="2">
        <v>1649</v>
      </c>
      <c r="P30" s="2">
        <v>1665</v>
      </c>
      <c r="Q30" s="2">
        <v>1676</v>
      </c>
    </row>
    <row r="31" spans="1:88" s="2" customFormat="1" x14ac:dyDescent="0.35">
      <c r="A31" s="2" t="s">
        <v>651</v>
      </c>
      <c r="B31" s="2">
        <v>1600</v>
      </c>
      <c r="C31" s="2">
        <v>1630</v>
      </c>
      <c r="D31" s="2">
        <v>1646</v>
      </c>
      <c r="E31" s="2">
        <v>1660</v>
      </c>
      <c r="F31" s="2">
        <v>1676</v>
      </c>
      <c r="G31" s="2">
        <v>1676</v>
      </c>
      <c r="H31" s="2">
        <v>1676</v>
      </c>
      <c r="I31" s="2">
        <v>1660</v>
      </c>
      <c r="J31" s="2">
        <v>1616</v>
      </c>
      <c r="K31" s="2">
        <v>1640</v>
      </c>
      <c r="L31" s="2">
        <v>1658</v>
      </c>
      <c r="M31" s="2">
        <v>1658</v>
      </c>
      <c r="N31" s="2">
        <v>1658</v>
      </c>
      <c r="O31" s="2">
        <v>1637</v>
      </c>
      <c r="P31" s="2">
        <v>1654</v>
      </c>
      <c r="Q31" s="2">
        <v>1668</v>
      </c>
    </row>
    <row r="32" spans="1:88" s="2" customFormat="1" x14ac:dyDescent="0.35">
      <c r="A32" s="2" t="s">
        <v>750</v>
      </c>
      <c r="B32" s="2">
        <v>1719</v>
      </c>
      <c r="C32" s="2">
        <v>1730</v>
      </c>
      <c r="D32" s="2">
        <v>1749</v>
      </c>
      <c r="E32" s="2">
        <v>1715</v>
      </c>
      <c r="F32" s="2">
        <v>1687</v>
      </c>
      <c r="G32" s="2">
        <v>1687</v>
      </c>
      <c r="H32" s="2">
        <v>1687</v>
      </c>
      <c r="I32" s="2">
        <v>1705</v>
      </c>
      <c r="J32" s="2">
        <v>1705</v>
      </c>
      <c r="K32" s="2">
        <v>1705</v>
      </c>
      <c r="L32" s="2">
        <v>1718</v>
      </c>
      <c r="M32" s="2">
        <v>1718</v>
      </c>
      <c r="N32" s="2">
        <v>1718</v>
      </c>
      <c r="O32" s="2">
        <v>1690</v>
      </c>
      <c r="P32" s="2">
        <v>1655</v>
      </c>
      <c r="Q32" s="2">
        <v>1666</v>
      </c>
    </row>
    <row r="33" spans="1:88" s="2" customFormat="1" x14ac:dyDescent="0.35">
      <c r="A33" s="2" t="s">
        <v>664</v>
      </c>
      <c r="B33" s="2">
        <v>1578</v>
      </c>
      <c r="C33" s="2">
        <v>1601</v>
      </c>
      <c r="D33" s="2">
        <v>1618</v>
      </c>
      <c r="E33" s="2">
        <v>1635</v>
      </c>
      <c r="F33" s="2">
        <v>1664</v>
      </c>
      <c r="G33" s="2">
        <v>1615</v>
      </c>
      <c r="H33" s="2">
        <v>1642</v>
      </c>
      <c r="I33" s="2">
        <v>1667</v>
      </c>
      <c r="J33" s="2">
        <v>1667</v>
      </c>
      <c r="K33" s="2">
        <v>1680</v>
      </c>
      <c r="L33" s="2">
        <v>1646</v>
      </c>
      <c r="M33" s="2">
        <v>1646</v>
      </c>
      <c r="N33" s="2">
        <v>1646</v>
      </c>
      <c r="O33" s="2">
        <v>1646</v>
      </c>
      <c r="P33" s="2">
        <v>1646</v>
      </c>
      <c r="Q33" s="2">
        <v>1661</v>
      </c>
    </row>
    <row r="34" spans="1:88" s="2" customFormat="1" x14ac:dyDescent="0.35">
      <c r="A34" s="2" t="s">
        <v>1160</v>
      </c>
      <c r="B34" s="2">
        <v>1533</v>
      </c>
      <c r="C34" s="2">
        <v>1567</v>
      </c>
      <c r="D34" s="2">
        <v>1552</v>
      </c>
      <c r="E34" s="2">
        <v>1572</v>
      </c>
      <c r="F34" s="2">
        <v>1560</v>
      </c>
      <c r="G34" s="2">
        <v>1560</v>
      </c>
      <c r="H34" s="2">
        <v>1595</v>
      </c>
      <c r="I34" s="2">
        <v>1582</v>
      </c>
      <c r="J34" s="2">
        <v>1602</v>
      </c>
      <c r="K34" s="2">
        <v>1621</v>
      </c>
      <c r="L34" s="2">
        <v>1637</v>
      </c>
      <c r="M34" s="2">
        <v>1663</v>
      </c>
      <c r="N34" s="2">
        <v>1674</v>
      </c>
      <c r="O34" s="2">
        <v>1674</v>
      </c>
      <c r="P34" s="2">
        <v>1674</v>
      </c>
      <c r="Q34" s="2">
        <v>1656</v>
      </c>
    </row>
    <row r="35" spans="1:88" s="2" customFormat="1" x14ac:dyDescent="0.35">
      <c r="A35" s="2" t="s">
        <v>765</v>
      </c>
      <c r="B35" s="2">
        <v>1621</v>
      </c>
      <c r="C35" s="2">
        <v>1638</v>
      </c>
      <c r="D35" s="2">
        <v>1620</v>
      </c>
      <c r="E35" s="2">
        <v>1646</v>
      </c>
      <c r="F35" s="2">
        <v>1662</v>
      </c>
      <c r="G35" s="2">
        <v>1662</v>
      </c>
      <c r="H35" s="2">
        <v>1681</v>
      </c>
      <c r="I35" s="2">
        <v>1663</v>
      </c>
      <c r="J35" s="2">
        <v>1663</v>
      </c>
      <c r="K35" s="2">
        <v>1643</v>
      </c>
      <c r="L35" s="2">
        <v>1627</v>
      </c>
      <c r="M35" s="2">
        <v>1656</v>
      </c>
      <c r="N35" s="2">
        <v>1634</v>
      </c>
      <c r="O35" s="2">
        <v>1634</v>
      </c>
      <c r="P35" s="2">
        <v>1634</v>
      </c>
      <c r="Q35" s="2">
        <v>1655</v>
      </c>
    </row>
    <row r="36" spans="1:88" s="2" customFormat="1" x14ac:dyDescent="0.35">
      <c r="A36" t="s">
        <v>629</v>
      </c>
      <c r="B36" s="2">
        <v>1600</v>
      </c>
      <c r="C36" s="2">
        <v>1619</v>
      </c>
      <c r="D36" s="2">
        <v>1636</v>
      </c>
      <c r="E36" s="2">
        <v>1620</v>
      </c>
      <c r="F36" s="2">
        <v>1634</v>
      </c>
      <c r="G36" s="2">
        <v>1649</v>
      </c>
      <c r="H36" s="2">
        <v>1604</v>
      </c>
      <c r="I36" s="2">
        <v>1593</v>
      </c>
      <c r="J36" s="2">
        <v>1623</v>
      </c>
      <c r="K36" s="2">
        <v>1623</v>
      </c>
      <c r="L36" s="2">
        <v>1636</v>
      </c>
      <c r="M36" s="2">
        <v>1608</v>
      </c>
      <c r="N36" s="2">
        <v>1633</v>
      </c>
      <c r="O36" s="2">
        <v>1633</v>
      </c>
      <c r="P36" s="2">
        <v>1633</v>
      </c>
      <c r="Q36" s="2">
        <v>1649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 s="2" customFormat="1" x14ac:dyDescent="0.35">
      <c r="A37" s="2" t="s">
        <v>661</v>
      </c>
      <c r="B37" s="2">
        <v>1634</v>
      </c>
      <c r="C37" s="2">
        <v>1620</v>
      </c>
      <c r="D37" s="2">
        <v>1632</v>
      </c>
      <c r="E37" s="2">
        <v>1652</v>
      </c>
      <c r="F37" s="2">
        <v>1682</v>
      </c>
      <c r="G37" s="2">
        <v>1682</v>
      </c>
      <c r="H37" s="2">
        <v>1682</v>
      </c>
      <c r="I37" s="2">
        <v>1698</v>
      </c>
      <c r="J37" s="2">
        <v>1698</v>
      </c>
      <c r="K37" s="2">
        <v>1670</v>
      </c>
      <c r="L37" s="2">
        <v>1645</v>
      </c>
      <c r="M37" s="2">
        <v>1672</v>
      </c>
      <c r="N37" s="2">
        <v>1701</v>
      </c>
      <c r="O37" s="2">
        <v>1681</v>
      </c>
      <c r="P37" s="2">
        <v>1664</v>
      </c>
      <c r="Q37" s="2">
        <v>1641</v>
      </c>
    </row>
    <row r="38" spans="1:88" s="2" customFormat="1" x14ac:dyDescent="0.35">
      <c r="A38" s="2" t="s">
        <v>783</v>
      </c>
      <c r="B38" s="2">
        <v>1603</v>
      </c>
      <c r="C38" s="2">
        <v>1580</v>
      </c>
      <c r="D38" s="2">
        <v>1565</v>
      </c>
      <c r="E38" s="2">
        <v>1592</v>
      </c>
      <c r="F38" s="2">
        <v>1574</v>
      </c>
      <c r="G38" s="2">
        <v>1574</v>
      </c>
      <c r="H38" s="2">
        <v>1574</v>
      </c>
      <c r="I38" s="2">
        <v>1611</v>
      </c>
      <c r="J38" s="2">
        <v>1611</v>
      </c>
      <c r="K38" s="2">
        <v>1611</v>
      </c>
      <c r="L38" s="2">
        <v>1633</v>
      </c>
      <c r="M38" s="2">
        <v>1683</v>
      </c>
      <c r="N38" s="2">
        <v>1653</v>
      </c>
      <c r="O38" s="2">
        <v>1633</v>
      </c>
      <c r="P38" s="2">
        <v>1619</v>
      </c>
      <c r="Q38" s="2">
        <v>1637</v>
      </c>
    </row>
    <row r="39" spans="1:88" s="2" customFormat="1" x14ac:dyDescent="0.35">
      <c r="A39" t="s">
        <v>667</v>
      </c>
      <c r="B39" s="2">
        <v>1600</v>
      </c>
      <c r="C39" s="2">
        <v>1615</v>
      </c>
      <c r="D39" s="2">
        <v>1628</v>
      </c>
      <c r="E39" s="2">
        <v>1594</v>
      </c>
      <c r="F39" s="2">
        <v>1571</v>
      </c>
      <c r="G39" s="2">
        <v>1571</v>
      </c>
      <c r="H39" s="2">
        <v>1571</v>
      </c>
      <c r="I39" s="2">
        <v>1592</v>
      </c>
      <c r="J39" s="2">
        <v>1592</v>
      </c>
      <c r="K39" s="2">
        <v>1634</v>
      </c>
      <c r="L39" s="2">
        <v>1616</v>
      </c>
      <c r="M39" s="2">
        <v>1616</v>
      </c>
      <c r="N39" s="2">
        <v>1616</v>
      </c>
      <c r="O39" s="2">
        <v>1637</v>
      </c>
      <c r="P39" s="2">
        <v>1620</v>
      </c>
      <c r="Q39" s="2">
        <v>1636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s="2" customFormat="1" x14ac:dyDescent="0.35">
      <c r="A40" s="2" t="s">
        <v>679</v>
      </c>
      <c r="B40" s="2">
        <v>1608</v>
      </c>
      <c r="C40" s="2">
        <v>1599</v>
      </c>
      <c r="D40" s="2">
        <v>1587</v>
      </c>
      <c r="E40" s="2">
        <v>1605</v>
      </c>
      <c r="F40" s="2">
        <v>1623</v>
      </c>
      <c r="G40" s="2">
        <v>1623</v>
      </c>
      <c r="H40" s="2">
        <v>1623</v>
      </c>
      <c r="I40" s="2">
        <v>1601</v>
      </c>
      <c r="J40" s="2">
        <v>1601</v>
      </c>
      <c r="K40" s="2">
        <v>1620</v>
      </c>
      <c r="L40" s="2">
        <v>1643</v>
      </c>
      <c r="M40" s="2">
        <v>1643</v>
      </c>
      <c r="N40" s="2">
        <v>1643</v>
      </c>
      <c r="O40" s="2">
        <v>1613</v>
      </c>
      <c r="P40" s="2">
        <v>1654</v>
      </c>
      <c r="Q40" s="2">
        <v>1632</v>
      </c>
    </row>
    <row r="41" spans="1:88" s="2" customFormat="1" x14ac:dyDescent="0.35">
      <c r="A41" s="2" t="s">
        <v>666</v>
      </c>
      <c r="B41" s="2">
        <v>1613</v>
      </c>
      <c r="C41" s="2">
        <v>1633</v>
      </c>
      <c r="D41" s="2">
        <v>1664</v>
      </c>
      <c r="E41" s="2">
        <v>1643</v>
      </c>
      <c r="F41" s="2">
        <v>1654</v>
      </c>
      <c r="G41" s="2">
        <v>1654</v>
      </c>
      <c r="H41" s="2">
        <v>1604</v>
      </c>
      <c r="I41" s="2">
        <v>1617</v>
      </c>
      <c r="J41" s="2">
        <v>1638</v>
      </c>
      <c r="K41" s="2">
        <v>1638</v>
      </c>
      <c r="L41" s="2">
        <v>1650</v>
      </c>
      <c r="M41" s="2">
        <v>1678</v>
      </c>
      <c r="N41" s="2">
        <v>1649</v>
      </c>
      <c r="O41" s="2">
        <v>1649</v>
      </c>
      <c r="P41" s="2">
        <v>1649</v>
      </c>
      <c r="Q41" s="2">
        <v>1631</v>
      </c>
    </row>
    <row r="42" spans="1:88" s="2" customFormat="1" x14ac:dyDescent="0.35">
      <c r="A42" s="2" t="s">
        <v>729</v>
      </c>
      <c r="B42" s="2">
        <v>1587</v>
      </c>
      <c r="C42" s="2">
        <v>1567</v>
      </c>
      <c r="D42" s="2">
        <v>1583</v>
      </c>
      <c r="E42" s="2">
        <v>1566</v>
      </c>
      <c r="F42" s="2">
        <v>1585</v>
      </c>
      <c r="G42" s="2">
        <v>1585</v>
      </c>
      <c r="H42" s="2">
        <v>1585</v>
      </c>
      <c r="I42" s="2">
        <v>1566</v>
      </c>
      <c r="J42" s="2">
        <v>1566</v>
      </c>
      <c r="K42" s="2">
        <v>1597</v>
      </c>
      <c r="L42" s="2">
        <v>1614</v>
      </c>
      <c r="M42" s="2">
        <v>1579</v>
      </c>
      <c r="N42" s="2">
        <v>1624</v>
      </c>
      <c r="O42" s="2">
        <v>1654</v>
      </c>
      <c r="P42" s="2">
        <v>1613</v>
      </c>
      <c r="Q42" s="2">
        <v>1627</v>
      </c>
    </row>
    <row r="43" spans="1:88" s="2" customFormat="1" x14ac:dyDescent="0.35">
      <c r="A43" s="2" t="s">
        <v>713</v>
      </c>
      <c r="B43" s="2">
        <v>1605</v>
      </c>
      <c r="C43" s="2">
        <v>1619</v>
      </c>
      <c r="D43" s="2">
        <v>1633</v>
      </c>
      <c r="E43" s="2">
        <v>1611</v>
      </c>
      <c r="F43" s="2">
        <v>1635</v>
      </c>
      <c r="G43" s="2">
        <v>1635</v>
      </c>
      <c r="H43" s="2">
        <v>1635</v>
      </c>
      <c r="I43" s="2">
        <v>1625</v>
      </c>
      <c r="J43" s="2">
        <v>1625</v>
      </c>
      <c r="K43" s="2">
        <v>1606</v>
      </c>
      <c r="L43" s="2">
        <v>1586</v>
      </c>
      <c r="M43" s="2">
        <v>1586</v>
      </c>
      <c r="N43" s="2">
        <v>1586</v>
      </c>
      <c r="O43" s="2">
        <v>1569</v>
      </c>
      <c r="P43" s="2">
        <v>1612</v>
      </c>
      <c r="Q43" s="2">
        <v>1626</v>
      </c>
    </row>
    <row r="44" spans="1:88" s="2" customFormat="1" x14ac:dyDescent="0.35">
      <c r="A44" s="2" t="s">
        <v>672</v>
      </c>
      <c r="B44" s="2">
        <v>1529</v>
      </c>
      <c r="C44" s="2">
        <v>1552</v>
      </c>
      <c r="D44" s="2">
        <v>1564</v>
      </c>
      <c r="E44" s="2">
        <v>1580</v>
      </c>
      <c r="F44" s="2">
        <v>1595</v>
      </c>
      <c r="G44" s="2">
        <v>1611</v>
      </c>
      <c r="H44" s="2">
        <v>1567</v>
      </c>
      <c r="I44" s="2">
        <v>1586</v>
      </c>
      <c r="J44" s="2">
        <v>1613</v>
      </c>
      <c r="K44" s="2">
        <v>1613</v>
      </c>
      <c r="L44" s="2">
        <v>1590</v>
      </c>
      <c r="M44" s="2">
        <v>1633</v>
      </c>
      <c r="N44" s="2">
        <v>1602</v>
      </c>
      <c r="O44" s="2">
        <v>1602</v>
      </c>
      <c r="P44" s="2">
        <v>1602</v>
      </c>
      <c r="Q44" s="2">
        <v>1622</v>
      </c>
    </row>
    <row r="45" spans="1:88" s="2" customFormat="1" x14ac:dyDescent="0.35">
      <c r="A45" s="2" t="s">
        <v>767</v>
      </c>
      <c r="B45" s="2">
        <v>1751</v>
      </c>
      <c r="C45" s="2">
        <v>1727</v>
      </c>
      <c r="D45" s="2">
        <v>1705</v>
      </c>
      <c r="E45" s="2">
        <v>1677</v>
      </c>
      <c r="F45" s="2">
        <v>1654</v>
      </c>
      <c r="G45" s="2">
        <v>1654</v>
      </c>
      <c r="H45" s="2">
        <v>1654</v>
      </c>
      <c r="I45" s="2">
        <v>1622</v>
      </c>
      <c r="J45" s="2">
        <v>1622</v>
      </c>
      <c r="K45" s="2">
        <v>1622</v>
      </c>
      <c r="L45" s="2">
        <v>1598</v>
      </c>
      <c r="M45" s="2">
        <v>1598</v>
      </c>
      <c r="N45" s="2">
        <v>1598</v>
      </c>
      <c r="O45" s="2">
        <v>1635</v>
      </c>
      <c r="P45" s="2">
        <v>1650</v>
      </c>
      <c r="Q45" s="2">
        <v>1618</v>
      </c>
    </row>
    <row r="46" spans="1:88" s="2" customFormat="1" x14ac:dyDescent="0.35">
      <c r="A46" s="2" t="s">
        <v>693</v>
      </c>
      <c r="B46" s="2">
        <v>1526</v>
      </c>
      <c r="C46" s="2">
        <v>1517</v>
      </c>
      <c r="D46" s="2">
        <v>1533</v>
      </c>
      <c r="E46" s="2">
        <v>1546</v>
      </c>
      <c r="F46" s="2">
        <v>1578</v>
      </c>
      <c r="G46" s="2">
        <v>1557</v>
      </c>
      <c r="H46" s="2">
        <v>1582</v>
      </c>
      <c r="I46" s="2">
        <v>1597</v>
      </c>
      <c r="J46" s="2">
        <v>1597</v>
      </c>
      <c r="K46" s="2">
        <v>1585</v>
      </c>
      <c r="L46" s="2">
        <v>1597</v>
      </c>
      <c r="M46" s="2">
        <v>1597</v>
      </c>
      <c r="N46" s="2">
        <v>1597</v>
      </c>
      <c r="O46" s="2">
        <v>1597</v>
      </c>
      <c r="P46" s="2">
        <v>1597</v>
      </c>
      <c r="Q46" s="2">
        <v>1615</v>
      </c>
    </row>
    <row r="47" spans="1:88" s="2" customFormat="1" x14ac:dyDescent="0.35">
      <c r="A47" s="2" t="s">
        <v>465</v>
      </c>
      <c r="B47" s="2">
        <v>1463</v>
      </c>
      <c r="C47" s="2">
        <v>1478</v>
      </c>
      <c r="D47" s="2">
        <v>1503</v>
      </c>
      <c r="E47" s="2">
        <v>1537</v>
      </c>
      <c r="F47" s="2">
        <v>1557</v>
      </c>
      <c r="G47" s="2">
        <v>1579</v>
      </c>
      <c r="H47" s="2">
        <v>1605</v>
      </c>
      <c r="I47" s="2">
        <v>1582</v>
      </c>
      <c r="J47" s="2">
        <v>1615</v>
      </c>
      <c r="K47" s="2">
        <v>1587</v>
      </c>
      <c r="L47" s="2">
        <v>1607</v>
      </c>
      <c r="M47" s="2">
        <v>1630</v>
      </c>
      <c r="N47" s="2">
        <v>1599</v>
      </c>
      <c r="O47" s="2">
        <v>1599</v>
      </c>
      <c r="P47" s="2">
        <v>1599</v>
      </c>
      <c r="Q47" s="2">
        <v>1613</v>
      </c>
    </row>
    <row r="48" spans="1:88" x14ac:dyDescent="0.35">
      <c r="A48" s="2" t="s">
        <v>761</v>
      </c>
      <c r="B48" s="2">
        <v>1720</v>
      </c>
      <c r="C48" s="2">
        <v>1690</v>
      </c>
      <c r="D48" s="2">
        <v>1668</v>
      </c>
      <c r="E48" s="2">
        <v>1680</v>
      </c>
      <c r="F48" s="2">
        <v>1656</v>
      </c>
      <c r="G48" s="2">
        <v>1656</v>
      </c>
      <c r="H48" s="2">
        <v>1656</v>
      </c>
      <c r="I48" s="2">
        <v>1667</v>
      </c>
      <c r="J48" s="2">
        <v>1667</v>
      </c>
      <c r="K48" s="2">
        <v>1687</v>
      </c>
      <c r="L48" s="2">
        <v>1668</v>
      </c>
      <c r="M48" s="2">
        <v>1653</v>
      </c>
      <c r="N48" s="2">
        <v>1632</v>
      </c>
      <c r="O48" s="2">
        <v>1612</v>
      </c>
      <c r="P48" s="2">
        <v>1595</v>
      </c>
      <c r="Q48" s="2">
        <v>1611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1:88" x14ac:dyDescent="0.35">
      <c r="A49" s="2" t="s">
        <v>646</v>
      </c>
      <c r="B49" s="2">
        <v>1555</v>
      </c>
      <c r="C49" s="2">
        <v>1541</v>
      </c>
      <c r="D49" s="2">
        <v>1527</v>
      </c>
      <c r="E49" s="2">
        <v>1544</v>
      </c>
      <c r="F49" s="2">
        <v>1564</v>
      </c>
      <c r="G49" s="2">
        <v>1545</v>
      </c>
      <c r="H49" s="2">
        <v>1567</v>
      </c>
      <c r="I49" s="2">
        <v>1599</v>
      </c>
      <c r="J49" s="2">
        <v>1599</v>
      </c>
      <c r="K49" s="2">
        <v>1618</v>
      </c>
      <c r="L49" s="2">
        <v>1630</v>
      </c>
      <c r="M49" s="2">
        <v>1630</v>
      </c>
      <c r="N49" s="2">
        <v>1630</v>
      </c>
      <c r="O49" s="2">
        <v>1630</v>
      </c>
      <c r="P49" s="2">
        <v>1630</v>
      </c>
      <c r="Q49" s="2">
        <v>1609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1:88" x14ac:dyDescent="0.35">
      <c r="A50" s="2" t="s">
        <v>785</v>
      </c>
      <c r="B50" s="2">
        <v>1681</v>
      </c>
      <c r="C50" s="2">
        <v>1688</v>
      </c>
      <c r="D50" s="2">
        <v>1656</v>
      </c>
      <c r="E50" s="2">
        <v>1636</v>
      </c>
      <c r="F50" s="2">
        <v>1649</v>
      </c>
      <c r="G50" s="2">
        <v>1649</v>
      </c>
      <c r="H50" s="2">
        <v>1649</v>
      </c>
      <c r="I50" s="2">
        <v>1634</v>
      </c>
      <c r="J50" s="2">
        <v>1634</v>
      </c>
      <c r="K50" s="2">
        <v>1634</v>
      </c>
      <c r="L50" s="2">
        <v>1646</v>
      </c>
      <c r="M50" s="2">
        <v>1646</v>
      </c>
      <c r="N50" s="2">
        <v>1646</v>
      </c>
      <c r="O50" s="2">
        <v>1670</v>
      </c>
      <c r="P50" s="2">
        <v>1627</v>
      </c>
      <c r="Q50" s="2">
        <v>1609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1:88" x14ac:dyDescent="0.35">
      <c r="A51" s="2" t="s">
        <v>660</v>
      </c>
      <c r="B51" s="2">
        <v>1539</v>
      </c>
      <c r="C51" s="2">
        <v>1550</v>
      </c>
      <c r="D51" s="2">
        <v>1568</v>
      </c>
      <c r="E51" s="2">
        <v>1551</v>
      </c>
      <c r="F51" s="2">
        <v>1575</v>
      </c>
      <c r="G51" s="2">
        <v>1624</v>
      </c>
      <c r="H51" s="2">
        <v>1638</v>
      </c>
      <c r="I51" s="2">
        <v>1605</v>
      </c>
      <c r="J51" s="2">
        <v>1630</v>
      </c>
      <c r="K51" s="2">
        <v>1593</v>
      </c>
      <c r="L51" s="2">
        <v>1617</v>
      </c>
      <c r="M51" s="2">
        <v>1651</v>
      </c>
      <c r="N51" s="2">
        <v>1627</v>
      </c>
      <c r="O51" s="2">
        <v>1627</v>
      </c>
      <c r="P51" s="2">
        <v>1627</v>
      </c>
      <c r="Q51" s="2">
        <v>1609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1:88" x14ac:dyDescent="0.35">
      <c r="A52" s="2" t="s">
        <v>1157</v>
      </c>
      <c r="B52" s="2">
        <v>1697</v>
      </c>
      <c r="C52" s="2">
        <v>1706</v>
      </c>
      <c r="D52" s="2">
        <v>1674</v>
      </c>
      <c r="E52" s="2">
        <v>1650</v>
      </c>
      <c r="F52" s="2">
        <v>1634</v>
      </c>
      <c r="G52" s="2">
        <v>1634</v>
      </c>
      <c r="H52" s="2">
        <v>1634</v>
      </c>
      <c r="I52" s="2">
        <v>1616</v>
      </c>
      <c r="J52" s="2">
        <v>1616</v>
      </c>
      <c r="K52" s="2">
        <v>1616</v>
      </c>
      <c r="L52" s="2">
        <v>1604</v>
      </c>
      <c r="M52" s="2">
        <v>1604</v>
      </c>
      <c r="N52" s="2">
        <v>1604</v>
      </c>
      <c r="O52" s="2">
        <v>1629</v>
      </c>
      <c r="P52" s="2">
        <v>1643</v>
      </c>
      <c r="Q52" s="2">
        <v>1607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1:88" x14ac:dyDescent="0.35">
      <c r="A53" s="2" t="s">
        <v>1165</v>
      </c>
      <c r="B53" s="2">
        <v>1671</v>
      </c>
      <c r="C53" s="2">
        <v>1650</v>
      </c>
      <c r="D53" s="2">
        <v>1621</v>
      </c>
      <c r="E53" s="2">
        <v>1597</v>
      </c>
      <c r="F53" s="2">
        <v>1561</v>
      </c>
      <c r="G53" s="2">
        <v>1561</v>
      </c>
      <c r="H53" s="2">
        <v>1561</v>
      </c>
      <c r="I53" s="2">
        <v>1578</v>
      </c>
      <c r="J53" s="2">
        <v>1578</v>
      </c>
      <c r="K53" s="2">
        <v>1578</v>
      </c>
      <c r="L53" s="2">
        <v>1599</v>
      </c>
      <c r="M53" s="2">
        <v>1620</v>
      </c>
      <c r="N53" s="2">
        <v>1633</v>
      </c>
      <c r="O53" s="2">
        <v>1608</v>
      </c>
      <c r="P53" s="2">
        <v>1586</v>
      </c>
      <c r="Q53" s="2">
        <v>1606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1:88" x14ac:dyDescent="0.35">
      <c r="A54" t="s">
        <v>632</v>
      </c>
      <c r="B54" s="2">
        <v>1600</v>
      </c>
      <c r="C54" s="2">
        <v>1623</v>
      </c>
      <c r="D54" s="2">
        <v>1646</v>
      </c>
      <c r="E54" s="2">
        <v>1626</v>
      </c>
      <c r="F54" s="2">
        <v>1598</v>
      </c>
      <c r="G54" s="2">
        <v>1598</v>
      </c>
      <c r="H54" s="2">
        <v>1598</v>
      </c>
      <c r="I54" s="2">
        <v>1621</v>
      </c>
      <c r="J54" s="2">
        <v>1621</v>
      </c>
      <c r="K54" s="2">
        <v>1621</v>
      </c>
      <c r="L54" s="2">
        <v>1608</v>
      </c>
      <c r="M54" s="2">
        <v>1608</v>
      </c>
      <c r="N54" s="2">
        <v>1608</v>
      </c>
      <c r="O54" s="2">
        <v>1593</v>
      </c>
      <c r="P54" s="2">
        <v>1580</v>
      </c>
      <c r="Q54" s="2">
        <v>1601</v>
      </c>
    </row>
    <row r="55" spans="1:88" x14ac:dyDescent="0.35">
      <c r="A55" s="2" t="s">
        <v>677</v>
      </c>
      <c r="B55" s="2">
        <v>1466</v>
      </c>
      <c r="C55" s="2">
        <v>1455</v>
      </c>
      <c r="D55" s="2">
        <v>1477</v>
      </c>
      <c r="E55" s="2">
        <v>1505</v>
      </c>
      <c r="F55" s="2">
        <v>1532</v>
      </c>
      <c r="G55" s="2">
        <v>1570</v>
      </c>
      <c r="H55" s="2">
        <v>1614</v>
      </c>
      <c r="I55" s="2">
        <v>1598</v>
      </c>
      <c r="J55" s="2">
        <v>1574</v>
      </c>
      <c r="K55" s="2">
        <v>1543</v>
      </c>
      <c r="L55" s="2">
        <v>1565</v>
      </c>
      <c r="M55" s="2">
        <v>1565</v>
      </c>
      <c r="N55" s="2">
        <v>1565</v>
      </c>
      <c r="O55" s="2">
        <v>1565</v>
      </c>
      <c r="P55" s="2">
        <v>1565</v>
      </c>
      <c r="Q55" s="2">
        <v>1601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1:88" x14ac:dyDescent="0.35">
      <c r="A56" s="2" t="s">
        <v>676</v>
      </c>
      <c r="B56" s="2">
        <v>1638</v>
      </c>
      <c r="C56" s="2">
        <v>1647</v>
      </c>
      <c r="D56" s="2">
        <v>1629</v>
      </c>
      <c r="E56" s="2">
        <v>1609</v>
      </c>
      <c r="F56" s="2">
        <v>1624</v>
      </c>
      <c r="G56" s="2">
        <v>1624</v>
      </c>
      <c r="H56" s="2">
        <v>1624</v>
      </c>
      <c r="I56" s="2">
        <v>1631</v>
      </c>
      <c r="J56" s="2">
        <v>1631</v>
      </c>
      <c r="K56" s="2">
        <v>1612</v>
      </c>
      <c r="L56" s="2">
        <v>1632</v>
      </c>
      <c r="M56" s="2">
        <v>1606</v>
      </c>
      <c r="N56" s="2">
        <v>1624</v>
      </c>
      <c r="O56" s="2">
        <v>1647</v>
      </c>
      <c r="P56" s="2">
        <v>1608</v>
      </c>
      <c r="Q56" s="2">
        <v>1592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1:88" x14ac:dyDescent="0.35">
      <c r="A57" s="2" t="s">
        <v>742</v>
      </c>
      <c r="B57" s="2">
        <v>1534</v>
      </c>
      <c r="C57" s="2">
        <v>1551</v>
      </c>
      <c r="D57" s="2">
        <v>1566</v>
      </c>
      <c r="E57" s="2">
        <v>1594</v>
      </c>
      <c r="F57" s="2">
        <v>1577</v>
      </c>
      <c r="G57" s="2">
        <v>1552</v>
      </c>
      <c r="H57" s="2">
        <v>1573</v>
      </c>
      <c r="I57" s="2">
        <v>1562</v>
      </c>
      <c r="J57" s="2">
        <v>1562</v>
      </c>
      <c r="K57" s="2">
        <v>1590</v>
      </c>
      <c r="L57" s="2">
        <v>1576</v>
      </c>
      <c r="M57" s="2">
        <v>1576</v>
      </c>
      <c r="N57" s="2">
        <v>1576</v>
      </c>
      <c r="O57" s="2">
        <v>1576</v>
      </c>
      <c r="P57" s="2">
        <v>1576</v>
      </c>
      <c r="Q57" s="2">
        <v>1590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1:88" x14ac:dyDescent="0.35">
      <c r="A58" s="2" t="s">
        <v>681</v>
      </c>
      <c r="B58" s="2">
        <v>1642</v>
      </c>
      <c r="C58" s="2">
        <v>1655</v>
      </c>
      <c r="D58" s="2">
        <v>1637</v>
      </c>
      <c r="E58" s="2">
        <v>1659</v>
      </c>
      <c r="F58" s="2">
        <v>1630</v>
      </c>
      <c r="G58" s="2">
        <v>1630</v>
      </c>
      <c r="H58" s="2">
        <v>1630</v>
      </c>
      <c r="I58" s="2">
        <v>1646</v>
      </c>
      <c r="J58" s="2">
        <v>1646</v>
      </c>
      <c r="K58" s="2">
        <v>1646</v>
      </c>
      <c r="L58" s="2">
        <v>1626</v>
      </c>
      <c r="M58" s="2">
        <v>1626</v>
      </c>
      <c r="N58" s="2">
        <v>1626</v>
      </c>
      <c r="O58" s="2">
        <v>1617</v>
      </c>
      <c r="P58" s="2">
        <v>1606</v>
      </c>
      <c r="Q58" s="2">
        <v>1589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1:88" x14ac:dyDescent="0.35">
      <c r="A59" t="s">
        <v>635</v>
      </c>
      <c r="B59" s="2">
        <v>1600</v>
      </c>
      <c r="C59" s="2">
        <v>1586</v>
      </c>
      <c r="D59" s="2">
        <v>1570</v>
      </c>
      <c r="E59" s="2">
        <v>1598</v>
      </c>
      <c r="F59" s="2">
        <v>1610</v>
      </c>
      <c r="G59" s="2">
        <v>1625</v>
      </c>
      <c r="H59" s="2">
        <v>1647</v>
      </c>
      <c r="I59" s="2">
        <v>1624</v>
      </c>
      <c r="J59" s="2">
        <v>1599</v>
      </c>
      <c r="K59" s="2">
        <v>1571</v>
      </c>
      <c r="L59" s="2">
        <v>1557</v>
      </c>
      <c r="M59" s="2">
        <v>1557</v>
      </c>
      <c r="N59" s="2">
        <v>1557</v>
      </c>
      <c r="O59" s="2">
        <v>1557</v>
      </c>
      <c r="P59" s="2">
        <v>1557</v>
      </c>
      <c r="Q59" s="2">
        <v>1589</v>
      </c>
    </row>
    <row r="60" spans="1:88" x14ac:dyDescent="0.35">
      <c r="A60" s="2" t="s">
        <v>776</v>
      </c>
      <c r="B60" s="2">
        <v>1599</v>
      </c>
      <c r="C60" s="2">
        <v>1582</v>
      </c>
      <c r="D60" s="2">
        <v>1579</v>
      </c>
      <c r="E60" s="2">
        <v>1561</v>
      </c>
      <c r="F60" s="2">
        <v>1551</v>
      </c>
      <c r="G60" s="2">
        <v>1536</v>
      </c>
      <c r="H60" s="2">
        <v>1555</v>
      </c>
      <c r="I60" s="2">
        <v>1539</v>
      </c>
      <c r="J60" s="2">
        <v>1539</v>
      </c>
      <c r="K60" s="2">
        <v>1581</v>
      </c>
      <c r="L60" s="2">
        <v>1596</v>
      </c>
      <c r="M60" s="2">
        <v>1596</v>
      </c>
      <c r="N60" s="2">
        <v>1596</v>
      </c>
      <c r="O60" s="2">
        <v>1596</v>
      </c>
      <c r="P60" s="2">
        <v>1596</v>
      </c>
      <c r="Q60" s="2">
        <v>1585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88" x14ac:dyDescent="0.35">
      <c r="A61" t="s">
        <v>630</v>
      </c>
      <c r="B61" s="2">
        <v>1600</v>
      </c>
      <c r="C61" s="2">
        <v>1582</v>
      </c>
      <c r="D61" s="2">
        <v>1597</v>
      </c>
      <c r="E61" s="2">
        <v>1616</v>
      </c>
      <c r="F61" s="2">
        <v>1639</v>
      </c>
      <c r="G61" s="2">
        <v>1639</v>
      </c>
      <c r="H61" s="2">
        <v>1639</v>
      </c>
      <c r="I61" s="2">
        <v>1618</v>
      </c>
      <c r="J61" s="2">
        <v>1618</v>
      </c>
      <c r="K61" s="2">
        <v>1598</v>
      </c>
      <c r="L61" s="2">
        <v>1584</v>
      </c>
      <c r="M61" s="2">
        <v>1544</v>
      </c>
      <c r="N61" s="2">
        <v>1569</v>
      </c>
      <c r="O61" s="2">
        <v>1597</v>
      </c>
      <c r="P61" s="2">
        <v>1566</v>
      </c>
      <c r="Q61" s="2">
        <v>1584</v>
      </c>
    </row>
    <row r="62" spans="1:88" x14ac:dyDescent="0.35">
      <c r="A62" s="2" t="s">
        <v>772</v>
      </c>
      <c r="B62" s="2">
        <v>1472</v>
      </c>
      <c r="C62" s="2">
        <v>1499</v>
      </c>
      <c r="D62" s="2">
        <v>1493</v>
      </c>
      <c r="E62" s="2">
        <v>1511</v>
      </c>
      <c r="F62" s="2">
        <v>1526</v>
      </c>
      <c r="G62" s="2">
        <v>1563</v>
      </c>
      <c r="H62" s="2">
        <v>1582</v>
      </c>
      <c r="I62" s="2">
        <v>1565</v>
      </c>
      <c r="J62" s="2">
        <v>1593</v>
      </c>
      <c r="K62" s="2">
        <v>1562</v>
      </c>
      <c r="L62" s="2">
        <v>1576</v>
      </c>
      <c r="M62" s="2">
        <v>1542</v>
      </c>
      <c r="N62" s="2">
        <v>1566</v>
      </c>
      <c r="O62" s="2">
        <v>1566</v>
      </c>
      <c r="P62" s="2">
        <v>1566</v>
      </c>
      <c r="Q62" s="2">
        <v>1584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88" x14ac:dyDescent="0.35">
      <c r="A63" s="2" t="s">
        <v>673</v>
      </c>
      <c r="B63" s="2">
        <v>1627</v>
      </c>
      <c r="C63" s="2">
        <v>1642</v>
      </c>
      <c r="D63" s="2">
        <v>1663</v>
      </c>
      <c r="E63" s="2">
        <v>1631</v>
      </c>
      <c r="F63" s="2">
        <v>1623</v>
      </c>
      <c r="G63" s="2">
        <v>1588</v>
      </c>
      <c r="H63" s="2">
        <v>1615</v>
      </c>
      <c r="I63" s="2">
        <v>1632</v>
      </c>
      <c r="J63" s="2">
        <v>1632</v>
      </c>
      <c r="K63" s="2">
        <v>1613</v>
      </c>
      <c r="L63" s="2">
        <v>1600</v>
      </c>
      <c r="M63" s="2">
        <v>1600</v>
      </c>
      <c r="N63" s="2">
        <v>1600</v>
      </c>
      <c r="O63" s="2">
        <v>1600</v>
      </c>
      <c r="P63" s="2">
        <v>1600</v>
      </c>
      <c r="Q63" s="2">
        <v>1582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1:88" s="2" customFormat="1" x14ac:dyDescent="0.35">
      <c r="A64" s="2" t="s">
        <v>755</v>
      </c>
      <c r="B64" s="2">
        <v>1600</v>
      </c>
      <c r="C64" s="2">
        <v>1616</v>
      </c>
      <c r="D64" s="2">
        <v>1602</v>
      </c>
      <c r="E64" s="2">
        <v>1590</v>
      </c>
      <c r="F64" s="2">
        <v>1608</v>
      </c>
      <c r="G64" s="2">
        <v>1608</v>
      </c>
      <c r="H64" s="2">
        <v>1608</v>
      </c>
      <c r="I64" s="2">
        <v>1627</v>
      </c>
      <c r="J64" s="2">
        <v>1627</v>
      </c>
      <c r="K64" s="2">
        <v>1627</v>
      </c>
      <c r="L64" s="2">
        <v>1620</v>
      </c>
      <c r="M64" s="2">
        <v>1620</v>
      </c>
      <c r="N64" s="2">
        <v>1620</v>
      </c>
      <c r="O64" s="2">
        <v>1604</v>
      </c>
      <c r="P64" s="2">
        <v>1592</v>
      </c>
      <c r="Q64" s="2">
        <v>1578</v>
      </c>
    </row>
    <row r="65" spans="1:88" s="2" customFormat="1" x14ac:dyDescent="0.35">
      <c r="A65" s="2" t="s">
        <v>1162</v>
      </c>
      <c r="B65" s="2">
        <v>1555</v>
      </c>
      <c r="C65" s="2">
        <v>1542</v>
      </c>
      <c r="D65" s="2">
        <v>1526</v>
      </c>
      <c r="E65" s="2">
        <v>1544</v>
      </c>
      <c r="F65" s="2">
        <v>1532</v>
      </c>
      <c r="G65" s="2">
        <v>1568</v>
      </c>
      <c r="H65" s="2">
        <v>1533</v>
      </c>
      <c r="I65" s="2">
        <v>1551</v>
      </c>
      <c r="J65" s="2">
        <v>1580</v>
      </c>
      <c r="K65" s="2">
        <v>1580</v>
      </c>
      <c r="L65" s="2">
        <v>1564</v>
      </c>
      <c r="M65" s="2">
        <v>1599</v>
      </c>
      <c r="N65" s="2">
        <v>1554</v>
      </c>
      <c r="O65" s="2">
        <v>1554</v>
      </c>
      <c r="P65" s="2">
        <v>1554</v>
      </c>
      <c r="Q65" s="2">
        <v>1577</v>
      </c>
    </row>
    <row r="66" spans="1:88" s="2" customFormat="1" x14ac:dyDescent="0.35">
      <c r="A66" s="2" t="s">
        <v>692</v>
      </c>
      <c r="B66" s="2">
        <v>1615</v>
      </c>
      <c r="C66" s="2">
        <v>1627</v>
      </c>
      <c r="D66" s="2">
        <v>1641</v>
      </c>
      <c r="E66" s="2">
        <v>1627</v>
      </c>
      <c r="F66" s="2">
        <v>1638</v>
      </c>
      <c r="G66" s="2">
        <v>1638</v>
      </c>
      <c r="H66" s="2">
        <v>1638</v>
      </c>
      <c r="I66" s="2">
        <v>1653</v>
      </c>
      <c r="J66" s="2">
        <v>1653</v>
      </c>
      <c r="K66" s="2">
        <v>1615</v>
      </c>
      <c r="L66" s="2">
        <v>1594</v>
      </c>
      <c r="M66" s="2">
        <v>1620</v>
      </c>
      <c r="N66" s="2">
        <v>1602</v>
      </c>
      <c r="O66" s="2">
        <v>1626</v>
      </c>
      <c r="P66" s="2">
        <v>1594</v>
      </c>
      <c r="Q66" s="2">
        <v>1576</v>
      </c>
    </row>
    <row r="67" spans="1:88" s="2" customFormat="1" x14ac:dyDescent="0.35">
      <c r="A67" s="2" t="s">
        <v>743</v>
      </c>
      <c r="B67" s="2">
        <v>1600</v>
      </c>
      <c r="C67" s="2">
        <v>1589</v>
      </c>
      <c r="D67" s="2">
        <v>1570</v>
      </c>
      <c r="E67" s="2">
        <v>1542</v>
      </c>
      <c r="F67" s="2">
        <v>1559</v>
      </c>
      <c r="G67" s="2">
        <v>1537</v>
      </c>
      <c r="H67" s="2">
        <v>1557</v>
      </c>
      <c r="I67" s="2">
        <v>1546</v>
      </c>
      <c r="J67" s="2">
        <v>1546</v>
      </c>
      <c r="K67" s="2">
        <v>1529</v>
      </c>
      <c r="L67" s="2">
        <v>1557</v>
      </c>
      <c r="M67" s="2">
        <v>1557</v>
      </c>
      <c r="N67" s="2">
        <v>1557</v>
      </c>
      <c r="O67" s="2">
        <v>1557</v>
      </c>
      <c r="P67" s="2">
        <v>1557</v>
      </c>
      <c r="Q67" s="2">
        <v>1571</v>
      </c>
    </row>
    <row r="68" spans="1:88" s="2" customFormat="1" x14ac:dyDescent="0.35">
      <c r="A68" t="s">
        <v>634</v>
      </c>
      <c r="B68" s="2">
        <v>1600</v>
      </c>
      <c r="C68" s="2">
        <v>1585</v>
      </c>
      <c r="D68" s="2">
        <v>1568</v>
      </c>
      <c r="E68" s="2">
        <v>1593</v>
      </c>
      <c r="F68" s="2">
        <v>1566</v>
      </c>
      <c r="G68" s="2">
        <v>1587</v>
      </c>
      <c r="H68" s="2">
        <v>1559</v>
      </c>
      <c r="I68" s="2">
        <v>1585</v>
      </c>
      <c r="J68" s="2">
        <v>1558</v>
      </c>
      <c r="K68" s="2">
        <v>1558</v>
      </c>
      <c r="L68" s="2">
        <v>1575</v>
      </c>
      <c r="M68" s="2">
        <v>1575</v>
      </c>
      <c r="N68" s="2">
        <v>1575</v>
      </c>
      <c r="O68" s="2">
        <v>1575</v>
      </c>
      <c r="P68" s="2">
        <v>1575</v>
      </c>
      <c r="Q68" s="2">
        <v>1568</v>
      </c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</row>
    <row r="69" spans="1:88" s="2" customFormat="1" x14ac:dyDescent="0.35">
      <c r="A69" s="2" t="s">
        <v>771</v>
      </c>
      <c r="B69" s="2">
        <v>1525</v>
      </c>
      <c r="C69" s="2">
        <v>1543</v>
      </c>
      <c r="D69" s="2">
        <v>1533</v>
      </c>
      <c r="E69" s="2">
        <v>1527</v>
      </c>
      <c r="F69" s="2">
        <v>1543</v>
      </c>
      <c r="G69" s="2">
        <v>1580</v>
      </c>
      <c r="H69" s="2">
        <v>1600</v>
      </c>
      <c r="I69" s="2">
        <v>1575</v>
      </c>
      <c r="J69" s="2">
        <v>1551</v>
      </c>
      <c r="K69" s="2">
        <v>1536</v>
      </c>
      <c r="L69" s="2">
        <v>1528</v>
      </c>
      <c r="M69" s="2">
        <v>1528</v>
      </c>
      <c r="N69" s="2">
        <v>1528</v>
      </c>
      <c r="O69" s="2">
        <v>1528</v>
      </c>
      <c r="P69" s="2">
        <v>1528</v>
      </c>
      <c r="Q69" s="2">
        <v>1567</v>
      </c>
    </row>
    <row r="70" spans="1:88" s="2" customFormat="1" x14ac:dyDescent="0.35">
      <c r="A70" s="2" t="s">
        <v>778</v>
      </c>
      <c r="B70" s="2">
        <v>1627</v>
      </c>
      <c r="C70" s="2">
        <v>1622</v>
      </c>
      <c r="D70" s="2">
        <v>1610</v>
      </c>
      <c r="E70" s="2">
        <v>1592</v>
      </c>
      <c r="F70" s="2">
        <v>1578</v>
      </c>
      <c r="G70" s="2">
        <v>1578</v>
      </c>
      <c r="H70" s="2">
        <v>1578</v>
      </c>
      <c r="I70" s="2">
        <v>1591</v>
      </c>
      <c r="J70" s="2">
        <v>1591</v>
      </c>
      <c r="K70" s="2">
        <v>1549</v>
      </c>
      <c r="L70" s="2">
        <v>1570</v>
      </c>
      <c r="M70" s="2">
        <v>1547</v>
      </c>
      <c r="N70" s="2">
        <v>1578</v>
      </c>
      <c r="O70" s="2">
        <v>1550</v>
      </c>
      <c r="P70" s="2">
        <v>1581</v>
      </c>
      <c r="Q70" s="2">
        <v>1564</v>
      </c>
    </row>
    <row r="71" spans="1:88" s="2" customFormat="1" x14ac:dyDescent="0.35">
      <c r="A71" s="2" t="s">
        <v>784</v>
      </c>
      <c r="B71" s="2">
        <v>1624</v>
      </c>
      <c r="C71" s="2">
        <v>1606</v>
      </c>
      <c r="D71" s="2">
        <v>1590</v>
      </c>
      <c r="E71" s="2">
        <v>1559</v>
      </c>
      <c r="F71" s="2">
        <v>1569</v>
      </c>
      <c r="G71" s="2">
        <v>1588</v>
      </c>
      <c r="H71" s="2">
        <v>1564</v>
      </c>
      <c r="I71" s="2">
        <v>1550</v>
      </c>
      <c r="J71" s="2">
        <v>1534</v>
      </c>
      <c r="K71" s="2">
        <v>1534</v>
      </c>
      <c r="L71" s="2">
        <v>1547</v>
      </c>
      <c r="M71" s="2">
        <v>1547</v>
      </c>
      <c r="N71" s="2">
        <v>1547</v>
      </c>
      <c r="O71" s="2">
        <v>1547</v>
      </c>
      <c r="P71" s="2">
        <v>1547</v>
      </c>
      <c r="Q71" s="2">
        <v>1564</v>
      </c>
    </row>
    <row r="72" spans="1:88" s="2" customFormat="1" x14ac:dyDescent="0.35">
      <c r="A72" s="2" t="s">
        <v>712</v>
      </c>
      <c r="B72" s="2">
        <v>1519</v>
      </c>
      <c r="C72" s="2">
        <v>1506</v>
      </c>
      <c r="D72" s="2">
        <v>1538</v>
      </c>
      <c r="E72" s="2">
        <v>1569</v>
      </c>
      <c r="F72" s="2">
        <v>1537</v>
      </c>
      <c r="G72" s="2">
        <v>1562</v>
      </c>
      <c r="H72" s="2">
        <v>1543</v>
      </c>
      <c r="I72" s="2">
        <v>1525</v>
      </c>
      <c r="J72" s="2">
        <v>1551</v>
      </c>
      <c r="K72" s="2">
        <v>1551</v>
      </c>
      <c r="L72" s="2">
        <v>1576</v>
      </c>
      <c r="M72" s="2">
        <v>1547</v>
      </c>
      <c r="N72" s="2">
        <v>1569</v>
      </c>
      <c r="O72" s="2">
        <v>1569</v>
      </c>
      <c r="P72" s="2">
        <v>1569</v>
      </c>
      <c r="Q72" s="2">
        <v>1562</v>
      </c>
    </row>
    <row r="73" spans="1:88" s="2" customFormat="1" x14ac:dyDescent="0.35">
      <c r="A73" s="2" t="s">
        <v>764</v>
      </c>
      <c r="B73" s="2">
        <v>1614</v>
      </c>
      <c r="C73" s="2">
        <v>1590</v>
      </c>
      <c r="D73" s="2">
        <v>1601</v>
      </c>
      <c r="E73" s="2">
        <v>1584</v>
      </c>
      <c r="F73" s="2">
        <v>1559</v>
      </c>
      <c r="G73" s="2">
        <v>1559</v>
      </c>
      <c r="H73" s="2">
        <v>1540</v>
      </c>
      <c r="I73" s="2">
        <v>1565</v>
      </c>
      <c r="J73" s="2">
        <v>1565</v>
      </c>
      <c r="K73" s="2">
        <v>1565</v>
      </c>
      <c r="L73" s="2">
        <v>1550</v>
      </c>
      <c r="M73" s="2">
        <v>1590</v>
      </c>
      <c r="N73" s="2">
        <v>1565</v>
      </c>
      <c r="O73" s="2">
        <v>1565</v>
      </c>
      <c r="P73" s="2">
        <v>1565</v>
      </c>
      <c r="Q73" s="2">
        <v>1558</v>
      </c>
    </row>
    <row r="74" spans="1:88" s="2" customFormat="1" x14ac:dyDescent="0.35">
      <c r="A74" s="2" t="s">
        <v>1163</v>
      </c>
      <c r="B74" s="2">
        <v>1537</v>
      </c>
      <c r="C74" s="2">
        <v>1558</v>
      </c>
      <c r="D74" s="2">
        <v>1573</v>
      </c>
      <c r="E74" s="2">
        <v>1552</v>
      </c>
      <c r="F74" s="2">
        <v>1541</v>
      </c>
      <c r="G74" s="2">
        <v>1520</v>
      </c>
      <c r="H74" s="2">
        <v>1570</v>
      </c>
      <c r="I74" s="2">
        <v>1556</v>
      </c>
      <c r="J74" s="2">
        <v>1556</v>
      </c>
      <c r="K74" s="2">
        <v>1588</v>
      </c>
      <c r="L74" s="2">
        <v>1570</v>
      </c>
      <c r="M74" s="2">
        <v>1570</v>
      </c>
      <c r="N74" s="2">
        <v>1570</v>
      </c>
      <c r="O74" s="2">
        <v>1570</v>
      </c>
      <c r="P74" s="2">
        <v>1570</v>
      </c>
      <c r="Q74" s="2">
        <v>1556</v>
      </c>
    </row>
    <row r="75" spans="1:88" s="2" customFormat="1" x14ac:dyDescent="0.35">
      <c r="A75" s="2" t="s">
        <v>665</v>
      </c>
      <c r="B75" s="2">
        <v>1555</v>
      </c>
      <c r="C75" s="2">
        <v>1567</v>
      </c>
      <c r="D75" s="2">
        <v>1557</v>
      </c>
      <c r="E75" s="2">
        <v>1571</v>
      </c>
      <c r="F75" s="2">
        <v>1565</v>
      </c>
      <c r="G75" s="2">
        <v>1565</v>
      </c>
      <c r="H75" s="2">
        <v>1565</v>
      </c>
      <c r="I75" s="2">
        <v>1581</v>
      </c>
      <c r="J75" s="2">
        <v>1553</v>
      </c>
      <c r="K75" s="2">
        <v>1574</v>
      </c>
      <c r="L75" s="2">
        <v>1593</v>
      </c>
      <c r="M75" s="2">
        <v>1593</v>
      </c>
      <c r="N75" s="2">
        <v>1593</v>
      </c>
      <c r="O75" s="2">
        <v>1556</v>
      </c>
      <c r="P75" s="2">
        <v>1541</v>
      </c>
      <c r="Q75" s="2">
        <v>1552</v>
      </c>
    </row>
    <row r="76" spans="1:88" s="2" customFormat="1" x14ac:dyDescent="0.35">
      <c r="A76" s="2" t="s">
        <v>1158</v>
      </c>
      <c r="B76" s="2">
        <v>1672</v>
      </c>
      <c r="C76" s="2">
        <v>1652</v>
      </c>
      <c r="D76" s="2">
        <v>1621</v>
      </c>
      <c r="E76" s="2">
        <v>1598</v>
      </c>
      <c r="F76" s="2">
        <v>1610</v>
      </c>
      <c r="G76" s="2">
        <v>1610</v>
      </c>
      <c r="H76" s="2">
        <v>1610</v>
      </c>
      <c r="I76" s="2">
        <v>1624</v>
      </c>
      <c r="J76" s="2">
        <v>1594</v>
      </c>
      <c r="K76" s="2">
        <v>1562</v>
      </c>
      <c r="L76" s="2">
        <v>1545</v>
      </c>
      <c r="M76" s="2">
        <v>1545</v>
      </c>
      <c r="N76" s="2">
        <v>1545</v>
      </c>
      <c r="O76" s="2">
        <v>1578</v>
      </c>
      <c r="P76" s="2">
        <v>1562</v>
      </c>
      <c r="Q76" s="2">
        <v>1551</v>
      </c>
    </row>
    <row r="77" spans="1:88" s="2" customFormat="1" x14ac:dyDescent="0.35">
      <c r="A77" t="s">
        <v>637</v>
      </c>
      <c r="B77" s="2">
        <v>1600</v>
      </c>
      <c r="C77" s="2">
        <v>1585</v>
      </c>
      <c r="D77" s="2">
        <v>1562</v>
      </c>
      <c r="E77" s="2">
        <v>1545</v>
      </c>
      <c r="F77" s="2">
        <v>1533</v>
      </c>
      <c r="G77" s="2">
        <v>1533</v>
      </c>
      <c r="H77" s="2">
        <v>1533</v>
      </c>
      <c r="I77" s="2">
        <v>1515</v>
      </c>
      <c r="J77" s="2">
        <v>1515</v>
      </c>
      <c r="K77" s="2">
        <v>1531</v>
      </c>
      <c r="L77" s="2">
        <v>1521</v>
      </c>
      <c r="M77" s="2">
        <v>1521</v>
      </c>
      <c r="N77" s="2">
        <v>1521</v>
      </c>
      <c r="O77" s="2">
        <v>1546</v>
      </c>
      <c r="P77" s="2">
        <v>1568</v>
      </c>
      <c r="Q77" s="2">
        <v>1549</v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2" customFormat="1" x14ac:dyDescent="0.35">
      <c r="A78" s="2" t="s">
        <v>645</v>
      </c>
      <c r="B78" s="2">
        <v>1524</v>
      </c>
      <c r="C78" s="2">
        <v>1544</v>
      </c>
      <c r="D78" s="2">
        <v>1559</v>
      </c>
      <c r="E78" s="2">
        <v>1576</v>
      </c>
      <c r="F78" s="2">
        <v>1562</v>
      </c>
      <c r="G78" s="2">
        <v>1528</v>
      </c>
      <c r="H78" s="2">
        <v>1501</v>
      </c>
      <c r="I78" s="2">
        <v>1484</v>
      </c>
      <c r="J78" s="2">
        <v>1484</v>
      </c>
      <c r="K78" s="2">
        <v>1484</v>
      </c>
      <c r="L78" s="2">
        <v>1518</v>
      </c>
      <c r="M78" s="2">
        <v>1518</v>
      </c>
      <c r="N78" s="2">
        <v>1518</v>
      </c>
      <c r="O78" s="2">
        <v>1518</v>
      </c>
      <c r="P78" s="2">
        <v>1518</v>
      </c>
      <c r="Q78" s="2">
        <v>1548</v>
      </c>
    </row>
    <row r="79" spans="1:88" s="2" customFormat="1" x14ac:dyDescent="0.35">
      <c r="A79" s="2" t="s">
        <v>1164</v>
      </c>
      <c r="B79" s="2">
        <v>1665</v>
      </c>
      <c r="C79" s="2">
        <v>1635</v>
      </c>
      <c r="D79" s="2">
        <v>1653</v>
      </c>
      <c r="E79" s="2">
        <v>1663</v>
      </c>
      <c r="F79" s="2">
        <v>1634</v>
      </c>
      <c r="G79" s="2">
        <v>1634</v>
      </c>
      <c r="H79" s="2">
        <v>1634</v>
      </c>
      <c r="I79" s="2">
        <v>1609</v>
      </c>
      <c r="J79" s="2">
        <v>1609</v>
      </c>
      <c r="K79" s="2">
        <v>1590</v>
      </c>
      <c r="L79" s="2">
        <v>1569</v>
      </c>
      <c r="M79" s="2">
        <v>1569</v>
      </c>
      <c r="N79" s="2">
        <v>1569</v>
      </c>
      <c r="O79" s="2">
        <v>1564</v>
      </c>
      <c r="P79" s="2">
        <v>1559</v>
      </c>
      <c r="Q79" s="2">
        <v>1545</v>
      </c>
    </row>
    <row r="80" spans="1:88" s="2" customFormat="1" x14ac:dyDescent="0.35">
      <c r="A80" s="2" t="s">
        <v>680</v>
      </c>
      <c r="B80" s="2">
        <v>1531</v>
      </c>
      <c r="C80" s="2">
        <v>1519</v>
      </c>
      <c r="D80" s="2">
        <v>1540</v>
      </c>
      <c r="E80" s="2">
        <v>1561</v>
      </c>
      <c r="F80" s="2">
        <v>1575</v>
      </c>
      <c r="G80" s="2">
        <v>1596</v>
      </c>
      <c r="H80" s="2">
        <v>1576</v>
      </c>
      <c r="I80" s="2">
        <v>1564</v>
      </c>
      <c r="J80" s="2">
        <v>1588</v>
      </c>
      <c r="K80" s="2">
        <v>1588</v>
      </c>
      <c r="L80" s="2">
        <v>1563</v>
      </c>
      <c r="M80" s="2">
        <v>1542</v>
      </c>
      <c r="N80" s="2">
        <v>1529</v>
      </c>
      <c r="O80" s="2">
        <v>1529</v>
      </c>
      <c r="P80" s="2">
        <v>1529</v>
      </c>
      <c r="Q80" s="2">
        <v>1543</v>
      </c>
    </row>
    <row r="81" spans="1:88" s="2" customFormat="1" x14ac:dyDescent="0.35">
      <c r="A81" s="2" t="s">
        <v>774</v>
      </c>
      <c r="B81" s="2">
        <v>1552</v>
      </c>
      <c r="C81" s="2">
        <v>1527</v>
      </c>
      <c r="D81" s="2">
        <v>1543</v>
      </c>
      <c r="E81" s="2">
        <v>1511</v>
      </c>
      <c r="F81" s="2">
        <v>1531</v>
      </c>
      <c r="G81" s="2">
        <v>1550</v>
      </c>
      <c r="H81" s="2">
        <v>1569</v>
      </c>
      <c r="I81" s="2">
        <v>1581</v>
      </c>
      <c r="J81" s="2">
        <v>1625</v>
      </c>
      <c r="K81" s="2">
        <v>1604</v>
      </c>
      <c r="L81" s="2">
        <v>1576</v>
      </c>
      <c r="M81" s="2">
        <v>1560</v>
      </c>
      <c r="N81" s="2">
        <v>1548</v>
      </c>
      <c r="O81" s="2">
        <v>1548</v>
      </c>
      <c r="P81" s="2">
        <v>1548</v>
      </c>
      <c r="Q81" s="2">
        <v>1542</v>
      </c>
    </row>
    <row r="82" spans="1:88" s="2" customFormat="1" x14ac:dyDescent="0.35">
      <c r="A82" s="2" t="s">
        <v>738</v>
      </c>
      <c r="B82" s="2">
        <v>1595</v>
      </c>
      <c r="C82" s="2">
        <v>1578</v>
      </c>
      <c r="D82" s="2">
        <v>1554</v>
      </c>
      <c r="E82" s="2">
        <v>1572</v>
      </c>
      <c r="F82" s="2">
        <v>1557</v>
      </c>
      <c r="G82" s="2">
        <v>1557</v>
      </c>
      <c r="H82" s="2">
        <v>1543</v>
      </c>
      <c r="I82" s="2">
        <v>1526</v>
      </c>
      <c r="J82" s="2">
        <v>1507</v>
      </c>
      <c r="K82" s="2">
        <v>1507</v>
      </c>
      <c r="L82" s="2">
        <v>1526</v>
      </c>
      <c r="M82" s="2">
        <v>1526</v>
      </c>
      <c r="N82" s="2">
        <v>1526</v>
      </c>
      <c r="O82" s="2">
        <v>1526</v>
      </c>
      <c r="P82" s="2">
        <v>1526</v>
      </c>
      <c r="Q82" s="2">
        <v>1542</v>
      </c>
    </row>
    <row r="83" spans="1:88" s="2" customFormat="1" x14ac:dyDescent="0.35">
      <c r="A83" s="2" t="s">
        <v>779</v>
      </c>
      <c r="B83" s="2">
        <v>1562</v>
      </c>
      <c r="C83" s="2">
        <v>1573</v>
      </c>
      <c r="D83" s="2">
        <v>1554</v>
      </c>
      <c r="E83" s="2">
        <v>1572</v>
      </c>
      <c r="F83" s="2">
        <v>1552</v>
      </c>
      <c r="G83" s="2">
        <v>1587</v>
      </c>
      <c r="H83" s="2">
        <v>1546</v>
      </c>
      <c r="I83" s="2">
        <v>1518</v>
      </c>
      <c r="J83" s="2">
        <v>1497</v>
      </c>
      <c r="K83" s="2">
        <v>1497</v>
      </c>
      <c r="L83" s="2">
        <v>1511</v>
      </c>
      <c r="M83" s="2">
        <v>1511</v>
      </c>
      <c r="N83" s="2">
        <v>1511</v>
      </c>
      <c r="O83" s="2">
        <v>1511</v>
      </c>
      <c r="P83" s="2">
        <v>1511</v>
      </c>
      <c r="Q83" s="2">
        <v>1530</v>
      </c>
    </row>
    <row r="84" spans="1:88" s="2" customFormat="1" x14ac:dyDescent="0.35">
      <c r="A84" s="2" t="s">
        <v>763</v>
      </c>
      <c r="B84" s="2">
        <v>1557</v>
      </c>
      <c r="C84" s="2">
        <v>1575</v>
      </c>
      <c r="D84" s="2">
        <v>1596</v>
      </c>
      <c r="E84" s="2">
        <v>1586</v>
      </c>
      <c r="F84" s="2">
        <v>1571</v>
      </c>
      <c r="G84" s="2">
        <v>1535</v>
      </c>
      <c r="H84" s="2">
        <v>1508</v>
      </c>
      <c r="I84" s="2">
        <v>1530</v>
      </c>
      <c r="J84" s="2">
        <v>1530</v>
      </c>
      <c r="K84" s="2">
        <v>1530</v>
      </c>
      <c r="L84" s="2">
        <v>1548</v>
      </c>
      <c r="M84" s="2">
        <v>1548</v>
      </c>
      <c r="N84" s="2">
        <v>1548</v>
      </c>
      <c r="O84" s="2">
        <v>1548</v>
      </c>
      <c r="P84" s="2">
        <v>1548</v>
      </c>
      <c r="Q84" s="2">
        <v>1529</v>
      </c>
    </row>
    <row r="85" spans="1:88" s="2" customFormat="1" x14ac:dyDescent="0.35">
      <c r="A85" s="2" t="s">
        <v>1155</v>
      </c>
      <c r="B85" s="2">
        <v>1582</v>
      </c>
      <c r="C85" s="2">
        <v>1562</v>
      </c>
      <c r="D85" s="2">
        <v>1547</v>
      </c>
      <c r="E85" s="2">
        <v>1533</v>
      </c>
      <c r="F85" s="2">
        <v>1569</v>
      </c>
      <c r="G85" s="2">
        <v>1569</v>
      </c>
      <c r="H85" s="2">
        <v>1569</v>
      </c>
      <c r="I85" s="2">
        <v>1585</v>
      </c>
      <c r="J85" s="2">
        <v>1559</v>
      </c>
      <c r="K85" s="2">
        <v>1546</v>
      </c>
      <c r="L85" s="2">
        <v>1529</v>
      </c>
      <c r="M85" s="2">
        <v>1529</v>
      </c>
      <c r="N85" s="2">
        <v>1529</v>
      </c>
      <c r="O85" s="2">
        <v>1505</v>
      </c>
      <c r="P85" s="2">
        <v>1537</v>
      </c>
      <c r="Q85" s="2">
        <v>1523</v>
      </c>
    </row>
    <row r="86" spans="1:88" s="2" customFormat="1" x14ac:dyDescent="0.35">
      <c r="A86" s="2" t="s">
        <v>678</v>
      </c>
      <c r="B86" s="2">
        <v>1458</v>
      </c>
      <c r="C86" s="2">
        <v>1450</v>
      </c>
      <c r="D86" s="2">
        <v>1469</v>
      </c>
      <c r="E86" s="2">
        <v>1501</v>
      </c>
      <c r="F86" s="2">
        <v>1526</v>
      </c>
      <c r="G86" s="2">
        <v>1489</v>
      </c>
      <c r="H86" s="2">
        <v>1522</v>
      </c>
      <c r="I86" s="2">
        <v>1533</v>
      </c>
      <c r="J86" s="2">
        <v>1533</v>
      </c>
      <c r="K86" s="2">
        <v>1511</v>
      </c>
      <c r="L86" s="2">
        <v>1498</v>
      </c>
      <c r="M86" s="2">
        <v>1498</v>
      </c>
      <c r="N86" s="2">
        <v>1498</v>
      </c>
      <c r="O86" s="2">
        <v>1498</v>
      </c>
      <c r="P86" s="2">
        <v>1498</v>
      </c>
      <c r="Q86" s="2">
        <v>1516</v>
      </c>
    </row>
    <row r="87" spans="1:88" s="2" customFormat="1" x14ac:dyDescent="0.35">
      <c r="A87" s="2" t="s">
        <v>757</v>
      </c>
      <c r="B87" s="2">
        <v>1648</v>
      </c>
      <c r="C87" s="2">
        <v>1633</v>
      </c>
      <c r="D87" s="2">
        <v>1612</v>
      </c>
      <c r="E87" s="2">
        <v>1636</v>
      </c>
      <c r="F87" s="2">
        <v>1618</v>
      </c>
      <c r="G87" s="2">
        <v>1618</v>
      </c>
      <c r="H87" s="2">
        <v>1582</v>
      </c>
      <c r="I87" s="2">
        <v>1572</v>
      </c>
      <c r="J87" s="2">
        <v>1572</v>
      </c>
      <c r="K87" s="2">
        <v>1572</v>
      </c>
      <c r="L87" s="2">
        <v>1554</v>
      </c>
      <c r="M87" s="2">
        <v>1533</v>
      </c>
      <c r="N87" s="2">
        <v>1520</v>
      </c>
      <c r="O87" s="2">
        <v>1520</v>
      </c>
      <c r="P87" s="2">
        <v>1520</v>
      </c>
      <c r="Q87" s="2">
        <v>1513</v>
      </c>
    </row>
    <row r="88" spans="1:88" s="2" customFormat="1" x14ac:dyDescent="0.35">
      <c r="A88" s="2" t="s">
        <v>751</v>
      </c>
      <c r="B88" s="2">
        <v>1580</v>
      </c>
      <c r="C88" s="2">
        <v>1604</v>
      </c>
      <c r="D88" s="2">
        <v>1558</v>
      </c>
      <c r="E88" s="2">
        <v>1581</v>
      </c>
      <c r="F88" s="2">
        <v>1561</v>
      </c>
      <c r="G88" s="2">
        <v>1523</v>
      </c>
      <c r="H88" s="2">
        <v>1523</v>
      </c>
      <c r="I88" s="2">
        <v>1537</v>
      </c>
      <c r="J88" s="2">
        <v>1537</v>
      </c>
      <c r="K88" s="2">
        <v>1507</v>
      </c>
      <c r="L88" s="2">
        <v>1527</v>
      </c>
      <c r="M88" s="2">
        <v>1527</v>
      </c>
      <c r="N88" s="2">
        <v>1527</v>
      </c>
      <c r="O88" s="2">
        <v>1511</v>
      </c>
      <c r="P88" s="2">
        <v>1487</v>
      </c>
      <c r="Q88" s="2">
        <v>1511</v>
      </c>
    </row>
    <row r="89" spans="1:88" s="2" customFormat="1" x14ac:dyDescent="0.35">
      <c r="A89" s="2" t="s">
        <v>734</v>
      </c>
      <c r="B89" s="2">
        <v>1675</v>
      </c>
      <c r="C89" s="2">
        <v>1656</v>
      </c>
      <c r="D89" s="2">
        <v>1640</v>
      </c>
      <c r="E89" s="2">
        <v>1628</v>
      </c>
      <c r="F89" s="2">
        <v>1613</v>
      </c>
      <c r="G89" s="2">
        <v>1613</v>
      </c>
      <c r="H89" s="2">
        <v>1613</v>
      </c>
      <c r="I89" s="2">
        <v>1585</v>
      </c>
      <c r="J89" s="2">
        <v>1585</v>
      </c>
      <c r="K89" s="2">
        <v>1585</v>
      </c>
      <c r="L89" s="2">
        <v>1565</v>
      </c>
      <c r="M89" s="2">
        <v>1565</v>
      </c>
      <c r="N89" s="2">
        <v>1565</v>
      </c>
      <c r="O89" s="2">
        <v>1553</v>
      </c>
      <c r="P89" s="2">
        <v>1539</v>
      </c>
      <c r="Q89" s="2">
        <v>1509</v>
      </c>
    </row>
    <row r="90" spans="1:88" s="2" customFormat="1" x14ac:dyDescent="0.35">
      <c r="A90" s="2" t="s">
        <v>768</v>
      </c>
      <c r="B90" s="2">
        <v>1580</v>
      </c>
      <c r="C90" s="2">
        <v>1562</v>
      </c>
      <c r="D90" s="2">
        <v>1541</v>
      </c>
      <c r="E90" s="2">
        <v>1523</v>
      </c>
      <c r="F90" s="2">
        <v>1508</v>
      </c>
      <c r="G90" s="2">
        <v>1508</v>
      </c>
      <c r="H90" s="2">
        <v>1508</v>
      </c>
      <c r="I90" s="2">
        <v>1554</v>
      </c>
      <c r="J90" s="2">
        <v>1554</v>
      </c>
      <c r="K90" s="2">
        <v>1554</v>
      </c>
      <c r="L90" s="2">
        <v>1537</v>
      </c>
      <c r="M90" s="2">
        <v>1524</v>
      </c>
      <c r="N90" s="2">
        <v>1510</v>
      </c>
      <c r="O90" s="2">
        <v>1499</v>
      </c>
      <c r="P90" s="2">
        <v>1484</v>
      </c>
      <c r="Q90" s="2">
        <v>1509</v>
      </c>
    </row>
    <row r="91" spans="1:88" s="2" customFormat="1" x14ac:dyDescent="0.35">
      <c r="A91" s="2" t="s">
        <v>701</v>
      </c>
      <c r="B91" s="2">
        <v>1514</v>
      </c>
      <c r="C91" s="2">
        <v>1505</v>
      </c>
      <c r="D91" s="2">
        <v>1495</v>
      </c>
      <c r="E91" s="2">
        <v>1477</v>
      </c>
      <c r="F91" s="2">
        <v>1461</v>
      </c>
      <c r="G91" s="2">
        <v>1461</v>
      </c>
      <c r="H91" s="2">
        <v>1438</v>
      </c>
      <c r="I91" s="2">
        <v>1471</v>
      </c>
      <c r="J91" s="2">
        <v>1517</v>
      </c>
      <c r="K91" s="2">
        <v>1517</v>
      </c>
      <c r="L91" s="2">
        <v>1505</v>
      </c>
      <c r="M91" s="2">
        <v>1489</v>
      </c>
      <c r="N91" s="2">
        <v>1478</v>
      </c>
      <c r="O91" s="2">
        <v>1478</v>
      </c>
      <c r="P91" s="2">
        <v>1478</v>
      </c>
      <c r="Q91" s="2">
        <v>1508</v>
      </c>
    </row>
    <row r="92" spans="1:88" s="2" customFormat="1" x14ac:dyDescent="0.35">
      <c r="A92" s="2" t="s">
        <v>1161</v>
      </c>
      <c r="B92" s="2">
        <v>1594</v>
      </c>
      <c r="C92" s="2">
        <v>1560</v>
      </c>
      <c r="D92" s="2">
        <v>1589</v>
      </c>
      <c r="E92" s="2">
        <v>1572</v>
      </c>
      <c r="F92" s="2">
        <v>1586</v>
      </c>
      <c r="G92" s="2">
        <v>1586</v>
      </c>
      <c r="H92" s="2">
        <v>1563</v>
      </c>
      <c r="I92" s="2">
        <v>1547</v>
      </c>
      <c r="J92" s="2">
        <v>1501</v>
      </c>
      <c r="K92" s="2">
        <v>1501</v>
      </c>
      <c r="L92" s="2">
        <v>1521</v>
      </c>
      <c r="M92" s="2">
        <v>1521</v>
      </c>
      <c r="N92" s="2">
        <v>1521</v>
      </c>
      <c r="O92" s="2">
        <v>1521</v>
      </c>
      <c r="P92" s="2">
        <v>1521</v>
      </c>
      <c r="Q92" s="2">
        <v>1501</v>
      </c>
    </row>
    <row r="93" spans="1:88" s="2" customFormat="1" x14ac:dyDescent="0.35">
      <c r="A93" t="s">
        <v>638</v>
      </c>
      <c r="B93" s="2">
        <v>1600</v>
      </c>
      <c r="C93" s="2">
        <v>1576</v>
      </c>
      <c r="D93" s="2">
        <v>1561</v>
      </c>
      <c r="E93" s="2">
        <v>1529</v>
      </c>
      <c r="F93" s="2">
        <v>1544</v>
      </c>
      <c r="G93" s="2">
        <v>1544</v>
      </c>
      <c r="H93" s="2">
        <v>1544</v>
      </c>
      <c r="I93" s="2">
        <v>1523</v>
      </c>
      <c r="J93" s="2">
        <v>1523</v>
      </c>
      <c r="K93" s="2">
        <v>1523</v>
      </c>
      <c r="L93" s="2">
        <v>1501</v>
      </c>
      <c r="M93" s="2">
        <v>1501</v>
      </c>
      <c r="N93" s="2">
        <v>1501</v>
      </c>
      <c r="O93" s="2">
        <v>1477</v>
      </c>
      <c r="P93" s="2">
        <v>1520</v>
      </c>
      <c r="Q93" s="2">
        <v>1499</v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2" customFormat="1" x14ac:dyDescent="0.35">
      <c r="A94" t="s">
        <v>633</v>
      </c>
      <c r="B94" s="2">
        <v>1600</v>
      </c>
      <c r="C94" s="2">
        <v>1624</v>
      </c>
      <c r="D94" s="2">
        <v>1601</v>
      </c>
      <c r="E94" s="2">
        <v>1615</v>
      </c>
      <c r="F94" s="2">
        <v>1601</v>
      </c>
      <c r="G94" s="2">
        <v>1601</v>
      </c>
      <c r="H94" s="2">
        <v>1579</v>
      </c>
      <c r="I94" s="2">
        <v>1553</v>
      </c>
      <c r="J94" s="2">
        <v>1520</v>
      </c>
      <c r="K94" s="2">
        <v>1520</v>
      </c>
      <c r="L94" s="2">
        <v>1506</v>
      </c>
      <c r="M94" s="2">
        <v>1506</v>
      </c>
      <c r="N94" s="2">
        <v>1506</v>
      </c>
      <c r="O94" s="2">
        <v>1506</v>
      </c>
      <c r="P94" s="2">
        <v>1506</v>
      </c>
      <c r="Q94" s="2">
        <v>1490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2" customFormat="1" x14ac:dyDescent="0.35">
      <c r="A95" s="2" t="s">
        <v>732</v>
      </c>
      <c r="B95" s="2">
        <v>1582</v>
      </c>
      <c r="C95" s="2">
        <v>1571</v>
      </c>
      <c r="D95" s="2">
        <v>1560</v>
      </c>
      <c r="E95" s="2">
        <v>1543</v>
      </c>
      <c r="F95" s="2">
        <v>1534</v>
      </c>
      <c r="G95" s="2">
        <v>1534</v>
      </c>
      <c r="H95" s="2">
        <v>1567</v>
      </c>
      <c r="I95" s="2">
        <v>1549</v>
      </c>
      <c r="J95" s="2">
        <v>1573</v>
      </c>
      <c r="K95" s="2">
        <v>1551</v>
      </c>
      <c r="L95" s="2">
        <v>1535</v>
      </c>
      <c r="M95" s="2">
        <v>1509</v>
      </c>
      <c r="N95" s="2">
        <v>1498</v>
      </c>
      <c r="O95" s="2">
        <v>1498</v>
      </c>
      <c r="P95" s="2">
        <v>1498</v>
      </c>
      <c r="Q95" s="2">
        <v>1482</v>
      </c>
    </row>
    <row r="96" spans="1:88" s="2" customFormat="1" x14ac:dyDescent="0.35">
      <c r="A96" t="s">
        <v>636</v>
      </c>
      <c r="B96" s="2">
        <v>1600</v>
      </c>
      <c r="C96" s="2">
        <v>1577</v>
      </c>
      <c r="D96" s="2">
        <v>1553</v>
      </c>
      <c r="E96" s="2">
        <v>1532</v>
      </c>
      <c r="F96" s="2">
        <v>1561</v>
      </c>
      <c r="G96" s="2">
        <v>1561</v>
      </c>
      <c r="H96" s="2">
        <v>1561</v>
      </c>
      <c r="I96" s="2">
        <v>1547</v>
      </c>
      <c r="J96" s="2">
        <v>1547</v>
      </c>
      <c r="K96" s="2">
        <v>1547</v>
      </c>
      <c r="L96" s="2">
        <v>1535</v>
      </c>
      <c r="M96" s="2">
        <v>1535</v>
      </c>
      <c r="N96" s="2">
        <v>1535</v>
      </c>
      <c r="O96" s="2">
        <v>1510</v>
      </c>
      <c r="P96" s="2">
        <v>1496</v>
      </c>
      <c r="Q96" s="2">
        <v>1482</v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</row>
    <row r="97" spans="1:88" s="2" customFormat="1" x14ac:dyDescent="0.35">
      <c r="A97" s="2" t="s">
        <v>720</v>
      </c>
      <c r="B97" s="2">
        <v>1660</v>
      </c>
      <c r="C97" s="2">
        <v>1644</v>
      </c>
      <c r="D97" s="2">
        <v>1623</v>
      </c>
      <c r="E97" s="2">
        <v>1606</v>
      </c>
      <c r="F97" s="2">
        <v>1590</v>
      </c>
      <c r="G97" s="2">
        <v>1590</v>
      </c>
      <c r="H97" s="2">
        <v>1590</v>
      </c>
      <c r="I97" s="2">
        <v>1577</v>
      </c>
      <c r="J97" s="2">
        <v>1577</v>
      </c>
      <c r="K97" s="2">
        <v>1577</v>
      </c>
      <c r="L97" s="2">
        <v>1551</v>
      </c>
      <c r="M97" s="2">
        <v>1551</v>
      </c>
      <c r="N97" s="2">
        <v>1551</v>
      </c>
      <c r="O97" s="2">
        <v>1527</v>
      </c>
      <c r="P97" s="2">
        <v>1503</v>
      </c>
      <c r="Q97" s="2">
        <v>1479</v>
      </c>
    </row>
    <row r="98" spans="1:88" s="2" customFormat="1" x14ac:dyDescent="0.35">
      <c r="A98" s="2" t="s">
        <v>716</v>
      </c>
      <c r="B98" s="2">
        <v>1513</v>
      </c>
      <c r="C98" s="2">
        <v>1498</v>
      </c>
      <c r="D98" s="2">
        <v>1486</v>
      </c>
      <c r="E98" s="2">
        <v>1503</v>
      </c>
      <c r="F98" s="2">
        <v>1476</v>
      </c>
      <c r="G98" s="2">
        <v>1510</v>
      </c>
      <c r="H98" s="2">
        <v>1551</v>
      </c>
      <c r="I98" s="2">
        <v>1534</v>
      </c>
      <c r="J98" s="2">
        <v>1517</v>
      </c>
      <c r="K98" s="2">
        <v>1503</v>
      </c>
      <c r="L98" s="2">
        <v>1491</v>
      </c>
      <c r="M98" s="2">
        <v>1491</v>
      </c>
      <c r="N98" s="2">
        <v>1491</v>
      </c>
      <c r="O98" s="2">
        <v>1491</v>
      </c>
      <c r="P98" s="2">
        <v>1491</v>
      </c>
      <c r="Q98" s="2">
        <v>1477</v>
      </c>
    </row>
    <row r="99" spans="1:88" s="2" customFormat="1" x14ac:dyDescent="0.35">
      <c r="A99" t="s">
        <v>631</v>
      </c>
      <c r="B99" s="2">
        <v>1600</v>
      </c>
      <c r="C99" s="2">
        <v>1581</v>
      </c>
      <c r="D99" s="2">
        <v>1568</v>
      </c>
      <c r="E99" s="2">
        <v>1541</v>
      </c>
      <c r="F99" s="2">
        <v>1526</v>
      </c>
      <c r="G99" s="2">
        <v>1526</v>
      </c>
      <c r="H99" s="2">
        <v>1496</v>
      </c>
      <c r="I99" s="2">
        <v>1517</v>
      </c>
      <c r="J99" s="2">
        <v>1488</v>
      </c>
      <c r="K99" s="2">
        <v>1488</v>
      </c>
      <c r="L99" s="2">
        <v>1506</v>
      </c>
      <c r="M99" s="2">
        <v>1506</v>
      </c>
      <c r="N99" s="2">
        <v>1506</v>
      </c>
      <c r="O99" s="2">
        <v>1506</v>
      </c>
      <c r="P99" s="2">
        <v>1506</v>
      </c>
      <c r="Q99" s="2">
        <v>1476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</row>
    <row r="100" spans="1:88" s="2" customFormat="1" x14ac:dyDescent="0.35">
      <c r="A100" s="2" t="s">
        <v>722</v>
      </c>
      <c r="B100" s="2">
        <v>1540</v>
      </c>
      <c r="C100" s="2">
        <v>1528</v>
      </c>
      <c r="D100" s="2">
        <v>1547</v>
      </c>
      <c r="E100" s="2">
        <v>1529</v>
      </c>
      <c r="F100" s="2">
        <v>1512</v>
      </c>
      <c r="G100" s="2">
        <v>1493</v>
      </c>
      <c r="H100" s="2">
        <v>1467</v>
      </c>
      <c r="I100" s="2">
        <v>1490</v>
      </c>
      <c r="J100" s="2">
        <v>1490</v>
      </c>
      <c r="K100" s="2">
        <v>1490</v>
      </c>
      <c r="L100" s="2">
        <v>1478</v>
      </c>
      <c r="M100" s="2">
        <v>1478</v>
      </c>
      <c r="N100" s="2">
        <v>1478</v>
      </c>
      <c r="O100" s="2">
        <v>1478</v>
      </c>
      <c r="P100" s="2">
        <v>1478</v>
      </c>
      <c r="Q100" s="2">
        <v>1463</v>
      </c>
    </row>
    <row r="101" spans="1:88" s="2" customFormat="1" x14ac:dyDescent="0.35">
      <c r="A101" s="2" t="s">
        <v>756</v>
      </c>
      <c r="B101" s="2">
        <v>1528</v>
      </c>
      <c r="C101" s="2">
        <v>1537</v>
      </c>
      <c r="D101" s="2">
        <v>1526</v>
      </c>
      <c r="E101" s="2">
        <v>1538</v>
      </c>
      <c r="F101" s="2">
        <v>1522</v>
      </c>
      <c r="G101" s="2">
        <v>1485</v>
      </c>
      <c r="H101" s="2">
        <v>1466</v>
      </c>
      <c r="I101" s="2">
        <v>1457</v>
      </c>
      <c r="J101" s="2">
        <v>1457</v>
      </c>
      <c r="K101" s="2">
        <v>1457</v>
      </c>
      <c r="L101" s="2">
        <v>1473</v>
      </c>
      <c r="M101" s="2">
        <v>1473</v>
      </c>
      <c r="N101" s="2">
        <v>1473</v>
      </c>
      <c r="O101" s="2">
        <v>1473</v>
      </c>
      <c r="P101" s="2">
        <v>1473</v>
      </c>
      <c r="Q101" s="2">
        <v>1462</v>
      </c>
    </row>
    <row r="102" spans="1:88" s="2" customFormat="1" x14ac:dyDescent="0.35">
      <c r="A102" s="2" t="s">
        <v>726</v>
      </c>
      <c r="B102" s="2">
        <v>1402</v>
      </c>
      <c r="C102" s="2">
        <v>1393</v>
      </c>
      <c r="D102" s="2">
        <v>1439</v>
      </c>
      <c r="E102" s="2">
        <v>1463</v>
      </c>
      <c r="F102" s="2">
        <v>1453</v>
      </c>
      <c r="G102" s="2">
        <v>1438</v>
      </c>
      <c r="H102" s="2">
        <v>1462</v>
      </c>
      <c r="I102" s="2">
        <v>1450</v>
      </c>
      <c r="J102" s="2">
        <v>1450</v>
      </c>
      <c r="K102" s="2">
        <v>1480</v>
      </c>
      <c r="L102" s="2">
        <v>1473</v>
      </c>
      <c r="M102" s="2">
        <v>1473</v>
      </c>
      <c r="N102" s="2">
        <v>1473</v>
      </c>
      <c r="O102" s="2">
        <v>1473</v>
      </c>
      <c r="P102" s="2">
        <v>1473</v>
      </c>
      <c r="Q102" s="2">
        <v>1459</v>
      </c>
    </row>
    <row r="103" spans="1:88" s="2" customFormat="1" x14ac:dyDescent="0.35">
      <c r="A103" s="2" t="s">
        <v>709</v>
      </c>
      <c r="B103" s="2">
        <v>1527</v>
      </c>
      <c r="C103" s="2">
        <v>1516</v>
      </c>
      <c r="D103" s="2">
        <v>1490</v>
      </c>
      <c r="E103" s="2">
        <v>1508</v>
      </c>
      <c r="F103" s="2">
        <v>1497</v>
      </c>
      <c r="G103" s="2">
        <v>1497</v>
      </c>
      <c r="H103" s="2">
        <v>1480</v>
      </c>
      <c r="I103" s="2">
        <v>1461</v>
      </c>
      <c r="J103" s="2">
        <v>1443</v>
      </c>
      <c r="K103" s="2">
        <v>1443</v>
      </c>
      <c r="L103" s="2">
        <v>1468</v>
      </c>
      <c r="M103" s="2">
        <v>1468</v>
      </c>
      <c r="N103" s="2">
        <v>1468</v>
      </c>
      <c r="O103" s="2">
        <v>1468</v>
      </c>
      <c r="P103" s="2">
        <v>1468</v>
      </c>
      <c r="Q103" s="2">
        <v>1459</v>
      </c>
    </row>
    <row r="104" spans="1:88" s="2" customFormat="1" x14ac:dyDescent="0.35">
      <c r="A104" s="2" t="s">
        <v>582</v>
      </c>
      <c r="B104" s="2">
        <v>1558</v>
      </c>
      <c r="C104" s="2">
        <v>1545</v>
      </c>
      <c r="D104" s="2">
        <v>1565</v>
      </c>
      <c r="E104" s="2">
        <v>1541</v>
      </c>
      <c r="F104" s="2">
        <v>1524</v>
      </c>
      <c r="G104" s="2">
        <v>1499</v>
      </c>
      <c r="H104" s="2">
        <v>1466</v>
      </c>
      <c r="I104" s="2">
        <v>1455</v>
      </c>
      <c r="J104" s="2">
        <v>1455</v>
      </c>
      <c r="K104" s="2">
        <v>1455</v>
      </c>
      <c r="L104" s="2">
        <v>1435</v>
      </c>
      <c r="M104" s="2">
        <v>1435</v>
      </c>
      <c r="N104" s="2">
        <v>1435</v>
      </c>
      <c r="O104" s="2">
        <v>1435</v>
      </c>
      <c r="P104" s="2">
        <v>1435</v>
      </c>
      <c r="Q104" s="2">
        <v>1456</v>
      </c>
    </row>
    <row r="105" spans="1:88" s="2" customFormat="1" x14ac:dyDescent="0.35">
      <c r="A105" s="2" t="s">
        <v>777</v>
      </c>
      <c r="B105" s="2">
        <v>1506</v>
      </c>
      <c r="C105" s="2">
        <v>1485</v>
      </c>
      <c r="D105" s="2">
        <v>1511</v>
      </c>
      <c r="E105" s="2">
        <v>1498</v>
      </c>
      <c r="F105" s="2">
        <v>1480</v>
      </c>
      <c r="G105" s="2">
        <v>1508</v>
      </c>
      <c r="H105" s="2">
        <v>1488</v>
      </c>
      <c r="I105" s="2">
        <v>1473</v>
      </c>
      <c r="J105" s="2">
        <v>1448</v>
      </c>
      <c r="K105" s="2">
        <v>1448</v>
      </c>
      <c r="L105" s="2">
        <v>1474</v>
      </c>
      <c r="M105" s="2">
        <v>1474</v>
      </c>
      <c r="N105" s="2">
        <v>1474</v>
      </c>
      <c r="O105" s="2">
        <v>1474</v>
      </c>
      <c r="P105" s="2">
        <v>1474</v>
      </c>
      <c r="Q105" s="2">
        <v>1453</v>
      </c>
    </row>
    <row r="106" spans="1:88" s="2" customFormat="1" x14ac:dyDescent="0.35">
      <c r="A106" t="s">
        <v>639</v>
      </c>
      <c r="B106" s="2">
        <v>1600</v>
      </c>
      <c r="C106" s="2">
        <v>1577</v>
      </c>
      <c r="D106" s="2">
        <v>1565</v>
      </c>
      <c r="E106" s="2">
        <v>1547</v>
      </c>
      <c r="F106" s="2">
        <v>1518</v>
      </c>
      <c r="G106" s="2">
        <v>1484</v>
      </c>
      <c r="H106" s="2">
        <v>1514</v>
      </c>
      <c r="I106" s="2">
        <v>1501</v>
      </c>
      <c r="J106" s="2">
        <v>1501</v>
      </c>
      <c r="K106" s="2">
        <v>1485</v>
      </c>
      <c r="L106" s="2">
        <v>1468</v>
      </c>
      <c r="M106" s="2">
        <v>1468</v>
      </c>
      <c r="N106" s="2">
        <v>1468</v>
      </c>
      <c r="O106" s="2">
        <v>1468</v>
      </c>
      <c r="P106" s="2">
        <v>1468</v>
      </c>
      <c r="Q106" s="2">
        <v>1452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</row>
    <row r="107" spans="1:88" s="2" customFormat="1" x14ac:dyDescent="0.35">
      <c r="A107" s="2" t="s">
        <v>792</v>
      </c>
      <c r="B107" s="2">
        <v>1496</v>
      </c>
      <c r="C107" s="2">
        <v>1489</v>
      </c>
      <c r="D107" s="2">
        <v>1479</v>
      </c>
      <c r="E107" s="2">
        <v>1511</v>
      </c>
      <c r="F107" s="2">
        <v>1489</v>
      </c>
      <c r="G107" s="2">
        <v>1489</v>
      </c>
      <c r="H107" s="2">
        <v>1464</v>
      </c>
      <c r="I107" s="2">
        <v>1453</v>
      </c>
      <c r="J107" s="2">
        <v>1476</v>
      </c>
      <c r="K107" s="2">
        <v>1476</v>
      </c>
      <c r="L107" s="2">
        <v>1456</v>
      </c>
      <c r="M107" s="2">
        <v>1484</v>
      </c>
      <c r="N107" s="2">
        <v>1459</v>
      </c>
      <c r="O107" s="2">
        <v>1459</v>
      </c>
      <c r="P107" s="2">
        <v>1459</v>
      </c>
      <c r="Q107" s="2">
        <v>1452</v>
      </c>
    </row>
    <row r="108" spans="1:88" s="2" customFormat="1" x14ac:dyDescent="0.35">
      <c r="A108" s="2" t="s">
        <v>723</v>
      </c>
      <c r="B108" s="2">
        <v>1457</v>
      </c>
      <c r="C108" s="2">
        <v>1446</v>
      </c>
      <c r="D108" s="2">
        <v>1470</v>
      </c>
      <c r="E108" s="2">
        <v>1452</v>
      </c>
      <c r="F108" s="2">
        <v>1472</v>
      </c>
      <c r="G108" s="2">
        <v>1472</v>
      </c>
      <c r="H108" s="2">
        <v>1453</v>
      </c>
      <c r="I108" s="2">
        <v>1446</v>
      </c>
      <c r="J108" s="2">
        <v>1432</v>
      </c>
      <c r="K108" s="2">
        <v>1432</v>
      </c>
      <c r="L108" s="2">
        <v>1426</v>
      </c>
      <c r="M108" s="2">
        <v>1426</v>
      </c>
      <c r="N108" s="2">
        <v>1426</v>
      </c>
      <c r="O108" s="2">
        <v>1426</v>
      </c>
      <c r="P108" s="2">
        <v>1426</v>
      </c>
      <c r="Q108" s="2">
        <v>1450</v>
      </c>
    </row>
    <row r="109" spans="1:88" s="2" customFormat="1" x14ac:dyDescent="0.35">
      <c r="A109" s="2" t="s">
        <v>700</v>
      </c>
      <c r="B109" s="2">
        <v>1529</v>
      </c>
      <c r="C109" s="2">
        <v>1512</v>
      </c>
      <c r="D109" s="2">
        <v>1500</v>
      </c>
      <c r="E109" s="2">
        <v>1475</v>
      </c>
      <c r="F109" s="2">
        <v>1456</v>
      </c>
      <c r="G109" s="2">
        <v>1490</v>
      </c>
      <c r="H109" s="2">
        <v>1469</v>
      </c>
      <c r="I109" s="2">
        <v>1497</v>
      </c>
      <c r="J109" s="2">
        <v>1474</v>
      </c>
      <c r="K109" s="2">
        <v>1474</v>
      </c>
      <c r="L109" s="2">
        <v>1466</v>
      </c>
      <c r="M109" s="2">
        <v>1466</v>
      </c>
      <c r="N109" s="2">
        <v>1466</v>
      </c>
      <c r="O109" s="2">
        <v>1466</v>
      </c>
      <c r="P109" s="2">
        <v>1466</v>
      </c>
      <c r="Q109" s="2">
        <v>1446</v>
      </c>
    </row>
    <row r="110" spans="1:88" s="2" customFormat="1" x14ac:dyDescent="0.35">
      <c r="A110" s="2" t="s">
        <v>1156</v>
      </c>
      <c r="B110" s="2">
        <v>1495</v>
      </c>
      <c r="C110" s="2">
        <v>1486</v>
      </c>
      <c r="D110" s="2">
        <v>1469</v>
      </c>
      <c r="E110" s="2">
        <v>1457</v>
      </c>
      <c r="F110" s="2">
        <v>1486</v>
      </c>
      <c r="G110" s="2">
        <v>1458</v>
      </c>
      <c r="H110" s="2">
        <v>1481</v>
      </c>
      <c r="I110" s="2">
        <v>1465</v>
      </c>
      <c r="J110" s="2">
        <v>1465</v>
      </c>
      <c r="K110" s="2">
        <v>1441</v>
      </c>
      <c r="L110" s="2">
        <v>1458</v>
      </c>
      <c r="M110" s="2">
        <v>1458</v>
      </c>
      <c r="N110" s="2">
        <v>1458</v>
      </c>
      <c r="O110" s="2">
        <v>1458</v>
      </c>
      <c r="P110" s="2">
        <v>1458</v>
      </c>
      <c r="Q110" s="2">
        <v>1439</v>
      </c>
    </row>
    <row r="111" spans="1:88" s="2" customFormat="1" x14ac:dyDescent="0.35">
      <c r="A111" s="2" t="s">
        <v>760</v>
      </c>
      <c r="B111" s="2">
        <v>1484</v>
      </c>
      <c r="C111" s="2">
        <v>1460</v>
      </c>
      <c r="D111" s="2">
        <v>1444</v>
      </c>
      <c r="E111" s="2">
        <v>1461</v>
      </c>
      <c r="F111" s="2">
        <v>1448</v>
      </c>
      <c r="G111" s="2">
        <v>1415</v>
      </c>
      <c r="H111" s="2">
        <v>1451</v>
      </c>
      <c r="I111" s="2">
        <v>1469</v>
      </c>
      <c r="J111" s="2">
        <v>1469</v>
      </c>
      <c r="K111" s="2">
        <v>1452</v>
      </c>
      <c r="L111" s="2">
        <v>1447</v>
      </c>
      <c r="M111" s="2">
        <v>1447</v>
      </c>
      <c r="N111" s="2">
        <v>1447</v>
      </c>
      <c r="O111" s="2">
        <v>1447</v>
      </c>
      <c r="P111" s="2">
        <v>1447</v>
      </c>
      <c r="Q111" s="2">
        <v>1422</v>
      </c>
    </row>
    <row r="112" spans="1:88" s="2" customFormat="1" x14ac:dyDescent="0.35">
      <c r="A112" s="2" t="s">
        <v>737</v>
      </c>
      <c r="B112" s="2">
        <v>1530</v>
      </c>
      <c r="C112" s="2">
        <v>1514</v>
      </c>
      <c r="D112" s="2">
        <v>1493</v>
      </c>
      <c r="E112" s="2">
        <v>1474</v>
      </c>
      <c r="F112" s="2">
        <v>1460</v>
      </c>
      <c r="G112" s="2">
        <v>1493</v>
      </c>
      <c r="H112" s="2">
        <v>1460</v>
      </c>
      <c r="I112" s="2">
        <v>1450</v>
      </c>
      <c r="J112" s="2">
        <v>1430</v>
      </c>
      <c r="K112" s="2">
        <v>1430</v>
      </c>
      <c r="L112" s="2">
        <v>1415</v>
      </c>
      <c r="M112" s="2">
        <v>1415</v>
      </c>
      <c r="N112" s="2">
        <v>1415</v>
      </c>
      <c r="O112" s="2">
        <v>1415</v>
      </c>
      <c r="P112" s="2">
        <v>1415</v>
      </c>
      <c r="Q112" s="2">
        <v>1404</v>
      </c>
    </row>
    <row r="113" spans="1:17" s="2" customFormat="1" x14ac:dyDescent="0.35">
      <c r="A113" s="2" t="s">
        <v>706</v>
      </c>
      <c r="B113" s="2">
        <v>1475</v>
      </c>
      <c r="C113" s="2">
        <v>1466</v>
      </c>
      <c r="D113" s="2">
        <v>1452</v>
      </c>
      <c r="E113" s="2">
        <v>1442</v>
      </c>
      <c r="F113" s="2">
        <v>1436</v>
      </c>
      <c r="G113" s="2">
        <v>1420</v>
      </c>
      <c r="H113" s="2">
        <v>1398</v>
      </c>
      <c r="I113" s="2">
        <v>1387</v>
      </c>
      <c r="J113" s="2">
        <v>1387</v>
      </c>
      <c r="K113" s="2">
        <v>1387</v>
      </c>
      <c r="L113" s="2">
        <v>1377</v>
      </c>
      <c r="M113" s="2">
        <v>1377</v>
      </c>
      <c r="N113" s="2">
        <v>1377</v>
      </c>
      <c r="O113" s="2">
        <v>1377</v>
      </c>
      <c r="P113" s="2">
        <v>1377</v>
      </c>
      <c r="Q113" s="2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Sheet2</vt:lpstr>
      <vt:lpstr>Bracket</vt:lpstr>
      <vt:lpstr>Sheet5</vt:lpstr>
      <vt:lpstr>Phoenix Expansion Pass</vt:lpstr>
      <vt:lpstr>Season Four</vt:lpstr>
      <vt:lpstr>Sheet4</vt:lpstr>
      <vt:lpstr>Sheet1</vt:lpstr>
      <vt:lpstr>Season 3</vt:lpstr>
      <vt:lpstr>Sheet7</vt:lpstr>
      <vt:lpstr>Archive</vt:lpstr>
      <vt:lpstr>Season 2</vt:lpstr>
      <vt:lpstr>S2 Archive</vt:lpstr>
      <vt:lpstr>Season 1</vt:lpstr>
      <vt:lpstr>S1 Archive</vt:lpstr>
      <vt:lpstr>XS1</vt:lpstr>
      <vt:lpstr>XS2</vt:lpstr>
      <vt:lpstr>XS3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 Teague</dc:creator>
  <cp:lastModifiedBy>Ean Teague</cp:lastModifiedBy>
  <dcterms:created xsi:type="dcterms:W3CDTF">2021-03-13T04:49:23Z</dcterms:created>
  <dcterms:modified xsi:type="dcterms:W3CDTF">2021-10-28T06:57:07Z</dcterms:modified>
</cp:coreProperties>
</file>